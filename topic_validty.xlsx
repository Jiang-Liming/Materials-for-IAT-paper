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4"/>
  <workbookPr/>
  <mc:AlternateContent xmlns:mc="http://schemas.openxmlformats.org/markup-compatibility/2006">
    <mc:Choice Requires="x15">
      <x15ac:absPath xmlns:x15ac="http://schemas.microsoft.com/office/spreadsheetml/2010/11/ac" url="/Users/liming/Desktop/IATpaper/"/>
    </mc:Choice>
  </mc:AlternateContent>
  <xr:revisionPtr revIDLastSave="0" documentId="13_ncr:1_{4146585D-1705-F545-AA07-BE235A077440}" xr6:coauthVersionLast="47" xr6:coauthVersionMax="47" xr10:uidLastSave="{00000000-0000-0000-0000-000000000000}"/>
  <bookViews>
    <workbookView xWindow="1020" yWindow="500" windowWidth="27800" windowHeight="17500" tabRatio="407" activeTab="2" xr2:uid="{00000000-000D-0000-FFFF-FFFF00000000}"/>
  </bookViews>
  <sheets>
    <sheet name="iterative" sheetId="9" r:id="rId1"/>
    <sheet name="EW_all" sheetId="6" r:id="rId2"/>
    <sheet name="TSA" sheetId="13" r:id="rId3"/>
    <sheet name="迭代_rater1" sheetId="7" r:id="rId4"/>
    <sheet name="迭代_rater2" sheetId="5" r:id="rId5"/>
  </sheets>
  <definedNames>
    <definedName name="_xlnm._FilterDatabase" localSheetId="1" hidden="1">EW_all!$A$1:$A$140</definedName>
    <definedName name="_xlnm._FilterDatabase" localSheetId="0" hidden="1">iterative!$G$1:$G$150</definedName>
    <definedName name="_xlnm._FilterDatabase" localSheetId="2" hidden="1">TSA!$B$1:$B$141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 i="6" l="1"/>
  <c r="AC3" i="6"/>
  <c r="AD3" i="6"/>
  <c r="AE3" i="6"/>
  <c r="AF3" i="6"/>
  <c r="AG3" i="6"/>
  <c r="AH3" i="6"/>
  <c r="AI3" i="6"/>
  <c r="AB4" i="6"/>
  <c r="AC4" i="6"/>
  <c r="AD4" i="6"/>
  <c r="AE4" i="6"/>
  <c r="AF4" i="6"/>
  <c r="AG4" i="6"/>
  <c r="AH4" i="6"/>
  <c r="AI4" i="6"/>
  <c r="AB5" i="6"/>
  <c r="AC5" i="6"/>
  <c r="AD5" i="6"/>
  <c r="AE5" i="6"/>
  <c r="AF5" i="6"/>
  <c r="AG5" i="6"/>
  <c r="AH5" i="6"/>
  <c r="AI5" i="6"/>
  <c r="AB6" i="6"/>
  <c r="AC6" i="6"/>
  <c r="AD6" i="6"/>
  <c r="AE6" i="6"/>
  <c r="AF6" i="6"/>
  <c r="AG6" i="6"/>
  <c r="AH6" i="6"/>
  <c r="AI6" i="6"/>
  <c r="AB7" i="6"/>
  <c r="AC7" i="6"/>
  <c r="AD7" i="6"/>
  <c r="AE7" i="6"/>
  <c r="AF7" i="6"/>
  <c r="AG7" i="6"/>
  <c r="AH7" i="6"/>
  <c r="AI7" i="6"/>
  <c r="AB8" i="6"/>
  <c r="AC8" i="6"/>
  <c r="AD8" i="6"/>
  <c r="AE8" i="6"/>
  <c r="AF8" i="6"/>
  <c r="AG8" i="6"/>
  <c r="AH8" i="6"/>
  <c r="AI8" i="6"/>
  <c r="AB9" i="6"/>
  <c r="AC9" i="6"/>
  <c r="AD9" i="6"/>
  <c r="AE9" i="6"/>
  <c r="AF9" i="6"/>
  <c r="AG9" i="6"/>
  <c r="AH9" i="6"/>
  <c r="AI9" i="6"/>
  <c r="AB10" i="6"/>
  <c r="AC10" i="6"/>
  <c r="AD10" i="6"/>
  <c r="AE10" i="6"/>
  <c r="AF10" i="6"/>
  <c r="AG10" i="6"/>
  <c r="AH10" i="6"/>
  <c r="AI10" i="6"/>
  <c r="AB11" i="6"/>
  <c r="AC11" i="6"/>
  <c r="AD11" i="6"/>
  <c r="AE11" i="6"/>
  <c r="AF11" i="6"/>
  <c r="AG11" i="6"/>
  <c r="AH11" i="6"/>
  <c r="AI11" i="6"/>
  <c r="AB12" i="6"/>
  <c r="AC12" i="6"/>
  <c r="AD12" i="6"/>
  <c r="AE12" i="6"/>
  <c r="AF12" i="6"/>
  <c r="AG12" i="6"/>
  <c r="AH12" i="6"/>
  <c r="AI12" i="6"/>
  <c r="AB13" i="6"/>
  <c r="AC13" i="6"/>
  <c r="AD13" i="6"/>
  <c r="AE13" i="6"/>
  <c r="AF13" i="6"/>
  <c r="AG13" i="6"/>
  <c r="AH13" i="6"/>
  <c r="AI13" i="6"/>
  <c r="AB14" i="6"/>
  <c r="AC14" i="6"/>
  <c r="AD14" i="6"/>
  <c r="AE14" i="6"/>
  <c r="AF14" i="6"/>
  <c r="AG14" i="6"/>
  <c r="AH14" i="6"/>
  <c r="AI14" i="6"/>
  <c r="AB15" i="6"/>
  <c r="AC15" i="6"/>
  <c r="AD15" i="6"/>
  <c r="AE15" i="6"/>
  <c r="AF15" i="6"/>
  <c r="AG15" i="6"/>
  <c r="AH15" i="6"/>
  <c r="AI15" i="6"/>
  <c r="AB16" i="6"/>
  <c r="AC16" i="6"/>
  <c r="AD16" i="6"/>
  <c r="AE16" i="6"/>
  <c r="AF16" i="6"/>
  <c r="AG16" i="6"/>
  <c r="AH16" i="6"/>
  <c r="AI16" i="6"/>
  <c r="AB17" i="6"/>
  <c r="AC17" i="6"/>
  <c r="AD17" i="6"/>
  <c r="AE17" i="6"/>
  <c r="AF17" i="6"/>
  <c r="AG17" i="6"/>
  <c r="AH17" i="6"/>
  <c r="AI17" i="6"/>
  <c r="AB18" i="6"/>
  <c r="AC18" i="6"/>
  <c r="AD18" i="6"/>
  <c r="AE18" i="6"/>
  <c r="AF18" i="6"/>
  <c r="AG18" i="6"/>
  <c r="AH18" i="6"/>
  <c r="AI18" i="6"/>
  <c r="AB19" i="6"/>
  <c r="AC19" i="6"/>
  <c r="AD19" i="6"/>
  <c r="AE19" i="6"/>
  <c r="AF19" i="6"/>
  <c r="AG19" i="6"/>
  <c r="AH19" i="6"/>
  <c r="AI19" i="6"/>
  <c r="AB20" i="6"/>
  <c r="AC20" i="6"/>
  <c r="AD20" i="6"/>
  <c r="AE20" i="6"/>
  <c r="AF20" i="6"/>
  <c r="AG20" i="6"/>
  <c r="AH20" i="6"/>
  <c r="AI20" i="6"/>
  <c r="AB21" i="6"/>
  <c r="AC21" i="6"/>
  <c r="AD21" i="6"/>
  <c r="AE21" i="6"/>
  <c r="AF21" i="6"/>
  <c r="AG21" i="6"/>
  <c r="AH21" i="6"/>
  <c r="AI21" i="6"/>
  <c r="AB22" i="6"/>
  <c r="AC22" i="6"/>
  <c r="AD22" i="6"/>
  <c r="AE22" i="6"/>
  <c r="AF22" i="6"/>
  <c r="AG22" i="6"/>
  <c r="AH22" i="6"/>
  <c r="AI22" i="6"/>
  <c r="AB23" i="6"/>
  <c r="AC23" i="6"/>
  <c r="AD23" i="6"/>
  <c r="AE23" i="6"/>
  <c r="AF23" i="6"/>
  <c r="AG23" i="6"/>
  <c r="AH23" i="6"/>
  <c r="AI23" i="6"/>
  <c r="AB24" i="6"/>
  <c r="AC24" i="6"/>
  <c r="AD24" i="6"/>
  <c r="AE24" i="6"/>
  <c r="AF24" i="6"/>
  <c r="AG24" i="6"/>
  <c r="AH24" i="6"/>
  <c r="AI24" i="6"/>
  <c r="AB25" i="6"/>
  <c r="AC25" i="6"/>
  <c r="AD25" i="6"/>
  <c r="AE25" i="6"/>
  <c r="AF25" i="6"/>
  <c r="AG25" i="6"/>
  <c r="AH25" i="6"/>
  <c r="AI25" i="6"/>
  <c r="AB26" i="6"/>
  <c r="AC26" i="6"/>
  <c r="AD26" i="6"/>
  <c r="AE26" i="6"/>
  <c r="AF26" i="6"/>
  <c r="AG26" i="6"/>
  <c r="AH26" i="6"/>
  <c r="AI26" i="6"/>
  <c r="AB27" i="6"/>
  <c r="AC27" i="6"/>
  <c r="AD27" i="6"/>
  <c r="AE27" i="6"/>
  <c r="AF27" i="6"/>
  <c r="AG27" i="6"/>
  <c r="AH27" i="6"/>
  <c r="AI27" i="6"/>
  <c r="AB28" i="6"/>
  <c r="AC28" i="6"/>
  <c r="AD28" i="6"/>
  <c r="AE28" i="6"/>
  <c r="AF28" i="6"/>
  <c r="AG28" i="6"/>
  <c r="AH28" i="6"/>
  <c r="AI28" i="6"/>
  <c r="AB29" i="6"/>
  <c r="AC29" i="6"/>
  <c r="AD29" i="6"/>
  <c r="AE29" i="6"/>
  <c r="AF29" i="6"/>
  <c r="AG29" i="6"/>
  <c r="AH29" i="6"/>
  <c r="AI29" i="6"/>
  <c r="AB30" i="6"/>
  <c r="AC30" i="6"/>
  <c r="AD30" i="6"/>
  <c r="AE30" i="6"/>
  <c r="AF30" i="6"/>
  <c r="AG30" i="6"/>
  <c r="AH30" i="6"/>
  <c r="AI30" i="6"/>
  <c r="AB31" i="6"/>
  <c r="AC31" i="6"/>
  <c r="AD31" i="6"/>
  <c r="AE31" i="6"/>
  <c r="AF31" i="6"/>
  <c r="AG31" i="6"/>
  <c r="AH31" i="6"/>
  <c r="AI31" i="6"/>
  <c r="AB32" i="6"/>
  <c r="AC32" i="6"/>
  <c r="AD32" i="6"/>
  <c r="AE32" i="6"/>
  <c r="AF32" i="6"/>
  <c r="AG32" i="6"/>
  <c r="AH32" i="6"/>
  <c r="AI32" i="6"/>
  <c r="AB33" i="6"/>
  <c r="AC33" i="6"/>
  <c r="AD33" i="6"/>
  <c r="AE33" i="6"/>
  <c r="AF33" i="6"/>
  <c r="AG33" i="6"/>
  <c r="AH33" i="6"/>
  <c r="AI33" i="6"/>
  <c r="AB34" i="6"/>
  <c r="AC34" i="6"/>
  <c r="AD34" i="6"/>
  <c r="AE34" i="6"/>
  <c r="AF34" i="6"/>
  <c r="AG34" i="6"/>
  <c r="AH34" i="6"/>
  <c r="AI34" i="6"/>
  <c r="AB35" i="6"/>
  <c r="AC35" i="6"/>
  <c r="AD35" i="6"/>
  <c r="AE35" i="6"/>
  <c r="AF35" i="6"/>
  <c r="AG35" i="6"/>
  <c r="AH35" i="6"/>
  <c r="AI35" i="6"/>
  <c r="AB36" i="6"/>
  <c r="AC36" i="6"/>
  <c r="AD36" i="6"/>
  <c r="AE36" i="6"/>
  <c r="AF36" i="6"/>
  <c r="AG36" i="6"/>
  <c r="AH36" i="6"/>
  <c r="AI36" i="6"/>
  <c r="AB37" i="6"/>
  <c r="AC37" i="6"/>
  <c r="AD37" i="6"/>
  <c r="AE37" i="6"/>
  <c r="AF37" i="6"/>
  <c r="AG37" i="6"/>
  <c r="AH37" i="6"/>
  <c r="AI37" i="6"/>
  <c r="AB38" i="6"/>
  <c r="AC38" i="6"/>
  <c r="AD38" i="6"/>
  <c r="AE38" i="6"/>
  <c r="AF38" i="6"/>
  <c r="AG38" i="6"/>
  <c r="AH38" i="6"/>
  <c r="AI38" i="6"/>
  <c r="AB39" i="6"/>
  <c r="AC39" i="6"/>
  <c r="AD39" i="6"/>
  <c r="AE39" i="6"/>
  <c r="AF39" i="6"/>
  <c r="AG39" i="6"/>
  <c r="AH39" i="6"/>
  <c r="AI39" i="6"/>
  <c r="AB40" i="6"/>
  <c r="AC40" i="6"/>
  <c r="AD40" i="6"/>
  <c r="AE40" i="6"/>
  <c r="AF40" i="6"/>
  <c r="AG40" i="6"/>
  <c r="AH40" i="6"/>
  <c r="AI40" i="6"/>
  <c r="AB41" i="6"/>
  <c r="AC41" i="6"/>
  <c r="AD41" i="6"/>
  <c r="AE41" i="6"/>
  <c r="AF41" i="6"/>
  <c r="AG41" i="6"/>
  <c r="AH41" i="6"/>
  <c r="AI41" i="6"/>
  <c r="AB42" i="6"/>
  <c r="AC42" i="6"/>
  <c r="AD42" i="6"/>
  <c r="AE42" i="6"/>
  <c r="AF42" i="6"/>
  <c r="AG42" i="6"/>
  <c r="AH42" i="6"/>
  <c r="AI42" i="6"/>
  <c r="AB43" i="6"/>
  <c r="AC43" i="6"/>
  <c r="AD43" i="6"/>
  <c r="AE43" i="6"/>
  <c r="AF43" i="6"/>
  <c r="AG43" i="6"/>
  <c r="AH43" i="6"/>
  <c r="AI43" i="6"/>
  <c r="AB44" i="6"/>
  <c r="AC44" i="6"/>
  <c r="AD44" i="6"/>
  <c r="AE44" i="6"/>
  <c r="AF44" i="6"/>
  <c r="AG44" i="6"/>
  <c r="AH44" i="6"/>
  <c r="AI44" i="6"/>
  <c r="AB45" i="6"/>
  <c r="AC45" i="6"/>
  <c r="AD45" i="6"/>
  <c r="AE45" i="6"/>
  <c r="AF45" i="6"/>
  <c r="AG45" i="6"/>
  <c r="AH45" i="6"/>
  <c r="AI45" i="6"/>
  <c r="AB46" i="6"/>
  <c r="AC46" i="6"/>
  <c r="AD46" i="6"/>
  <c r="AE46" i="6"/>
  <c r="AF46" i="6"/>
  <c r="AG46" i="6"/>
  <c r="AH46" i="6"/>
  <c r="AI46" i="6"/>
  <c r="AB47" i="6"/>
  <c r="AC47" i="6"/>
  <c r="AD47" i="6"/>
  <c r="AE47" i="6"/>
  <c r="AF47" i="6"/>
  <c r="AG47" i="6"/>
  <c r="AH47" i="6"/>
  <c r="AI47" i="6"/>
  <c r="AB48" i="6"/>
  <c r="AC48" i="6"/>
  <c r="AD48" i="6"/>
  <c r="AE48" i="6"/>
  <c r="AF48" i="6"/>
  <c r="AG48" i="6"/>
  <c r="AH48" i="6"/>
  <c r="AI48" i="6"/>
  <c r="AB49" i="6"/>
  <c r="AC49" i="6"/>
  <c r="AD49" i="6"/>
  <c r="AE49" i="6"/>
  <c r="AF49" i="6"/>
  <c r="AG49" i="6"/>
  <c r="AH49" i="6"/>
  <c r="AI49" i="6"/>
  <c r="AB50" i="6"/>
  <c r="AC50" i="6"/>
  <c r="AD50" i="6"/>
  <c r="AE50" i="6"/>
  <c r="AF50" i="6"/>
  <c r="AG50" i="6"/>
  <c r="AH50" i="6"/>
  <c r="AI50" i="6"/>
  <c r="AB51" i="6"/>
  <c r="AC51" i="6"/>
  <c r="AD51" i="6"/>
  <c r="AE51" i="6"/>
  <c r="AF51" i="6"/>
  <c r="AG51" i="6"/>
  <c r="AH51" i="6"/>
  <c r="AI51" i="6"/>
  <c r="AB52" i="6"/>
  <c r="AC52" i="6"/>
  <c r="AD52" i="6"/>
  <c r="AE52" i="6"/>
  <c r="AF52" i="6"/>
  <c r="AG52" i="6"/>
  <c r="AH52" i="6"/>
  <c r="AI52" i="6"/>
  <c r="AB53" i="6"/>
  <c r="AC53" i="6"/>
  <c r="AD53" i="6"/>
  <c r="AE53" i="6"/>
  <c r="AF53" i="6"/>
  <c r="AG53" i="6"/>
  <c r="AH53" i="6"/>
  <c r="AI53" i="6"/>
  <c r="AB54" i="6"/>
  <c r="AC54" i="6"/>
  <c r="AD54" i="6"/>
  <c r="AE54" i="6"/>
  <c r="AF54" i="6"/>
  <c r="AG54" i="6"/>
  <c r="AH54" i="6"/>
  <c r="AI54" i="6"/>
  <c r="AB55" i="6"/>
  <c r="AC55" i="6"/>
  <c r="AD55" i="6"/>
  <c r="AE55" i="6"/>
  <c r="AF55" i="6"/>
  <c r="AG55" i="6"/>
  <c r="AH55" i="6"/>
  <c r="AI55" i="6"/>
  <c r="AB56" i="6"/>
  <c r="AC56" i="6"/>
  <c r="AD56" i="6"/>
  <c r="AE56" i="6"/>
  <c r="AF56" i="6"/>
  <c r="AG56" i="6"/>
  <c r="AH56" i="6"/>
  <c r="AI56" i="6"/>
  <c r="AB57" i="6"/>
  <c r="AC57" i="6"/>
  <c r="AD57" i="6"/>
  <c r="AE57" i="6"/>
  <c r="AF57" i="6"/>
  <c r="AG57" i="6"/>
  <c r="AH57" i="6"/>
  <c r="AI57" i="6"/>
  <c r="AB58" i="6"/>
  <c r="AC58" i="6"/>
  <c r="AD58" i="6"/>
  <c r="AE58" i="6"/>
  <c r="AF58" i="6"/>
  <c r="AG58" i="6"/>
  <c r="AH58" i="6"/>
  <c r="AI58" i="6"/>
  <c r="AB59" i="6"/>
  <c r="AC59" i="6"/>
  <c r="AD59" i="6"/>
  <c r="AE59" i="6"/>
  <c r="AF59" i="6"/>
  <c r="AG59" i="6"/>
  <c r="AH59" i="6"/>
  <c r="AI59" i="6"/>
  <c r="AB60" i="6"/>
  <c r="AC60" i="6"/>
  <c r="AD60" i="6"/>
  <c r="AE60" i="6"/>
  <c r="AF60" i="6"/>
  <c r="AG60" i="6"/>
  <c r="AH60" i="6"/>
  <c r="AI60" i="6"/>
  <c r="AB61" i="6"/>
  <c r="AC61" i="6"/>
  <c r="AD61" i="6"/>
  <c r="AE61" i="6"/>
  <c r="AF61" i="6"/>
  <c r="AG61" i="6"/>
  <c r="AH61" i="6"/>
  <c r="AI61" i="6"/>
  <c r="AB62" i="6"/>
  <c r="AC62" i="6"/>
  <c r="AD62" i="6"/>
  <c r="AE62" i="6"/>
  <c r="AF62" i="6"/>
  <c r="AG62" i="6"/>
  <c r="AH62" i="6"/>
  <c r="AI62" i="6"/>
  <c r="AB63" i="6"/>
  <c r="AC63" i="6"/>
  <c r="AD63" i="6"/>
  <c r="AE63" i="6"/>
  <c r="AF63" i="6"/>
  <c r="AG63" i="6"/>
  <c r="AH63" i="6"/>
  <c r="AI63" i="6"/>
  <c r="AB64" i="6"/>
  <c r="AC64" i="6"/>
  <c r="AD64" i="6"/>
  <c r="AE64" i="6"/>
  <c r="AF64" i="6"/>
  <c r="AG64" i="6"/>
  <c r="AH64" i="6"/>
  <c r="AI64" i="6"/>
  <c r="AB65" i="6"/>
  <c r="AC65" i="6"/>
  <c r="AD65" i="6"/>
  <c r="AE65" i="6"/>
  <c r="AF65" i="6"/>
  <c r="AG65" i="6"/>
  <c r="AH65" i="6"/>
  <c r="AI65" i="6"/>
  <c r="AB66" i="6"/>
  <c r="AC66" i="6"/>
  <c r="AD66" i="6"/>
  <c r="AE66" i="6"/>
  <c r="AF66" i="6"/>
  <c r="AG66" i="6"/>
  <c r="AH66" i="6"/>
  <c r="AI66" i="6"/>
  <c r="AB67" i="6"/>
  <c r="AC67" i="6"/>
  <c r="AD67" i="6"/>
  <c r="AE67" i="6"/>
  <c r="AF67" i="6"/>
  <c r="AG67" i="6"/>
  <c r="AH67" i="6"/>
  <c r="AI67" i="6"/>
  <c r="AB68" i="6"/>
  <c r="AC68" i="6"/>
  <c r="AD68" i="6"/>
  <c r="AE68" i="6"/>
  <c r="AF68" i="6"/>
  <c r="AG68" i="6"/>
  <c r="AH68" i="6"/>
  <c r="AI68" i="6"/>
  <c r="AB69" i="6"/>
  <c r="AC69" i="6"/>
  <c r="AD69" i="6"/>
  <c r="AE69" i="6"/>
  <c r="AF69" i="6"/>
  <c r="AG69" i="6"/>
  <c r="AH69" i="6"/>
  <c r="AI69" i="6"/>
  <c r="AB70" i="6"/>
  <c r="AC70" i="6"/>
  <c r="AD70" i="6"/>
  <c r="AE70" i="6"/>
  <c r="AF70" i="6"/>
  <c r="AG70" i="6"/>
  <c r="AH70" i="6"/>
  <c r="AI70" i="6"/>
  <c r="AB71" i="6"/>
  <c r="AC71" i="6"/>
  <c r="AD71" i="6"/>
  <c r="AE71" i="6"/>
  <c r="AF71" i="6"/>
  <c r="AG71" i="6"/>
  <c r="AH71" i="6"/>
  <c r="AI71" i="6"/>
  <c r="AB72" i="6"/>
  <c r="AC72" i="6"/>
  <c r="AD72" i="6"/>
  <c r="AE72" i="6"/>
  <c r="AF72" i="6"/>
  <c r="AG72" i="6"/>
  <c r="AH72" i="6"/>
  <c r="AI72" i="6"/>
  <c r="AB73" i="6"/>
  <c r="AC73" i="6"/>
  <c r="AD73" i="6"/>
  <c r="AE73" i="6"/>
  <c r="AF73" i="6"/>
  <c r="AG73" i="6"/>
  <c r="AH73" i="6"/>
  <c r="AI73" i="6"/>
  <c r="AB74" i="6"/>
  <c r="AC74" i="6"/>
  <c r="AD74" i="6"/>
  <c r="AE74" i="6"/>
  <c r="AF74" i="6"/>
  <c r="AG74" i="6"/>
  <c r="AH74" i="6"/>
  <c r="AI74" i="6"/>
  <c r="AB75" i="6"/>
  <c r="AC75" i="6"/>
  <c r="AD75" i="6"/>
  <c r="AE75" i="6"/>
  <c r="AF75" i="6"/>
  <c r="AG75" i="6"/>
  <c r="AH75" i="6"/>
  <c r="AI75" i="6"/>
  <c r="AB76" i="6"/>
  <c r="AC76" i="6"/>
  <c r="AD76" i="6"/>
  <c r="AE76" i="6"/>
  <c r="AF76" i="6"/>
  <c r="AG76" i="6"/>
  <c r="AH76" i="6"/>
  <c r="AI76" i="6"/>
  <c r="AB77" i="6"/>
  <c r="AC77" i="6"/>
  <c r="AD77" i="6"/>
  <c r="AE77" i="6"/>
  <c r="AF77" i="6"/>
  <c r="AG77" i="6"/>
  <c r="AH77" i="6"/>
  <c r="AI77" i="6"/>
  <c r="AB78" i="6"/>
  <c r="AC78" i="6"/>
  <c r="AD78" i="6"/>
  <c r="AE78" i="6"/>
  <c r="AF78" i="6"/>
  <c r="AG78" i="6"/>
  <c r="AH78" i="6"/>
  <c r="AI78" i="6"/>
  <c r="AB79" i="6"/>
  <c r="AC79" i="6"/>
  <c r="AD79" i="6"/>
  <c r="AE79" i="6"/>
  <c r="AF79" i="6"/>
  <c r="AG79" i="6"/>
  <c r="AH79" i="6"/>
  <c r="AI79" i="6"/>
  <c r="AB80" i="6"/>
  <c r="AC80" i="6"/>
  <c r="AD80" i="6"/>
  <c r="AE80" i="6"/>
  <c r="AF80" i="6"/>
  <c r="AG80" i="6"/>
  <c r="AH80" i="6"/>
  <c r="AI80" i="6"/>
  <c r="AB81" i="6"/>
  <c r="AC81" i="6"/>
  <c r="AD81" i="6"/>
  <c r="AE81" i="6"/>
  <c r="AF81" i="6"/>
  <c r="AG81" i="6"/>
  <c r="AH81" i="6"/>
  <c r="AI81" i="6"/>
  <c r="AB82" i="6"/>
  <c r="AC82" i="6"/>
  <c r="AD82" i="6"/>
  <c r="AE82" i="6"/>
  <c r="AF82" i="6"/>
  <c r="AG82" i="6"/>
  <c r="AH82" i="6"/>
  <c r="AI82" i="6"/>
  <c r="AB83" i="6"/>
  <c r="AC83" i="6"/>
  <c r="AD83" i="6"/>
  <c r="AE83" i="6"/>
  <c r="AF83" i="6"/>
  <c r="AG83" i="6"/>
  <c r="AH83" i="6"/>
  <c r="AI83" i="6"/>
  <c r="AB84" i="6"/>
  <c r="AC84" i="6"/>
  <c r="AD84" i="6"/>
  <c r="AE84" i="6"/>
  <c r="AF84" i="6"/>
  <c r="AG84" i="6"/>
  <c r="AH84" i="6"/>
  <c r="AI84" i="6"/>
  <c r="AB85" i="6"/>
  <c r="AC85" i="6"/>
  <c r="AD85" i="6"/>
  <c r="AE85" i="6"/>
  <c r="AF85" i="6"/>
  <c r="AG85" i="6"/>
  <c r="AH85" i="6"/>
  <c r="AI85" i="6"/>
  <c r="AB86" i="6"/>
  <c r="AC86" i="6"/>
  <c r="AD86" i="6"/>
  <c r="AE86" i="6"/>
  <c r="AF86" i="6"/>
  <c r="AG86" i="6"/>
  <c r="AH86" i="6"/>
  <c r="AI86" i="6"/>
  <c r="AB87" i="6"/>
  <c r="AC87" i="6"/>
  <c r="AD87" i="6"/>
  <c r="AE87" i="6"/>
  <c r="AF87" i="6"/>
  <c r="AG87" i="6"/>
  <c r="AH87" i="6"/>
  <c r="AI87" i="6"/>
  <c r="AB88" i="6"/>
  <c r="AC88" i="6"/>
  <c r="AD88" i="6"/>
  <c r="AE88" i="6"/>
  <c r="AF88" i="6"/>
  <c r="AG88" i="6"/>
  <c r="AH88" i="6"/>
  <c r="AI88" i="6"/>
  <c r="AB89" i="6"/>
  <c r="AC89" i="6"/>
  <c r="AD89" i="6"/>
  <c r="AE89" i="6"/>
  <c r="AF89" i="6"/>
  <c r="AG89" i="6"/>
  <c r="AH89" i="6"/>
  <c r="AI89" i="6"/>
  <c r="AB90" i="6"/>
  <c r="AC90" i="6"/>
  <c r="AD90" i="6"/>
  <c r="AE90" i="6"/>
  <c r="AF90" i="6"/>
  <c r="AG90" i="6"/>
  <c r="AH90" i="6"/>
  <c r="AI90" i="6"/>
  <c r="AB91" i="6"/>
  <c r="AC91" i="6"/>
  <c r="AD91" i="6"/>
  <c r="AE91" i="6"/>
  <c r="AF91" i="6"/>
  <c r="AG91" i="6"/>
  <c r="AH91" i="6"/>
  <c r="AI91" i="6"/>
  <c r="AB92" i="6"/>
  <c r="AC92" i="6"/>
  <c r="AD92" i="6"/>
  <c r="AE92" i="6"/>
  <c r="AF92" i="6"/>
  <c r="AG92" i="6"/>
  <c r="AH92" i="6"/>
  <c r="AI92" i="6"/>
  <c r="AB93" i="6"/>
  <c r="AC93" i="6"/>
  <c r="AD93" i="6"/>
  <c r="AE93" i="6"/>
  <c r="AF93" i="6"/>
  <c r="AG93" i="6"/>
  <c r="AH93" i="6"/>
  <c r="AI93" i="6"/>
  <c r="AB94" i="6"/>
  <c r="AC94" i="6"/>
  <c r="AD94" i="6"/>
  <c r="AE94" i="6"/>
  <c r="AF94" i="6"/>
  <c r="AG94" i="6"/>
  <c r="AH94" i="6"/>
  <c r="AI94" i="6"/>
  <c r="AB95" i="6"/>
  <c r="AC95" i="6"/>
  <c r="AD95" i="6"/>
  <c r="AE95" i="6"/>
  <c r="AF95" i="6"/>
  <c r="AG95" i="6"/>
  <c r="AH95" i="6"/>
  <c r="AI95" i="6"/>
  <c r="AB96" i="6"/>
  <c r="AC96" i="6"/>
  <c r="AD96" i="6"/>
  <c r="AE96" i="6"/>
  <c r="AF96" i="6"/>
  <c r="AG96" i="6"/>
  <c r="AH96" i="6"/>
  <c r="AI96" i="6"/>
  <c r="AB97" i="6"/>
  <c r="AC97" i="6"/>
  <c r="AD97" i="6"/>
  <c r="AE97" i="6"/>
  <c r="AF97" i="6"/>
  <c r="AG97" i="6"/>
  <c r="AH97" i="6"/>
  <c r="AI97" i="6"/>
  <c r="AB98" i="6"/>
  <c r="AC98" i="6"/>
  <c r="AD98" i="6"/>
  <c r="AE98" i="6"/>
  <c r="AF98" i="6"/>
  <c r="AG98" i="6"/>
  <c r="AH98" i="6"/>
  <c r="AI98" i="6"/>
  <c r="AB99" i="6"/>
  <c r="AC99" i="6"/>
  <c r="AD99" i="6"/>
  <c r="AE99" i="6"/>
  <c r="AF99" i="6"/>
  <c r="AG99" i="6"/>
  <c r="AH99" i="6"/>
  <c r="AI99" i="6"/>
  <c r="AB100" i="6"/>
  <c r="AC100" i="6"/>
  <c r="AD100" i="6"/>
  <c r="AE100" i="6"/>
  <c r="AF100" i="6"/>
  <c r="AG100" i="6"/>
  <c r="AH100" i="6"/>
  <c r="AI100" i="6"/>
  <c r="AB101" i="6"/>
  <c r="AC101" i="6"/>
  <c r="AD101" i="6"/>
  <c r="AE101" i="6"/>
  <c r="AF101" i="6"/>
  <c r="AG101" i="6"/>
  <c r="AH101" i="6"/>
  <c r="AI101" i="6"/>
  <c r="AB102" i="6"/>
  <c r="AC102" i="6"/>
  <c r="AD102" i="6"/>
  <c r="AE102" i="6"/>
  <c r="AF102" i="6"/>
  <c r="AG102" i="6"/>
  <c r="AH102" i="6"/>
  <c r="AI102" i="6"/>
  <c r="AB103" i="6"/>
  <c r="AC103" i="6"/>
  <c r="AD103" i="6"/>
  <c r="AE103" i="6"/>
  <c r="AF103" i="6"/>
  <c r="AG103" i="6"/>
  <c r="AH103" i="6"/>
  <c r="AI103" i="6"/>
  <c r="AB104" i="6"/>
  <c r="AC104" i="6"/>
  <c r="AD104" i="6"/>
  <c r="AE104" i="6"/>
  <c r="AF104" i="6"/>
  <c r="AG104" i="6"/>
  <c r="AH104" i="6"/>
  <c r="AI104" i="6"/>
  <c r="AB105" i="6"/>
  <c r="AC105" i="6"/>
  <c r="AD105" i="6"/>
  <c r="AE105" i="6"/>
  <c r="AF105" i="6"/>
  <c r="AG105" i="6"/>
  <c r="AH105" i="6"/>
  <c r="AI105" i="6"/>
  <c r="AB106" i="6"/>
  <c r="AC106" i="6"/>
  <c r="AD106" i="6"/>
  <c r="AE106" i="6"/>
  <c r="AF106" i="6"/>
  <c r="AG106" i="6"/>
  <c r="AH106" i="6"/>
  <c r="AI106" i="6"/>
  <c r="AB107" i="6"/>
  <c r="AC107" i="6"/>
  <c r="AD107" i="6"/>
  <c r="AE107" i="6"/>
  <c r="AF107" i="6"/>
  <c r="AG107" i="6"/>
  <c r="AH107" i="6"/>
  <c r="AI107" i="6"/>
  <c r="AB108" i="6"/>
  <c r="AC108" i="6"/>
  <c r="AD108" i="6"/>
  <c r="AE108" i="6"/>
  <c r="AF108" i="6"/>
  <c r="AG108" i="6"/>
  <c r="AH108" i="6"/>
  <c r="AI108" i="6"/>
  <c r="AB109" i="6"/>
  <c r="AC109" i="6"/>
  <c r="AD109" i="6"/>
  <c r="AE109" i="6"/>
  <c r="AF109" i="6"/>
  <c r="AG109" i="6"/>
  <c r="AH109" i="6"/>
  <c r="AI109" i="6"/>
  <c r="AB110" i="6"/>
  <c r="AC110" i="6"/>
  <c r="AD110" i="6"/>
  <c r="AE110" i="6"/>
  <c r="AF110" i="6"/>
  <c r="AG110" i="6"/>
  <c r="AH110" i="6"/>
  <c r="AI110" i="6"/>
  <c r="AB111" i="6"/>
  <c r="AC111" i="6"/>
  <c r="AD111" i="6"/>
  <c r="AE111" i="6"/>
  <c r="AF111" i="6"/>
  <c r="AG111" i="6"/>
  <c r="AH111" i="6"/>
  <c r="AI111" i="6"/>
  <c r="AB112" i="6"/>
  <c r="AC112" i="6"/>
  <c r="AD112" i="6"/>
  <c r="AE112" i="6"/>
  <c r="AF112" i="6"/>
  <c r="AG112" i="6"/>
  <c r="AH112" i="6"/>
  <c r="AI112" i="6"/>
  <c r="AB113" i="6"/>
  <c r="AC113" i="6"/>
  <c r="AD113" i="6"/>
  <c r="AE113" i="6"/>
  <c r="AF113" i="6"/>
  <c r="AG113" i="6"/>
  <c r="AH113" i="6"/>
  <c r="AI113" i="6"/>
  <c r="AB114" i="6"/>
  <c r="AC114" i="6"/>
  <c r="AD114" i="6"/>
  <c r="AE114" i="6"/>
  <c r="AF114" i="6"/>
  <c r="AG114" i="6"/>
  <c r="AH114" i="6"/>
  <c r="AI114" i="6"/>
  <c r="AB115" i="6"/>
  <c r="AC115" i="6"/>
  <c r="AD115" i="6"/>
  <c r="AE115" i="6"/>
  <c r="AF115" i="6"/>
  <c r="AG115" i="6"/>
  <c r="AH115" i="6"/>
  <c r="AI115" i="6"/>
  <c r="AB116" i="6"/>
  <c r="AC116" i="6"/>
  <c r="AD116" i="6"/>
  <c r="AE116" i="6"/>
  <c r="AF116" i="6"/>
  <c r="AG116" i="6"/>
  <c r="AH116" i="6"/>
  <c r="AI116" i="6"/>
  <c r="AB117" i="6"/>
  <c r="AC117" i="6"/>
  <c r="AD117" i="6"/>
  <c r="AE117" i="6"/>
  <c r="AF117" i="6"/>
  <c r="AG117" i="6"/>
  <c r="AH117" i="6"/>
  <c r="AI117" i="6"/>
  <c r="AB118" i="6"/>
  <c r="AC118" i="6"/>
  <c r="AD118" i="6"/>
  <c r="AE118" i="6"/>
  <c r="AF118" i="6"/>
  <c r="AG118" i="6"/>
  <c r="AH118" i="6"/>
  <c r="AI118" i="6"/>
  <c r="AB119" i="6"/>
  <c r="AC119" i="6"/>
  <c r="AD119" i="6"/>
  <c r="AE119" i="6"/>
  <c r="AF119" i="6"/>
  <c r="AG119" i="6"/>
  <c r="AH119" i="6"/>
  <c r="AI119" i="6"/>
  <c r="AB120" i="6"/>
  <c r="AC120" i="6"/>
  <c r="AD120" i="6"/>
  <c r="AE120" i="6"/>
  <c r="AF120" i="6"/>
  <c r="AG120" i="6"/>
  <c r="AH120" i="6"/>
  <c r="AI120" i="6"/>
  <c r="AB121" i="6"/>
  <c r="AC121" i="6"/>
  <c r="AD121" i="6"/>
  <c r="AE121" i="6"/>
  <c r="AF121" i="6"/>
  <c r="AG121" i="6"/>
  <c r="AH121" i="6"/>
  <c r="AI121" i="6"/>
  <c r="AB122" i="6"/>
  <c r="AC122" i="6"/>
  <c r="AD122" i="6"/>
  <c r="AE122" i="6"/>
  <c r="AF122" i="6"/>
  <c r="AG122" i="6"/>
  <c r="AH122" i="6"/>
  <c r="AI122" i="6"/>
  <c r="AB123" i="6"/>
  <c r="AC123" i="6"/>
  <c r="AD123" i="6"/>
  <c r="AE123" i="6"/>
  <c r="AF123" i="6"/>
  <c r="AG123" i="6"/>
  <c r="AH123" i="6"/>
  <c r="AI123" i="6"/>
  <c r="AB124" i="6"/>
  <c r="AC124" i="6"/>
  <c r="AD124" i="6"/>
  <c r="AE124" i="6"/>
  <c r="AF124" i="6"/>
  <c r="AG124" i="6"/>
  <c r="AH124" i="6"/>
  <c r="AI124" i="6"/>
  <c r="AB125" i="6"/>
  <c r="AC125" i="6"/>
  <c r="AD125" i="6"/>
  <c r="AE125" i="6"/>
  <c r="AF125" i="6"/>
  <c r="AG125" i="6"/>
  <c r="AH125" i="6"/>
  <c r="AI125" i="6"/>
  <c r="AB126" i="6"/>
  <c r="AC126" i="6"/>
  <c r="AD126" i="6"/>
  <c r="AE126" i="6"/>
  <c r="AF126" i="6"/>
  <c r="AG126" i="6"/>
  <c r="AH126" i="6"/>
  <c r="AI126" i="6"/>
  <c r="AB127" i="6"/>
  <c r="AC127" i="6"/>
  <c r="AD127" i="6"/>
  <c r="AE127" i="6"/>
  <c r="AF127" i="6"/>
  <c r="AG127" i="6"/>
  <c r="AH127" i="6"/>
  <c r="AI127" i="6"/>
  <c r="AB128" i="6"/>
  <c r="AC128" i="6"/>
  <c r="AD128" i="6"/>
  <c r="AE128" i="6"/>
  <c r="AF128" i="6"/>
  <c r="AG128" i="6"/>
  <c r="AH128" i="6"/>
  <c r="AI128" i="6"/>
  <c r="AB129" i="6"/>
  <c r="AC129" i="6"/>
  <c r="AD129" i="6"/>
  <c r="AE129" i="6"/>
  <c r="AF129" i="6"/>
  <c r="AG129" i="6"/>
  <c r="AH129" i="6"/>
  <c r="AI129" i="6"/>
  <c r="AB130" i="6"/>
  <c r="AC130" i="6"/>
  <c r="AD130" i="6"/>
  <c r="AE130" i="6"/>
  <c r="AF130" i="6"/>
  <c r="AG130" i="6"/>
  <c r="AH130" i="6"/>
  <c r="AI130" i="6"/>
  <c r="AB131" i="6"/>
  <c r="AC131" i="6"/>
  <c r="AD131" i="6"/>
  <c r="AE131" i="6"/>
  <c r="AF131" i="6"/>
  <c r="AG131" i="6"/>
  <c r="AH131" i="6"/>
  <c r="AI131" i="6"/>
  <c r="AB132" i="6"/>
  <c r="AC132" i="6"/>
  <c r="AD132" i="6"/>
  <c r="AE132" i="6"/>
  <c r="AF132" i="6"/>
  <c r="AG132" i="6"/>
  <c r="AH132" i="6"/>
  <c r="AI132" i="6"/>
  <c r="AB133" i="6"/>
  <c r="AC133" i="6"/>
  <c r="AD133" i="6"/>
  <c r="AE133" i="6"/>
  <c r="AF133" i="6"/>
  <c r="AG133" i="6"/>
  <c r="AH133" i="6"/>
  <c r="AI133" i="6"/>
  <c r="AB134" i="6"/>
  <c r="AC134" i="6"/>
  <c r="AD134" i="6"/>
  <c r="AE134" i="6"/>
  <c r="AF134" i="6"/>
  <c r="AG134" i="6"/>
  <c r="AH134" i="6"/>
  <c r="AI134" i="6"/>
  <c r="AB135" i="6"/>
  <c r="AC135" i="6"/>
  <c r="AD135" i="6"/>
  <c r="AE135" i="6"/>
  <c r="AF135" i="6"/>
  <c r="AG135" i="6"/>
  <c r="AH135" i="6"/>
  <c r="AI135" i="6"/>
  <c r="AB136" i="6"/>
  <c r="AC136" i="6"/>
  <c r="AD136" i="6"/>
  <c r="AE136" i="6"/>
  <c r="AF136" i="6"/>
  <c r="AG136" i="6"/>
  <c r="AH136" i="6"/>
  <c r="AI136" i="6"/>
  <c r="AB137" i="6"/>
  <c r="AC137" i="6"/>
  <c r="AD137" i="6"/>
  <c r="AE137" i="6"/>
  <c r="AF137" i="6"/>
  <c r="AG137" i="6"/>
  <c r="AH137" i="6"/>
  <c r="AI137" i="6"/>
  <c r="AB138" i="6"/>
  <c r="AC138" i="6"/>
  <c r="AD138" i="6"/>
  <c r="AE138" i="6"/>
  <c r="AF138" i="6"/>
  <c r="AG138" i="6"/>
  <c r="AH138" i="6"/>
  <c r="AI138" i="6"/>
  <c r="AB139" i="6"/>
  <c r="AC139" i="6"/>
  <c r="AD139" i="6"/>
  <c r="AE139" i="6"/>
  <c r="AF139" i="6"/>
  <c r="AG139" i="6"/>
  <c r="AH139" i="6"/>
  <c r="AI139" i="6"/>
  <c r="AB140" i="6"/>
  <c r="AC140" i="6"/>
  <c r="AD140" i="6"/>
  <c r="AE140" i="6"/>
  <c r="AF140" i="6"/>
  <c r="AG140" i="6"/>
  <c r="AH140" i="6"/>
  <c r="AI140" i="6"/>
  <c r="AC2" i="6"/>
  <c r="AD2" i="6"/>
  <c r="AE2" i="6"/>
  <c r="AF2" i="6"/>
  <c r="AG2" i="6"/>
  <c r="AH2" i="6"/>
  <c r="AI2" i="6"/>
  <c r="AB2" i="6"/>
  <c r="AN3" i="9"/>
  <c r="AN4" i="9"/>
  <c r="AN5" i="9"/>
  <c r="AN6" i="9"/>
  <c r="AN7" i="9"/>
  <c r="AN8" i="9"/>
  <c r="AN9" i="9"/>
  <c r="AN10" i="9"/>
  <c r="AN11" i="9"/>
  <c r="AN12" i="9"/>
  <c r="AN13" i="9"/>
  <c r="AN14" i="9"/>
  <c r="AN15" i="9"/>
  <c r="AN16" i="9"/>
  <c r="AN17" i="9"/>
  <c r="AN18" i="9"/>
  <c r="AN19" i="9"/>
  <c r="AN20" i="9"/>
  <c r="AN21" i="9"/>
  <c r="AN22" i="9"/>
  <c r="AN23" i="9"/>
  <c r="AN24" i="9"/>
  <c r="AN25" i="9"/>
  <c r="AN26" i="9"/>
  <c r="AN27" i="9"/>
  <c r="AN28" i="9"/>
  <c r="AN29" i="9"/>
  <c r="AN30" i="9"/>
  <c r="AN31" i="9"/>
  <c r="AN32" i="9"/>
  <c r="AN33" i="9"/>
  <c r="AN34" i="9"/>
  <c r="AN35" i="9"/>
  <c r="AN36" i="9"/>
  <c r="AN37" i="9"/>
  <c r="AN38" i="9"/>
  <c r="AN39" i="9"/>
  <c r="AN40" i="9"/>
  <c r="AN41" i="9"/>
  <c r="AN42" i="9"/>
  <c r="AN43" i="9"/>
  <c r="AN44" i="9"/>
  <c r="AN45" i="9"/>
  <c r="AN46" i="9"/>
  <c r="AN47" i="9"/>
  <c r="AN48" i="9"/>
  <c r="AN49" i="9"/>
  <c r="AN50" i="9"/>
  <c r="AN51" i="9"/>
  <c r="AN52" i="9"/>
  <c r="AN53" i="9"/>
  <c r="AN54" i="9"/>
  <c r="AN55" i="9"/>
  <c r="AN56" i="9"/>
  <c r="AN57" i="9"/>
  <c r="AN58" i="9"/>
  <c r="AN59" i="9"/>
  <c r="AN60" i="9"/>
  <c r="AN61" i="9"/>
  <c r="AN62" i="9"/>
  <c r="AN63" i="9"/>
  <c r="AN64" i="9"/>
  <c r="AN65" i="9"/>
  <c r="AN66" i="9"/>
  <c r="AN67" i="9"/>
  <c r="AN68" i="9"/>
  <c r="AN69" i="9"/>
  <c r="AN70" i="9"/>
  <c r="AN71" i="9"/>
  <c r="AN72" i="9"/>
  <c r="AN73" i="9"/>
  <c r="AN74" i="9"/>
  <c r="AN75" i="9"/>
  <c r="AN76" i="9"/>
  <c r="AN77" i="9"/>
  <c r="AN78" i="9"/>
  <c r="AN79" i="9"/>
  <c r="AN80" i="9"/>
  <c r="AN81" i="9"/>
  <c r="AN82" i="9"/>
  <c r="AN83" i="9"/>
  <c r="AN84" i="9"/>
  <c r="AN85" i="9"/>
  <c r="AN86" i="9"/>
  <c r="AN87" i="9"/>
  <c r="AN88" i="9"/>
  <c r="AN89" i="9"/>
  <c r="AN90" i="9"/>
  <c r="AN91" i="9"/>
  <c r="AN92" i="9"/>
  <c r="AN93" i="9"/>
  <c r="AN94" i="9"/>
  <c r="AN95" i="9"/>
  <c r="AN96" i="9"/>
  <c r="AN97" i="9"/>
  <c r="AN98" i="9"/>
  <c r="AN99" i="9"/>
  <c r="AN100" i="9"/>
  <c r="AN101" i="9"/>
  <c r="AN102" i="9"/>
  <c r="AN103" i="9"/>
  <c r="AN104" i="9"/>
  <c r="AN105" i="9"/>
  <c r="AN106" i="9"/>
  <c r="AN107" i="9"/>
  <c r="AN108" i="9"/>
  <c r="AN109" i="9"/>
  <c r="AN110" i="9"/>
  <c r="AN111" i="9"/>
  <c r="AN112" i="9"/>
  <c r="AN113" i="9"/>
  <c r="AN114" i="9"/>
  <c r="AN115" i="9"/>
  <c r="AN116" i="9"/>
  <c r="AN117" i="9"/>
  <c r="AN118" i="9"/>
  <c r="AN119" i="9"/>
  <c r="AN120" i="9"/>
  <c r="AN121" i="9"/>
  <c r="AN122" i="9"/>
  <c r="AN123" i="9"/>
  <c r="AN124" i="9"/>
  <c r="AN125" i="9"/>
  <c r="AN126" i="9"/>
  <c r="AN127" i="9"/>
  <c r="AN128" i="9"/>
  <c r="AN129" i="9"/>
  <c r="AN130" i="9"/>
  <c r="AN131" i="9"/>
  <c r="AN132" i="9"/>
  <c r="AN133" i="9"/>
  <c r="AN134" i="9"/>
  <c r="AN135" i="9"/>
  <c r="AN136" i="9"/>
  <c r="AN137" i="9"/>
  <c r="AN138" i="9"/>
  <c r="AN139" i="9"/>
  <c r="AN140" i="9"/>
  <c r="AN141" i="9"/>
  <c r="AN142" i="9"/>
  <c r="AN143" i="9"/>
  <c r="AN144" i="9"/>
  <c r="AN145" i="9"/>
  <c r="AN146" i="9"/>
  <c r="AN147" i="9"/>
  <c r="AN148" i="9"/>
  <c r="AN149" i="9"/>
  <c r="AN150" i="9"/>
  <c r="AN2" i="9"/>
  <c r="AM3" i="9"/>
  <c r="AM4" i="9"/>
  <c r="AM5" i="9"/>
  <c r="AM6" i="9"/>
  <c r="AM7" i="9"/>
  <c r="AM8" i="9"/>
  <c r="AM9" i="9"/>
  <c r="AM10" i="9"/>
  <c r="AM11" i="9"/>
  <c r="AM12" i="9"/>
  <c r="AM13" i="9"/>
  <c r="AM14" i="9"/>
  <c r="AM15" i="9"/>
  <c r="AM16" i="9"/>
  <c r="AM17" i="9"/>
  <c r="AM18" i="9"/>
  <c r="AM19" i="9"/>
  <c r="AM20" i="9"/>
  <c r="AM21" i="9"/>
  <c r="AM22" i="9"/>
  <c r="AM23" i="9"/>
  <c r="AM24" i="9"/>
  <c r="AM25" i="9"/>
  <c r="AM26" i="9"/>
  <c r="AM27" i="9"/>
  <c r="AM28" i="9"/>
  <c r="AM29" i="9"/>
  <c r="AM30" i="9"/>
  <c r="AM31" i="9"/>
  <c r="AM32" i="9"/>
  <c r="AM33" i="9"/>
  <c r="AM34" i="9"/>
  <c r="AM35" i="9"/>
  <c r="AM36" i="9"/>
  <c r="AM37" i="9"/>
  <c r="AM38" i="9"/>
  <c r="AM39" i="9"/>
  <c r="AM40" i="9"/>
  <c r="AM41" i="9"/>
  <c r="AM42" i="9"/>
  <c r="AM43" i="9"/>
  <c r="AM44" i="9"/>
  <c r="AM45" i="9"/>
  <c r="AM46" i="9"/>
  <c r="AM47" i="9"/>
  <c r="AM48" i="9"/>
  <c r="AM49" i="9"/>
  <c r="AM50" i="9"/>
  <c r="AM51" i="9"/>
  <c r="AM52" i="9"/>
  <c r="AM53" i="9"/>
  <c r="AM54" i="9"/>
  <c r="AM55" i="9"/>
  <c r="AM56" i="9"/>
  <c r="AM57" i="9"/>
  <c r="AM58" i="9"/>
  <c r="AM59" i="9"/>
  <c r="AM60" i="9"/>
  <c r="AM61" i="9"/>
  <c r="AM62" i="9"/>
  <c r="AM63" i="9"/>
  <c r="AM64" i="9"/>
  <c r="AM65" i="9"/>
  <c r="AM66" i="9"/>
  <c r="AM67" i="9"/>
  <c r="AM68" i="9"/>
  <c r="AM69" i="9"/>
  <c r="AM70" i="9"/>
  <c r="AM71" i="9"/>
  <c r="AM72" i="9"/>
  <c r="AM73" i="9"/>
  <c r="AM74" i="9"/>
  <c r="AM75" i="9"/>
  <c r="AM76" i="9"/>
  <c r="AM77" i="9"/>
  <c r="AM78" i="9"/>
  <c r="AM79" i="9"/>
  <c r="AM80" i="9"/>
  <c r="AM81" i="9"/>
  <c r="AM82" i="9"/>
  <c r="AM83" i="9"/>
  <c r="AM84" i="9"/>
  <c r="AM85" i="9"/>
  <c r="AM86" i="9"/>
  <c r="AM87" i="9"/>
  <c r="AM88" i="9"/>
  <c r="AM89" i="9"/>
  <c r="AM90" i="9"/>
  <c r="AM91" i="9"/>
  <c r="AM92" i="9"/>
  <c r="AM93" i="9"/>
  <c r="AM94" i="9"/>
  <c r="AM95" i="9"/>
  <c r="AM96" i="9"/>
  <c r="AM97" i="9"/>
  <c r="AM98" i="9"/>
  <c r="AM99" i="9"/>
  <c r="AM100" i="9"/>
  <c r="AM101" i="9"/>
  <c r="AM102" i="9"/>
  <c r="AM103" i="9"/>
  <c r="AM104" i="9"/>
  <c r="AM105" i="9"/>
  <c r="AM106" i="9"/>
  <c r="AM107" i="9"/>
  <c r="AM108" i="9"/>
  <c r="AM109" i="9"/>
  <c r="AM110" i="9"/>
  <c r="AM111" i="9"/>
  <c r="AM112" i="9"/>
  <c r="AM113" i="9"/>
  <c r="AM114" i="9"/>
  <c r="AM115" i="9"/>
  <c r="AM116" i="9"/>
  <c r="AM117" i="9"/>
  <c r="AM118" i="9"/>
  <c r="AM119" i="9"/>
  <c r="AM120" i="9"/>
  <c r="AM121" i="9"/>
  <c r="AM122" i="9"/>
  <c r="AM123" i="9"/>
  <c r="AM124" i="9"/>
  <c r="AM125" i="9"/>
  <c r="AM126" i="9"/>
  <c r="AM127" i="9"/>
  <c r="AM128" i="9"/>
  <c r="AM129" i="9"/>
  <c r="AM130" i="9"/>
  <c r="AM131" i="9"/>
  <c r="AM132" i="9"/>
  <c r="AM133" i="9"/>
  <c r="AM134" i="9"/>
  <c r="AM135" i="9"/>
  <c r="AM136" i="9"/>
  <c r="AM137" i="9"/>
  <c r="AM138" i="9"/>
  <c r="AM139" i="9"/>
  <c r="AM140" i="9"/>
  <c r="AM141" i="9"/>
  <c r="AM142" i="9"/>
  <c r="AM143" i="9"/>
  <c r="AM144" i="9"/>
  <c r="AM145" i="9"/>
  <c r="AM146" i="9"/>
  <c r="AM147" i="9"/>
  <c r="AM148" i="9"/>
  <c r="AM149" i="9"/>
  <c r="AM150" i="9"/>
  <c r="AM2" i="9"/>
  <c r="AH2" i="9"/>
  <c r="AH150" i="9"/>
  <c r="AH149" i="9"/>
  <c r="AH148" i="9"/>
  <c r="AH147" i="9"/>
  <c r="AH146" i="9"/>
  <c r="AH145" i="9"/>
  <c r="AH144" i="9"/>
  <c r="AH143" i="9"/>
  <c r="AH142" i="9"/>
  <c r="AH141" i="9"/>
  <c r="AH140" i="9"/>
  <c r="AH139" i="9"/>
  <c r="AH138" i="9"/>
  <c r="AH137" i="9"/>
  <c r="AH136" i="9"/>
  <c r="AH135" i="9"/>
  <c r="AH134" i="9"/>
  <c r="AH133" i="9"/>
  <c r="AH132" i="9"/>
  <c r="AH131" i="9"/>
  <c r="AH130" i="9"/>
  <c r="AH129" i="9"/>
  <c r="AH128" i="9"/>
  <c r="AH127" i="9"/>
  <c r="AH126" i="9"/>
  <c r="AH125" i="9"/>
  <c r="AH124" i="9"/>
  <c r="AH123" i="9"/>
  <c r="AH122" i="9"/>
  <c r="AH121" i="9"/>
  <c r="AH120" i="9"/>
  <c r="AH119" i="9"/>
  <c r="AH118" i="9"/>
  <c r="AH117" i="9"/>
  <c r="AH116" i="9"/>
  <c r="AH115" i="9"/>
  <c r="AH114" i="9"/>
  <c r="AH113" i="9"/>
  <c r="AH112" i="9"/>
  <c r="AH111" i="9"/>
  <c r="AH110" i="9"/>
  <c r="AH109" i="9"/>
  <c r="AH108" i="9"/>
  <c r="AH107" i="9"/>
  <c r="AH106" i="9"/>
  <c r="AH105" i="9"/>
  <c r="AH104" i="9"/>
  <c r="AH103" i="9"/>
  <c r="AH102" i="9"/>
  <c r="AH101" i="9"/>
  <c r="AH100" i="9"/>
  <c r="AH99" i="9"/>
  <c r="AH98" i="9"/>
  <c r="AH97" i="9"/>
  <c r="AH96" i="9"/>
  <c r="AH95" i="9"/>
  <c r="AH94" i="9"/>
  <c r="AH93" i="9"/>
  <c r="AH92" i="9"/>
  <c r="AH91" i="9"/>
  <c r="AH90" i="9"/>
  <c r="AH89" i="9"/>
  <c r="AH88" i="9"/>
  <c r="AH87" i="9"/>
  <c r="AH86" i="9"/>
  <c r="AH85" i="9"/>
  <c r="AH84" i="9"/>
  <c r="AH83" i="9"/>
  <c r="AH82" i="9"/>
  <c r="AH81" i="9"/>
  <c r="AH80" i="9"/>
  <c r="AH79" i="9"/>
  <c r="AH78" i="9"/>
  <c r="AH77" i="9"/>
  <c r="AH76" i="9"/>
  <c r="AH75" i="9"/>
  <c r="AH74" i="9"/>
  <c r="AH73" i="9"/>
  <c r="AH72" i="9"/>
  <c r="AH71" i="9"/>
  <c r="AH70" i="9"/>
  <c r="AH69" i="9"/>
  <c r="AH68" i="9"/>
  <c r="AH67" i="9"/>
  <c r="AH66" i="9"/>
  <c r="AH65" i="9"/>
  <c r="AH64" i="9"/>
  <c r="AH63" i="9"/>
  <c r="AH62" i="9"/>
  <c r="AH61" i="9"/>
  <c r="AH60" i="9"/>
  <c r="AH59" i="9"/>
  <c r="AH58" i="9"/>
  <c r="AH57" i="9"/>
  <c r="AH56" i="9"/>
  <c r="AH55" i="9"/>
  <c r="AH54" i="9"/>
  <c r="AH53" i="9"/>
  <c r="AH52" i="9"/>
  <c r="AH51" i="9"/>
  <c r="AH50" i="9"/>
  <c r="AH49" i="9"/>
  <c r="AH48" i="9"/>
  <c r="AH47" i="9"/>
  <c r="AH46" i="9"/>
  <c r="AH45" i="9"/>
  <c r="AH44" i="9"/>
  <c r="AH43" i="9"/>
  <c r="AH42" i="9"/>
  <c r="AH41" i="9"/>
  <c r="AH40" i="9"/>
  <c r="AH39" i="9"/>
  <c r="AH38" i="9"/>
  <c r="AH37" i="9"/>
  <c r="AH36" i="9"/>
  <c r="AH35" i="9"/>
  <c r="AH34" i="9"/>
  <c r="AH33" i="9"/>
  <c r="AH32" i="9"/>
  <c r="AH31" i="9"/>
  <c r="AH30" i="9"/>
  <c r="AH29" i="9"/>
  <c r="AH28" i="9"/>
  <c r="AH27" i="9"/>
  <c r="AH26" i="9"/>
  <c r="AH25" i="9"/>
  <c r="AH24" i="9"/>
  <c r="AH23" i="9"/>
  <c r="AH22" i="9"/>
  <c r="AH21" i="9"/>
  <c r="AH20" i="9"/>
  <c r="AH19" i="9"/>
  <c r="AH18" i="9"/>
  <c r="AH17" i="9"/>
  <c r="AH16" i="9"/>
  <c r="AH15" i="9"/>
  <c r="AH14" i="9"/>
  <c r="AH13" i="9"/>
  <c r="AH12" i="9"/>
  <c r="AH11" i="9"/>
  <c r="AH10" i="9"/>
  <c r="AH9" i="9"/>
  <c r="AH8" i="9"/>
  <c r="AH7" i="9"/>
  <c r="AH6" i="9"/>
  <c r="AH5" i="9"/>
  <c r="AH4" i="9"/>
  <c r="AH3" i="9"/>
  <c r="AE3" i="9"/>
  <c r="AE4" i="9"/>
  <c r="AE5" i="9"/>
  <c r="AE6" i="9"/>
  <c r="AE7" i="9"/>
  <c r="AE8" i="9"/>
  <c r="AE9" i="9"/>
  <c r="AE10" i="9"/>
  <c r="AE11" i="9"/>
  <c r="AE12" i="9"/>
  <c r="AE13" i="9"/>
  <c r="AE14" i="9"/>
  <c r="AE15" i="9"/>
  <c r="AE16" i="9"/>
  <c r="AE17" i="9"/>
  <c r="AE18" i="9"/>
  <c r="AE19" i="9"/>
  <c r="AE20" i="9"/>
  <c r="AE21" i="9"/>
  <c r="AE22" i="9"/>
  <c r="AE23" i="9"/>
  <c r="AE24" i="9"/>
  <c r="AE25" i="9"/>
  <c r="AE26" i="9"/>
  <c r="AE27" i="9"/>
  <c r="AE28" i="9"/>
  <c r="AE29" i="9"/>
  <c r="AE30" i="9"/>
  <c r="AE31" i="9"/>
  <c r="AE32" i="9"/>
  <c r="AE33" i="9"/>
  <c r="AE34" i="9"/>
  <c r="AE35" i="9"/>
  <c r="AE36" i="9"/>
  <c r="AE37" i="9"/>
  <c r="AE38" i="9"/>
  <c r="AE39" i="9"/>
  <c r="AE40" i="9"/>
  <c r="AE41" i="9"/>
  <c r="AE42" i="9"/>
  <c r="AE43" i="9"/>
  <c r="AE44" i="9"/>
  <c r="AE45" i="9"/>
  <c r="AE46" i="9"/>
  <c r="AE47" i="9"/>
  <c r="AE48" i="9"/>
  <c r="AE49" i="9"/>
  <c r="AE50" i="9"/>
  <c r="AE51" i="9"/>
  <c r="AE52" i="9"/>
  <c r="AE53" i="9"/>
  <c r="AE54" i="9"/>
  <c r="AE55" i="9"/>
  <c r="AE56" i="9"/>
  <c r="AE57" i="9"/>
  <c r="AE58" i="9"/>
  <c r="AE59" i="9"/>
  <c r="AE60" i="9"/>
  <c r="AE61" i="9"/>
  <c r="AE62" i="9"/>
  <c r="AE63" i="9"/>
  <c r="AE64" i="9"/>
  <c r="AE65" i="9"/>
  <c r="AE66" i="9"/>
  <c r="AE67" i="9"/>
  <c r="AE68" i="9"/>
  <c r="AE69" i="9"/>
  <c r="AE70" i="9"/>
  <c r="AE71" i="9"/>
  <c r="AE72" i="9"/>
  <c r="AE73" i="9"/>
  <c r="AE74" i="9"/>
  <c r="AE75" i="9"/>
  <c r="AE76" i="9"/>
  <c r="AE77" i="9"/>
  <c r="AE78" i="9"/>
  <c r="AE79" i="9"/>
  <c r="AE80" i="9"/>
  <c r="AE81" i="9"/>
  <c r="AE82" i="9"/>
  <c r="AE83" i="9"/>
  <c r="AE84" i="9"/>
  <c r="AE85" i="9"/>
  <c r="AE86" i="9"/>
  <c r="AE87" i="9"/>
  <c r="AE88" i="9"/>
  <c r="AE89" i="9"/>
  <c r="AE90" i="9"/>
  <c r="AE91" i="9"/>
  <c r="AE92" i="9"/>
  <c r="AE93" i="9"/>
  <c r="AE94" i="9"/>
  <c r="AE95" i="9"/>
  <c r="AE96" i="9"/>
  <c r="AE97" i="9"/>
  <c r="AE98" i="9"/>
  <c r="AE99" i="9"/>
  <c r="AE100" i="9"/>
  <c r="AE101" i="9"/>
  <c r="AE102" i="9"/>
  <c r="AE103" i="9"/>
  <c r="AE104" i="9"/>
  <c r="AE105" i="9"/>
  <c r="AE106" i="9"/>
  <c r="AE107" i="9"/>
  <c r="AE108" i="9"/>
  <c r="AE109" i="9"/>
  <c r="AE110" i="9"/>
  <c r="AE111" i="9"/>
  <c r="AE112" i="9"/>
  <c r="AE113" i="9"/>
  <c r="AE114" i="9"/>
  <c r="AE115" i="9"/>
  <c r="AE116" i="9"/>
  <c r="AE117" i="9"/>
  <c r="AE118" i="9"/>
  <c r="AE119" i="9"/>
  <c r="AE120" i="9"/>
  <c r="AE121" i="9"/>
  <c r="AE122" i="9"/>
  <c r="AE123" i="9"/>
  <c r="AE124" i="9"/>
  <c r="AE125" i="9"/>
  <c r="AE126" i="9"/>
  <c r="AE127" i="9"/>
  <c r="AE128" i="9"/>
  <c r="AE129" i="9"/>
  <c r="AE130" i="9"/>
  <c r="AE131" i="9"/>
  <c r="AE132" i="9"/>
  <c r="AE133" i="9"/>
  <c r="AE134" i="9"/>
  <c r="AE135" i="9"/>
  <c r="AE136" i="9"/>
  <c r="AE137" i="9"/>
  <c r="AE138" i="9"/>
  <c r="AE139" i="9"/>
  <c r="AE140" i="9"/>
  <c r="AE141" i="9"/>
  <c r="AE142" i="9"/>
  <c r="AE143" i="9"/>
  <c r="AE144" i="9"/>
  <c r="AE145" i="9"/>
  <c r="AE146" i="9"/>
  <c r="AE147" i="9"/>
  <c r="AE148" i="9"/>
  <c r="AE149" i="9"/>
  <c r="AE150" i="9"/>
  <c r="AE2" i="9"/>
  <c r="AB3" i="9"/>
  <c r="AB4" i="9"/>
  <c r="AB5" i="9"/>
  <c r="AB6" i="9"/>
  <c r="AB7" i="9"/>
  <c r="AB8" i="9"/>
  <c r="AB9" i="9"/>
  <c r="AB10" i="9"/>
  <c r="AB11" i="9"/>
  <c r="AB12" i="9"/>
  <c r="AB13" i="9"/>
  <c r="AB14" i="9"/>
  <c r="AB15" i="9"/>
  <c r="AB16" i="9"/>
  <c r="AB17" i="9"/>
  <c r="AB18" i="9"/>
  <c r="AB19" i="9"/>
  <c r="AB20" i="9"/>
  <c r="AB21" i="9"/>
  <c r="AB22" i="9"/>
  <c r="AB23" i="9"/>
  <c r="AB24" i="9"/>
  <c r="AB25" i="9"/>
  <c r="AB26" i="9"/>
  <c r="AB27" i="9"/>
  <c r="AB28" i="9"/>
  <c r="AB29" i="9"/>
  <c r="AB30" i="9"/>
  <c r="AB31" i="9"/>
  <c r="AB32" i="9"/>
  <c r="AB33" i="9"/>
  <c r="AB34" i="9"/>
  <c r="AB35" i="9"/>
  <c r="AB36" i="9"/>
  <c r="AB37" i="9"/>
  <c r="AB38" i="9"/>
  <c r="AB39" i="9"/>
  <c r="AB40" i="9"/>
  <c r="AB41" i="9"/>
  <c r="AB42" i="9"/>
  <c r="AB43" i="9"/>
  <c r="AB44" i="9"/>
  <c r="AB45" i="9"/>
  <c r="AB46" i="9"/>
  <c r="AB47" i="9"/>
  <c r="AB48" i="9"/>
  <c r="AB49" i="9"/>
  <c r="AB50" i="9"/>
  <c r="AB51" i="9"/>
  <c r="AB52" i="9"/>
  <c r="AB53" i="9"/>
  <c r="AB54" i="9"/>
  <c r="AB55" i="9"/>
  <c r="AB56" i="9"/>
  <c r="AB57" i="9"/>
  <c r="AB58" i="9"/>
  <c r="AB59" i="9"/>
  <c r="AB60" i="9"/>
  <c r="AB61" i="9"/>
  <c r="AB62" i="9"/>
  <c r="AB63" i="9"/>
  <c r="AB64" i="9"/>
  <c r="AB65" i="9"/>
  <c r="AB66" i="9"/>
  <c r="AB67" i="9"/>
  <c r="AB68" i="9"/>
  <c r="AB69" i="9"/>
  <c r="AB70" i="9"/>
  <c r="AB71" i="9"/>
  <c r="AB72" i="9"/>
  <c r="AB73" i="9"/>
  <c r="AB74" i="9"/>
  <c r="AB75" i="9"/>
  <c r="AB76" i="9"/>
  <c r="AB77" i="9"/>
  <c r="AB78" i="9"/>
  <c r="AB79" i="9"/>
  <c r="AB80" i="9"/>
  <c r="AB81" i="9"/>
  <c r="AB82" i="9"/>
  <c r="AB83" i="9"/>
  <c r="AB84" i="9"/>
  <c r="AB85" i="9"/>
  <c r="AB86" i="9"/>
  <c r="AB87" i="9"/>
  <c r="AB88" i="9"/>
  <c r="AB89" i="9"/>
  <c r="AB90" i="9"/>
  <c r="AB91" i="9"/>
  <c r="AB92" i="9"/>
  <c r="AB93" i="9"/>
  <c r="AB94" i="9"/>
  <c r="AB95" i="9"/>
  <c r="AB96" i="9"/>
  <c r="AB97" i="9"/>
  <c r="AB98" i="9"/>
  <c r="AB99" i="9"/>
  <c r="AB100" i="9"/>
  <c r="AB101" i="9"/>
  <c r="AB102" i="9"/>
  <c r="AB103" i="9"/>
  <c r="AB104" i="9"/>
  <c r="AB105" i="9"/>
  <c r="AB106" i="9"/>
  <c r="AB107" i="9"/>
  <c r="AB108" i="9"/>
  <c r="AB109" i="9"/>
  <c r="AB110" i="9"/>
  <c r="AB111" i="9"/>
  <c r="AB112" i="9"/>
  <c r="AB113" i="9"/>
  <c r="AB114" i="9"/>
  <c r="AB115" i="9"/>
  <c r="AB116" i="9"/>
  <c r="AB117" i="9"/>
  <c r="AB118" i="9"/>
  <c r="AB119" i="9"/>
  <c r="AB120" i="9"/>
  <c r="AB121" i="9"/>
  <c r="AB122" i="9"/>
  <c r="AB123" i="9"/>
  <c r="AB124" i="9"/>
  <c r="AB125" i="9"/>
  <c r="AB126" i="9"/>
  <c r="AB127" i="9"/>
  <c r="AB128" i="9"/>
  <c r="AB129" i="9"/>
  <c r="AB130" i="9"/>
  <c r="AB131" i="9"/>
  <c r="AB132" i="9"/>
  <c r="AB133" i="9"/>
  <c r="AB134" i="9"/>
  <c r="AB135" i="9"/>
  <c r="AB136" i="9"/>
  <c r="AB137" i="9"/>
  <c r="AB138" i="9"/>
  <c r="AB139" i="9"/>
  <c r="AB140" i="9"/>
  <c r="AB141" i="9"/>
  <c r="AB142" i="9"/>
  <c r="AB143" i="9"/>
  <c r="AB144" i="9"/>
  <c r="AB145" i="9"/>
  <c r="AB146" i="9"/>
  <c r="AB147" i="9"/>
  <c r="AB148" i="9"/>
  <c r="AB149" i="9"/>
  <c r="AB150" i="9"/>
  <c r="AB2" i="9"/>
  <c r="AA4" i="9"/>
  <c r="AA2" i="9"/>
  <c r="AA3" i="9"/>
  <c r="AA5" i="9"/>
  <c r="AA6" i="9"/>
  <c r="AA7" i="9"/>
  <c r="AA8" i="9"/>
  <c r="AA9" i="9"/>
  <c r="AA10" i="9"/>
  <c r="AA11" i="9"/>
  <c r="AA12" i="9"/>
  <c r="AA13" i="9"/>
  <c r="AA14" i="9"/>
  <c r="AA15" i="9"/>
  <c r="AA16" i="9"/>
  <c r="AA17" i="9"/>
  <c r="AA18" i="9"/>
  <c r="AA19" i="9"/>
  <c r="AA20" i="9"/>
  <c r="AA21" i="9"/>
  <c r="AA22" i="9"/>
  <c r="AA23" i="9"/>
  <c r="AA24" i="9"/>
  <c r="AA25" i="9"/>
  <c r="AA26" i="9"/>
  <c r="AA27" i="9"/>
  <c r="AA28" i="9"/>
  <c r="AA29" i="9"/>
  <c r="AA30" i="9"/>
  <c r="AA31" i="9"/>
  <c r="AA32" i="9"/>
  <c r="AA33" i="9"/>
  <c r="AA34" i="9"/>
  <c r="AA35" i="9"/>
  <c r="AA36" i="9"/>
  <c r="AA37" i="9"/>
  <c r="AA38" i="9"/>
  <c r="AA39" i="9"/>
  <c r="AA40" i="9"/>
  <c r="AA41" i="9"/>
  <c r="AA42" i="9"/>
  <c r="AA43" i="9"/>
  <c r="AA44" i="9"/>
  <c r="AA45" i="9"/>
  <c r="AA46" i="9"/>
  <c r="AA47" i="9"/>
  <c r="AA48" i="9"/>
  <c r="AA49" i="9"/>
  <c r="AA50" i="9"/>
  <c r="AA51" i="9"/>
  <c r="AA52" i="9"/>
  <c r="AA53" i="9"/>
  <c r="AA54" i="9"/>
  <c r="AA55" i="9"/>
  <c r="AA56" i="9"/>
  <c r="AA57" i="9"/>
  <c r="AA58" i="9"/>
  <c r="AA59" i="9"/>
  <c r="AA60" i="9"/>
  <c r="AA61" i="9"/>
  <c r="AA62" i="9"/>
  <c r="AA63" i="9"/>
  <c r="AA64" i="9"/>
  <c r="AA65" i="9"/>
  <c r="AA66" i="9"/>
  <c r="AA67" i="9"/>
  <c r="AA68" i="9"/>
  <c r="AA69" i="9"/>
  <c r="AA70" i="9"/>
  <c r="AA71" i="9"/>
  <c r="AA72" i="9"/>
  <c r="AA73" i="9"/>
  <c r="AA74" i="9"/>
  <c r="AA75" i="9"/>
  <c r="AA76" i="9"/>
  <c r="AA77" i="9"/>
  <c r="AA78" i="9"/>
  <c r="AA79" i="9"/>
  <c r="AA80" i="9"/>
  <c r="AA81" i="9"/>
  <c r="AA82" i="9"/>
  <c r="AA83" i="9"/>
  <c r="AA84" i="9"/>
  <c r="AA85" i="9"/>
  <c r="AA86" i="9"/>
  <c r="AA87" i="9"/>
  <c r="AA88" i="9"/>
  <c r="AA89" i="9"/>
  <c r="AA90" i="9"/>
  <c r="AA91" i="9"/>
  <c r="AA92" i="9"/>
  <c r="AA93" i="9"/>
  <c r="AA94" i="9"/>
  <c r="AA95" i="9"/>
  <c r="AA96" i="9"/>
  <c r="AA97" i="9"/>
  <c r="AA98" i="9"/>
  <c r="AA99" i="9"/>
  <c r="AA100" i="9"/>
  <c r="AA101" i="9"/>
  <c r="AA102" i="9"/>
  <c r="AA103" i="9"/>
  <c r="AA104" i="9"/>
  <c r="AA105" i="9"/>
  <c r="AA106" i="9"/>
  <c r="AA107" i="9"/>
  <c r="AA108" i="9"/>
  <c r="AA109" i="9"/>
  <c r="AA110" i="9"/>
  <c r="AA111" i="9"/>
  <c r="AA112" i="9"/>
  <c r="AA113" i="9"/>
  <c r="AA114" i="9"/>
  <c r="AA115" i="9"/>
  <c r="AA116" i="9"/>
  <c r="AA117" i="9"/>
  <c r="AA118" i="9"/>
  <c r="AA119" i="9"/>
  <c r="AA120" i="9"/>
  <c r="AA121" i="9"/>
  <c r="AA122" i="9"/>
  <c r="AA123" i="9"/>
  <c r="AA124" i="9"/>
  <c r="AA125" i="9"/>
  <c r="AA126" i="9"/>
  <c r="AA127" i="9"/>
  <c r="AA128" i="9"/>
  <c r="AA129" i="9"/>
  <c r="AA130" i="9"/>
  <c r="AA131" i="9"/>
  <c r="AA132" i="9"/>
  <c r="AA133" i="9"/>
  <c r="AA134" i="9"/>
  <c r="AA135" i="9"/>
  <c r="AA136" i="9"/>
  <c r="AA137" i="9"/>
  <c r="AA138" i="9"/>
  <c r="AA139" i="9"/>
  <c r="AA140" i="9"/>
  <c r="AA141" i="9"/>
  <c r="AA142" i="9"/>
  <c r="AA143" i="9"/>
  <c r="AA144" i="9"/>
  <c r="AA145" i="9"/>
  <c r="AA146" i="9"/>
  <c r="AA147" i="9"/>
  <c r="AA148" i="9"/>
  <c r="AA149" i="9"/>
  <c r="AA150" i="9"/>
  <c r="T3" i="9"/>
  <c r="T4" i="9"/>
  <c r="T5" i="9"/>
  <c r="T6" i="9"/>
  <c r="T7" i="9"/>
  <c r="T8" i="9"/>
  <c r="T9" i="9"/>
  <c r="T10" i="9"/>
  <c r="T11" i="9"/>
  <c r="T12" i="9"/>
  <c r="T13" i="9"/>
  <c r="T14" i="9"/>
  <c r="T15" i="9"/>
  <c r="T16" i="9"/>
  <c r="T17" i="9"/>
  <c r="T18" i="9"/>
  <c r="T19" i="9"/>
  <c r="T20" i="9"/>
  <c r="T21" i="9"/>
  <c r="T22" i="9"/>
  <c r="T23" i="9"/>
  <c r="T24" i="9"/>
  <c r="T25" i="9"/>
  <c r="T26" i="9"/>
  <c r="T27" i="9"/>
  <c r="T28" i="9"/>
  <c r="T29" i="9"/>
  <c r="T30" i="9"/>
  <c r="T31" i="9"/>
  <c r="T32" i="9"/>
  <c r="T33" i="9"/>
  <c r="T34" i="9"/>
  <c r="T35" i="9"/>
  <c r="T36" i="9"/>
  <c r="T37" i="9"/>
  <c r="T38" i="9"/>
  <c r="T39" i="9"/>
  <c r="T40" i="9"/>
  <c r="T41" i="9"/>
  <c r="T42" i="9"/>
  <c r="T43" i="9"/>
  <c r="T44" i="9"/>
  <c r="T45" i="9"/>
  <c r="T46" i="9"/>
  <c r="T47" i="9"/>
  <c r="T48" i="9"/>
  <c r="T49" i="9"/>
  <c r="T50" i="9"/>
  <c r="T51" i="9"/>
  <c r="T52" i="9"/>
  <c r="T53" i="9"/>
  <c r="T54" i="9"/>
  <c r="T55" i="9"/>
  <c r="T56" i="9"/>
  <c r="T57" i="9"/>
  <c r="T58" i="9"/>
  <c r="T59" i="9"/>
  <c r="T60" i="9"/>
  <c r="T61" i="9"/>
  <c r="T62" i="9"/>
  <c r="T63" i="9"/>
  <c r="T64" i="9"/>
  <c r="T65" i="9"/>
  <c r="T66" i="9"/>
  <c r="T67" i="9"/>
  <c r="T68" i="9"/>
  <c r="T69" i="9"/>
  <c r="T70" i="9"/>
  <c r="T71" i="9"/>
  <c r="T72" i="9"/>
  <c r="T73" i="9"/>
  <c r="T74" i="9"/>
  <c r="T75" i="9"/>
  <c r="T76" i="9"/>
  <c r="T77" i="9"/>
  <c r="T78" i="9"/>
  <c r="T79" i="9"/>
  <c r="T80" i="9"/>
  <c r="T81" i="9"/>
  <c r="T82" i="9"/>
  <c r="T83" i="9"/>
  <c r="T84" i="9"/>
  <c r="T85" i="9"/>
  <c r="T86" i="9"/>
  <c r="T87" i="9"/>
  <c r="T88" i="9"/>
  <c r="T89" i="9"/>
  <c r="T90" i="9"/>
  <c r="T91" i="9"/>
  <c r="T92" i="9"/>
  <c r="T93" i="9"/>
  <c r="T94" i="9"/>
  <c r="T95" i="9"/>
  <c r="T96" i="9"/>
  <c r="T97" i="9"/>
  <c r="T98" i="9"/>
  <c r="T99" i="9"/>
  <c r="T100" i="9"/>
  <c r="T101" i="9"/>
  <c r="T102" i="9"/>
  <c r="T103" i="9"/>
  <c r="T104" i="9"/>
  <c r="T105" i="9"/>
  <c r="T106" i="9"/>
  <c r="T107" i="9"/>
  <c r="T108" i="9"/>
  <c r="T109" i="9"/>
  <c r="T110" i="9"/>
  <c r="T111" i="9"/>
  <c r="T112" i="9"/>
  <c r="T113" i="9"/>
  <c r="T114" i="9"/>
  <c r="T115" i="9"/>
  <c r="T116" i="9"/>
  <c r="T117" i="9"/>
  <c r="T118" i="9"/>
  <c r="T119" i="9"/>
  <c r="T120" i="9"/>
  <c r="T121" i="9"/>
  <c r="T122" i="9"/>
  <c r="T123" i="9"/>
  <c r="T124" i="9"/>
  <c r="T125" i="9"/>
  <c r="T126" i="9"/>
  <c r="T127" i="9"/>
  <c r="T128" i="9"/>
  <c r="T129" i="9"/>
  <c r="T130" i="9"/>
  <c r="T131" i="9"/>
  <c r="T132" i="9"/>
  <c r="T133" i="9"/>
  <c r="T134" i="9"/>
  <c r="T135" i="9"/>
  <c r="T136" i="9"/>
  <c r="T137" i="9"/>
  <c r="T138" i="9"/>
  <c r="T139" i="9"/>
  <c r="T140" i="9"/>
  <c r="T141" i="9"/>
  <c r="T142" i="9"/>
  <c r="T143" i="9"/>
  <c r="T144" i="9"/>
  <c r="T145" i="9"/>
  <c r="T146" i="9"/>
  <c r="T147" i="9"/>
  <c r="T148" i="9"/>
  <c r="T149" i="9"/>
  <c r="T150" i="9"/>
  <c r="T2" i="9"/>
  <c r="Q3" i="9"/>
  <c r="Q4" i="9"/>
  <c r="Q5" i="9"/>
  <c r="Q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67" i="9"/>
  <c r="Q68" i="9"/>
  <c r="Q69" i="9"/>
  <c r="Q7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101" i="9"/>
  <c r="Q102" i="9"/>
  <c r="Q103" i="9"/>
  <c r="Q104" i="9"/>
  <c r="Q105" i="9"/>
  <c r="Q106" i="9"/>
  <c r="Q107" i="9"/>
  <c r="Q108" i="9"/>
  <c r="Q109" i="9"/>
  <c r="Q110" i="9"/>
  <c r="Q111" i="9"/>
  <c r="Q112" i="9"/>
  <c r="Q113" i="9"/>
  <c r="Q114" i="9"/>
  <c r="Q115" i="9"/>
  <c r="Q116" i="9"/>
  <c r="Q117" i="9"/>
  <c r="Q118" i="9"/>
  <c r="Q119" i="9"/>
  <c r="Q120" i="9"/>
  <c r="Q121" i="9"/>
  <c r="Q122" i="9"/>
  <c r="Q123" i="9"/>
  <c r="Q124" i="9"/>
  <c r="Q125" i="9"/>
  <c r="Q126" i="9"/>
  <c r="Q127" i="9"/>
  <c r="Q128" i="9"/>
  <c r="Q129" i="9"/>
  <c r="Q130" i="9"/>
  <c r="Q131" i="9"/>
  <c r="Q132" i="9"/>
  <c r="Q133" i="9"/>
  <c r="Q134" i="9"/>
  <c r="Q135" i="9"/>
  <c r="Q136" i="9"/>
  <c r="Q137" i="9"/>
  <c r="Q138" i="9"/>
  <c r="Q139" i="9"/>
  <c r="Q140" i="9"/>
  <c r="Q141" i="9"/>
  <c r="Q142" i="9"/>
  <c r="Q143" i="9"/>
  <c r="Q144" i="9"/>
  <c r="Q145" i="9"/>
  <c r="Q146" i="9"/>
  <c r="Q147" i="9"/>
  <c r="Q148" i="9"/>
  <c r="Q149" i="9"/>
  <c r="Q150" i="9"/>
  <c r="Q2" i="9"/>
  <c r="P3"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78" i="9"/>
  <c r="P79" i="9"/>
  <c r="P80" i="9"/>
  <c r="P81" i="9"/>
  <c r="P82" i="9"/>
  <c r="P83" i="9"/>
  <c r="P84" i="9"/>
  <c r="P85" i="9"/>
  <c r="P86" i="9"/>
  <c r="P87" i="9"/>
  <c r="P88" i="9"/>
  <c r="P89" i="9"/>
  <c r="P90" i="9"/>
  <c r="P91" i="9"/>
  <c r="P92" i="9"/>
  <c r="P93" i="9"/>
  <c r="P94" i="9"/>
  <c r="P95" i="9"/>
  <c r="P96" i="9"/>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2" i="9"/>
  <c r="K3"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2" i="9"/>
  <c r="J3"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2" i="9"/>
  <c r="B141" i="13"/>
  <c r="B140" i="13"/>
  <c r="B139" i="13"/>
  <c r="B138" i="13"/>
  <c r="B137" i="13"/>
  <c r="B136" i="13"/>
  <c r="B135" i="13"/>
  <c r="B134" i="13"/>
  <c r="B133" i="13"/>
  <c r="B132" i="13"/>
  <c r="B131" i="13"/>
  <c r="B130" i="13"/>
  <c r="B129" i="13"/>
  <c r="B128" i="13"/>
  <c r="B127" i="13"/>
  <c r="B126" i="13"/>
  <c r="B125" i="13"/>
  <c r="B124" i="13"/>
  <c r="B123" i="13"/>
  <c r="B122" i="13"/>
  <c r="B121" i="13"/>
  <c r="B120" i="13"/>
  <c r="B119" i="13"/>
  <c r="B118" i="13"/>
  <c r="B117" i="13"/>
  <c r="B116" i="13"/>
  <c r="B115" i="13"/>
  <c r="B114" i="13"/>
  <c r="B113" i="13"/>
  <c r="B112" i="13"/>
  <c r="B111" i="13"/>
  <c r="B110" i="13"/>
  <c r="B109" i="13"/>
  <c r="B108" i="13"/>
  <c r="B107" i="13"/>
  <c r="B106" i="13"/>
  <c r="B105" i="13"/>
  <c r="B104" i="13"/>
  <c r="B103" i="13"/>
  <c r="B102" i="13"/>
  <c r="B101" i="13"/>
  <c r="B100" i="13"/>
  <c r="B99" i="13"/>
  <c r="B98" i="13"/>
  <c r="B97" i="13"/>
  <c r="B96" i="13"/>
  <c r="B95" i="13"/>
  <c r="B94" i="13"/>
  <c r="B93" i="13"/>
  <c r="B92" i="13"/>
  <c r="B91" i="13"/>
  <c r="B90" i="13"/>
  <c r="B89" i="13"/>
  <c r="B88" i="13"/>
  <c r="B87" i="13"/>
  <c r="B86" i="13"/>
  <c r="B85" i="13"/>
  <c r="B84" i="13"/>
  <c r="B83" i="13"/>
  <c r="B82" i="13"/>
  <c r="B81" i="13"/>
  <c r="B80" i="13"/>
  <c r="B79" i="13"/>
  <c r="B78" i="13"/>
  <c r="B77" i="13"/>
  <c r="B76" i="13"/>
  <c r="B75" i="13"/>
  <c r="B74" i="13"/>
  <c r="B73" i="13"/>
  <c r="B72" i="13"/>
  <c r="B71" i="13"/>
  <c r="B70" i="13"/>
  <c r="B69" i="13"/>
  <c r="B68" i="13"/>
  <c r="B67" i="13"/>
  <c r="B66" i="13"/>
  <c r="B65" i="13"/>
  <c r="B64" i="13"/>
  <c r="B63" i="13"/>
  <c r="B62" i="13"/>
  <c r="B61" i="13"/>
  <c r="B60" i="13"/>
  <c r="B59" i="13"/>
  <c r="B58" i="13"/>
  <c r="B57" i="13"/>
  <c r="B56" i="13"/>
  <c r="B55" i="13"/>
  <c r="B54" i="13"/>
  <c r="B53" i="13"/>
  <c r="B52" i="13"/>
  <c r="B51" i="13"/>
  <c r="B50" i="13"/>
  <c r="B49" i="13"/>
  <c r="B48" i="13"/>
  <c r="B47" i="13"/>
  <c r="B46" i="13"/>
  <c r="B45" i="13"/>
  <c r="B44" i="13"/>
  <c r="B43" i="13"/>
  <c r="B42" i="13"/>
  <c r="B41" i="13"/>
  <c r="B40" i="13"/>
  <c r="B39" i="13"/>
  <c r="B38" i="13"/>
  <c r="B37" i="13"/>
  <c r="B36" i="13"/>
  <c r="B35" i="13"/>
  <c r="B34" i="13"/>
  <c r="B33" i="13"/>
  <c r="B32" i="13"/>
  <c r="B31" i="13"/>
  <c r="B30" i="13"/>
  <c r="B29" i="13"/>
  <c r="B28" i="13"/>
  <c r="B27" i="13"/>
  <c r="B26" i="13"/>
  <c r="B25" i="13"/>
  <c r="B24" i="13"/>
  <c r="B23" i="13"/>
  <c r="B22" i="13"/>
  <c r="B21" i="13"/>
  <c r="B20" i="13"/>
  <c r="B19" i="13"/>
  <c r="B18" i="13"/>
  <c r="B17" i="13"/>
  <c r="B16" i="13"/>
  <c r="B15" i="13"/>
  <c r="B14" i="13"/>
  <c r="B13" i="13"/>
  <c r="B12" i="13"/>
  <c r="B11" i="13"/>
  <c r="B10" i="13"/>
  <c r="B9" i="13"/>
  <c r="B8" i="13"/>
  <c r="B7" i="13"/>
  <c r="B6" i="13"/>
  <c r="B5" i="13"/>
  <c r="B4" i="13"/>
  <c r="B3" i="13"/>
  <c r="B2" i="13"/>
</calcChain>
</file>

<file path=xl/sharedStrings.xml><?xml version="1.0" encoding="utf-8"?>
<sst xmlns="http://schemas.openxmlformats.org/spreadsheetml/2006/main" count="12662" uniqueCount="4120">
  <si>
    <t>ID</t>
  </si>
  <si>
    <t>M1观点</t>
  </si>
  <si>
    <t>M1理由</t>
  </si>
  <si>
    <t>M1归类</t>
  </si>
  <si>
    <t>M2观点</t>
  </si>
  <si>
    <t>M2理由</t>
  </si>
  <si>
    <t>M2关系</t>
  </si>
  <si>
    <t>M2归类</t>
  </si>
  <si>
    <t>M3观点</t>
  </si>
  <si>
    <t>M3理由</t>
  </si>
  <si>
    <t>M3关系</t>
  </si>
  <si>
    <t>M3归类</t>
  </si>
  <si>
    <t>M4观点</t>
  </si>
  <si>
    <t>M4理由</t>
  </si>
  <si>
    <t>M4关系</t>
  </si>
  <si>
    <t>M4归类</t>
  </si>
  <si>
    <t>M5观点</t>
  </si>
  <si>
    <t>M5理由</t>
  </si>
  <si>
    <t>M5评价理由</t>
  </si>
  <si>
    <t>M5评价观点</t>
  </si>
  <si>
    <t>M5关系</t>
  </si>
  <si>
    <t>M5归类</t>
  </si>
  <si>
    <t>M6观点</t>
  </si>
  <si>
    <t>M6理由</t>
  </si>
  <si>
    <t>M6关系</t>
  </si>
  <si>
    <t>M6归类</t>
  </si>
  <si>
    <t>M7观点</t>
  </si>
  <si>
    <t>M7理由</t>
  </si>
  <si>
    <t>M7评价理由</t>
  </si>
  <si>
    <t>M7关系</t>
  </si>
  <si>
    <t>M7归类</t>
  </si>
  <si>
    <t>M8观点</t>
  </si>
  <si>
    <t>M8理由</t>
  </si>
  <si>
    <t>M8关系</t>
  </si>
  <si>
    <t>M8归类</t>
  </si>
  <si>
    <t>A</t>
  </si>
  <si>
    <t>H</t>
  </si>
  <si>
    <t>I</t>
  </si>
  <si>
    <t>提供新观点</t>
  </si>
  <si>
    <t>否_x000D_
_x000D_
没有打动我</t>
  </si>
  <si>
    <t>反对5</t>
  </si>
  <si>
    <t>提出新观点</t>
  </si>
  <si>
    <t>E</t>
  </si>
  <si>
    <t>D</t>
  </si>
  <si>
    <t>在已有材料的基础上提出来一个新的观点</t>
  </si>
  <si>
    <t>否_x000D_
_x000D_
支持了我的立场</t>
  </si>
  <si>
    <t>否_x000D_
_x000D_
无变化</t>
  </si>
  <si>
    <t>反驳1</t>
  </si>
  <si>
    <t>基本无效_x000D_
_x000D_
观点不合理</t>
  </si>
  <si>
    <t>反驳7</t>
  </si>
  <si>
    <t>一般_x000D_
_x000D_
一般</t>
  </si>
  <si>
    <t>反驳了材料7</t>
  </si>
  <si>
    <t>反驳了材料1</t>
  </si>
  <si>
    <t>反驳了材料6</t>
  </si>
  <si>
    <t xml:space="preserve"> ③在已有材料的基础上提出了⼀个新的观点</t>
  </si>
  <si>
    <t>③在已有材料的基础上提出了⼀个新的观点</t>
  </si>
  <si>
    <t>否_x000D_
_x000D_
没有改变</t>
  </si>
  <si>
    <t>非常有效_x000D_
_x000D_
相关且合理</t>
  </si>
  <si>
    <t>否_x000D_
_x000D_
就是没变</t>
  </si>
  <si>
    <t>反驳材料3</t>
  </si>
  <si>
    <t>一般_x000D_
_x000D_
相关</t>
  </si>
  <si>
    <t>反驳材料5</t>
  </si>
  <si>
    <t>在已有材料的基础上提出了⼀个新的观点</t>
  </si>
  <si>
    <t>C</t>
  </si>
  <si>
    <t>F</t>
  </si>
  <si>
    <t>一般_x000D_
_x000D_
支持</t>
  </si>
  <si>
    <t>一般_x000D_
_x000D_
有效</t>
  </si>
  <si>
    <t>G</t>
  </si>
  <si>
    <t>反驳了材料2</t>
  </si>
  <si>
    <t>反驳了材料5。</t>
  </si>
  <si>
    <t>提出了新观点。</t>
  </si>
  <si>
    <t>否_x000D_
_x000D_
没有变化。</t>
  </si>
  <si>
    <t>否_x000D_
_x000D_
没变</t>
  </si>
  <si>
    <t>否_x000D_
_x000D_
否</t>
  </si>
  <si>
    <t>否_x000D_
_x000D_
没有</t>
  </si>
  <si>
    <t>没有</t>
  </si>
  <si>
    <t>反驳了3</t>
  </si>
  <si>
    <t>一般_x000D_
_x000D_
同上</t>
  </si>
  <si>
    <t>反驳5</t>
  </si>
  <si>
    <t>反驳了材料3</t>
  </si>
  <si>
    <t>提出了新的观点</t>
  </si>
  <si>
    <t>反驳了材料5</t>
  </si>
  <si>
    <t>非常有效_x000D_
_x000D_
与主题紧密相关，观点合理。</t>
  </si>
  <si>
    <t>否_x000D_
_x000D_
支持我的观点</t>
  </si>
  <si>
    <t>无</t>
  </si>
  <si>
    <t>一般_x000D_
_x000D_
观点和主题相关，但以偏概全。</t>
  </si>
  <si>
    <t>非常有效_x000D_
_x000D_
观点和主题紧密相关，观点合理</t>
  </si>
  <si>
    <t>提供支持</t>
  </si>
  <si>
    <t>否_x000D_
_x000D_
没</t>
  </si>
  <si>
    <t>2</t>
  </si>
  <si>
    <t>3</t>
  </si>
  <si>
    <t>否_x000D_
_x000D_
胡说</t>
  </si>
  <si>
    <t>为材料1提供支持和解释</t>
  </si>
  <si>
    <t>否_x000D_
_x000D_
无</t>
  </si>
  <si>
    <t>反驳了材料2，指出了材料2中的某⼀问题</t>
  </si>
  <si>
    <t>非常有效_x000D_
_x000D_
观点合理</t>
  </si>
  <si>
    <t>反驳了材料5，指出了材料5中的问题</t>
  </si>
  <si>
    <t>一般_x000D_
_x000D_
以偏概全</t>
  </si>
  <si>
    <t>否_x000D_
_x000D_
无法说服我</t>
  </si>
  <si>
    <t>B</t>
  </si>
  <si>
    <t>充分支持_x000D_
_x000D_
理由充分且有效地支持了观点，不存在逻辑漏洞或推理错误</t>
  </si>
  <si>
    <t>一般_x000D_
_x000D_
无</t>
  </si>
  <si>
    <t>否_x000D_
_x000D_
哈哈</t>
  </si>
  <si>
    <t>反驳2</t>
  </si>
  <si>
    <t>反驳3</t>
  </si>
  <si>
    <t>新观点</t>
  </si>
  <si>
    <t>一般_x000D_
_x000D_
存在偏见</t>
  </si>
  <si>
    <t>否_x000D_
_x000D_
没变化</t>
  </si>
  <si>
    <t>否_x000D_
_x000D_
没有变化</t>
  </si>
  <si>
    <t>提出新的观点</t>
  </si>
  <si>
    <t>非常有效_x000D_
_x000D_
与主题相关，观点合理</t>
  </si>
  <si>
    <t>已有材料的基础上提出了⼀个新的观点</t>
  </si>
  <si>
    <t>否_x000D_
_x000D_
观点有问题。</t>
  </si>
  <si>
    <t>反驳了材料5.</t>
  </si>
  <si>
    <t>3提出新观点。</t>
  </si>
  <si>
    <t>反驳材料5。</t>
  </si>
  <si>
    <t>反驳了材料三</t>
  </si>
  <si>
    <t>提出了新观点</t>
  </si>
  <si>
    <t>否_x000D_
_x000D_
论证有误</t>
  </si>
  <si>
    <t>否_x000D_
_x000D_
坚持自己。</t>
  </si>
  <si>
    <t>不能支持_x000D_
_x000D_
以偏概全</t>
  </si>
  <si>
    <t>充分支持_x000D_
_x000D_
充分且有效地支持了观点</t>
  </si>
  <si>
    <t>提出了一个新观点</t>
  </si>
  <si>
    <t>反驳材料一。</t>
  </si>
  <si>
    <t>否_x000D_
_x000D_
论证不充分。</t>
  </si>
  <si>
    <t>在已有材料的基础上提出了⼀个新的观点。</t>
  </si>
  <si>
    <t>非常有效_x000D_
_x000D_
紧密相关</t>
  </si>
  <si>
    <t>反驳材料7</t>
  </si>
  <si>
    <t>非常有效_x000D_
_x000D_
有效</t>
  </si>
  <si>
    <t>否_x000D_
_x000D_
支持</t>
  </si>
  <si>
    <t>否_x000D_
_x000D_
。。。</t>
  </si>
  <si>
    <t>基本无效_x000D_
_x000D_
无效</t>
  </si>
  <si>
    <t>非常有效_x000D_
_x000D_
观点和主题紧密相关</t>
  </si>
  <si>
    <t>为材料1提供⽀持和解释</t>
  </si>
  <si>
    <t>反驳了材料五</t>
  </si>
  <si>
    <t>充分支持_x000D_
_x000D_
理由充分且有效地支持了观点</t>
  </si>
  <si>
    <t>否_x000D_
_x000D_
1</t>
  </si>
  <si>
    <t>反驳材料3。</t>
  </si>
  <si>
    <t>提出了新的观点。</t>
  </si>
  <si>
    <t>否_x000D_
_x000D_
不具有说服力</t>
  </si>
  <si>
    <t>在已有材料的基础上提出了一个新的观点</t>
  </si>
  <si>
    <t>在已有材料的基础上提出了一个新的观点。</t>
  </si>
  <si>
    <t>充分支持_x000D_
_x000D_
理由充分且有效支持了观点。</t>
  </si>
  <si>
    <t>非常有效_x000D_
_x000D_
观点和主题紧密相关且合理。</t>
  </si>
  <si>
    <t>否_x000D_
_x000D_
符合我的预期</t>
  </si>
  <si>
    <t>充分支持_x000D_
_x000D_
充分支持</t>
  </si>
  <si>
    <t>支持材料二</t>
  </si>
  <si>
    <t>否_x000D_
_x000D_
没说服我</t>
  </si>
  <si>
    <t>反驳了材料1.</t>
  </si>
  <si>
    <t>为某材料提供⽀持和解释</t>
  </si>
  <si>
    <t>否_x000D_
_x000D_
同上</t>
  </si>
  <si>
    <t>反驳了某材料，指出了某材料中的某⼀问题</t>
  </si>
  <si>
    <t>一般_x000D_
_x000D_
理由没有充分且有效地支持了观点</t>
  </si>
  <si>
    <t>反驳了材料一</t>
  </si>
  <si>
    <t>基本无效_x000D_
_x000D_
存在偏见</t>
  </si>
  <si>
    <t>反驳了材料2，支持了材料1</t>
  </si>
  <si>
    <t>非常有效_x000D_
_x000D_
观点与主题紧密相关，且合理。</t>
  </si>
  <si>
    <t>反驳材料2</t>
  </si>
  <si>
    <t>提出新观点。</t>
  </si>
  <si>
    <t>进一步论证</t>
  </si>
  <si>
    <t>材料8反对了材料7</t>
  </si>
  <si>
    <t>反驳了材料二</t>
  </si>
  <si>
    <t>新的观点</t>
  </si>
  <si>
    <t>否_x000D_
_x000D_
以偏概全</t>
  </si>
  <si>
    <t>充分支持_x000D_
_x000D_
支持</t>
  </si>
  <si>
    <t>否_x000D_
_x000D_
材料支持我的立场</t>
  </si>
  <si>
    <t>反驳了材料一的观点</t>
  </si>
  <si>
    <t>非常有效_x000D_
_x000D_
观点立场明确，与主题密切相关</t>
  </si>
  <si>
    <t>否_x000D_
_x000D_
无影响</t>
  </si>
  <si>
    <t>否_x000D_
_x000D_
无说服力</t>
  </si>
  <si>
    <t>基本无效_x000D_
_x000D_
过于绝对</t>
  </si>
  <si>
    <t>支持了材料1。</t>
  </si>
  <si>
    <t>充分支持_x000D_
_x000D_
理由充分且有效地支持了观点；不存在逻辑漏洞或推理错误</t>
  </si>
  <si>
    <t>无关</t>
  </si>
  <si>
    <t>否_x000D_
_x000D_
与主题无关</t>
  </si>
  <si>
    <t>非常有效_x000D_
_x000D_
合理</t>
  </si>
  <si>
    <t>反驳了材料五。</t>
  </si>
  <si>
    <t>反驳了材料七。</t>
  </si>
  <si>
    <t>支持了材料1，反驳了材料2</t>
  </si>
  <si>
    <t>提出了一个新的观点。</t>
  </si>
  <si>
    <t>提出了一个新的观点</t>
  </si>
  <si>
    <t>反驳了材料7，指出了材料7中的某⼀问题</t>
  </si>
  <si>
    <t>没关系</t>
  </si>
  <si>
    <t xml:space="preserve">一般_x000D_
_x000D_
</t>
  </si>
  <si>
    <t>反驳材料三</t>
  </si>
  <si>
    <t>否_x000D_
_x000D_
不严谨的论证不足以改变我的观点</t>
  </si>
  <si>
    <t>否_x000D_
_x000D_
支持了我的观点</t>
  </si>
  <si>
    <t>在已有材料的基础上提出了⼀个新的观点，</t>
  </si>
  <si>
    <t>否_x000D_
_x000D_
与我的立场一致</t>
  </si>
  <si>
    <t>否_x000D_
_x000D_
该材料与我的立场相符</t>
  </si>
  <si>
    <t xml:space="preserve">反驳了材料三，指出了材料三中的某⼀问题 </t>
  </si>
  <si>
    <t>否_x000D_
_x000D_
符合我的立场</t>
  </si>
  <si>
    <t>非常有效_x000D_
_x000D_
观点与主题紧密相关</t>
  </si>
  <si>
    <t>非常有效_x000D_
_x000D_
 观点和主题紧密相关</t>
  </si>
  <si>
    <t>反驳了材料4</t>
  </si>
  <si>
    <t>在已有材料的基础上提出了⼀个新的观点，等等</t>
  </si>
  <si>
    <t>反驳了材料一。</t>
  </si>
  <si>
    <t>充分支持_x000D_
_x000D_
理由充分且有效地支持了观点，不存在逻辑漏洞或推理错误。</t>
  </si>
  <si>
    <t>反驳了材料三。</t>
  </si>
  <si>
    <t>反驳了上一段材料。</t>
  </si>
  <si>
    <t>充分支持_x000D_
_x000D_
理由充分且有效地支持了观点，无逻辑漏洞或推理错误</t>
  </si>
  <si>
    <t>否_x000D_
_x000D_
已知</t>
  </si>
  <si>
    <t>反驳材料五</t>
  </si>
  <si>
    <t>反驳七</t>
  </si>
  <si>
    <t>一般_x000D_
_x000D_
过于绝对</t>
  </si>
  <si>
    <t>充分支持_x000D_
_x000D_
理由充分且有效地支持了观点。不存在逻辑漏洞或推理错误</t>
  </si>
  <si>
    <t xml:space="preserve">反驳了某材料，指出了某材料中的某⼀问题 </t>
  </si>
  <si>
    <t>否_x000D_
_x000D_
材料理由不充分</t>
  </si>
  <si>
    <t>反驳材料五的观点</t>
  </si>
  <si>
    <t xml:space="preserve">否_x000D_
_x000D_
 </t>
  </si>
  <si>
    <t>1</t>
  </si>
  <si>
    <t>材料1</t>
  </si>
  <si>
    <t>第1题</t>
  </si>
  <si>
    <t>第2题</t>
  </si>
  <si>
    <t>第3题</t>
  </si>
  <si>
    <t>M1评价理由</t>
  </si>
  <si>
    <t>第5题</t>
  </si>
  <si>
    <t>材料2</t>
  </si>
  <si>
    <t>M2评估理由</t>
  </si>
  <si>
    <t>第4题</t>
  </si>
  <si>
    <t>材料3</t>
  </si>
  <si>
    <t>作答区-第1题</t>
  </si>
  <si>
    <t>M3评价理由</t>
  </si>
  <si>
    <t>材料4</t>
  </si>
  <si>
    <t>材料5</t>
  </si>
  <si>
    <t>材料6</t>
  </si>
  <si>
    <t>材料7</t>
  </si>
  <si>
    <t>材料8</t>
  </si>
  <si>
    <t>观点：社交媒体对青少年的心理健康有负面影响。
理由：有研究调查了1000多名青少年，发现那些每天使用社交媒体超过4小时的青少年的焦虑水平比其它青少年更高。而且近10年的数据也显示，随着社交媒体的普及，存在心理问题的青少年比例也逐年增高。</t>
  </si>
  <si>
    <t>一般_x000D_
_x000D_
观点结合主题。逻辑有问题。“随着社交媒体的普及，存在心理问题的青少年比例也逐年增高。这说明社交媒体对青少年的心理健康有负面影响。”没有因果闭环。</t>
  </si>
  <si>
    <t>观点：青少年可能是因为感觉到焦虑才长时间呆在社交媒体上，而不是因为使用社交媒体才导致了焦虑等的心理健康问题。
理由：如果一个人在现实中和家人和朋友关系很好，他的心理问题能及时排解，又怎么会花4个小时在社交媒体上？</t>
  </si>
  <si>
    <t>一般_x000D_
_x000D_
不有效。使用可能这个词，没有具体实验、具体数据、空口无凭。但比较贴题</t>
  </si>
  <si>
    <t>一般_x000D_
_x000D_
比较贴题，再加一个例证。
“使用社交媒体，确实会缓解部分人焦虑”</t>
  </si>
  <si>
    <t>反对1</t>
  </si>
  <si>
    <t>理由：长时间使用社交媒体必然会导致青少年焦虑
观点：因为社交媒体上普遍存在“比较文化”，加上铺天盖地的“完美生活”的展示，会让青少年对自己的生活感到不满，降低幸福感和自尊心，导致社交退缩、自我怀疑，最终引发心理健康危机。</t>
  </si>
  <si>
    <t>不能支持_x000D_
_x000D_
逻辑有问题“必然导致”？你有控制变量吗，就得结论？你实心老师不骂你
不充分：“比较文化”，为什么不能提高竞择性？是不是只有部分心理脆弱的孩子才会焦虑。</t>
  </si>
  <si>
    <t>基本无效_x000D_
_x000D_
贴合主题，但易造成偏见：“比较文化”，为什么不能提高竞择性？是不是只有部分心理脆弱的孩子才会焦虑。</t>
  </si>
  <si>
    <t>支持1，反对2</t>
  </si>
  <si>
    <t>观点：对大多数青少年而言，使用社交媒体对心理健康不会产生负面影响。
理由：比较文化随处都有，不只是社交媒体上才有。此外，大多数青少年对社交媒体的使用是适度的，那些每天使用超过4小时的人的心理健康可能本身存在一些问题。</t>
  </si>
  <si>
    <t>反对3</t>
  </si>
  <si>
    <t>否_x000D_
_x000D_
大多数青少年使用适度？几几年的数据了，是不是村中办调查的</t>
  </si>
  <si>
    <t>观点：社交媒体对青少年的心理健康存在积极影响
理由：因为青少年可以在这里找到支持和理解自己的人。有记者采访了某社交媒体的5名青少年博主，他们表示，自己表达的观点和创作的作品获得了很多网友的鼓励和认可，感到自己被理解也更自信了。</t>
  </si>
  <si>
    <t>一般_x000D_
_x000D_
挺好的，贴合主题，也只有贴合主题了。
“5名青少年博主”，这五个小孩，本身上网目的就和一般人不一样，不具有代表性。
况且每个小孩发作品都会得到这种媒体反馈吗？
媒体反馈都是正向的吗？玩王者的得到啥，野王哥哥带带我？</t>
  </si>
  <si>
    <t>一般
挺好的，贴合主题
我和我妈也是每次都说，北京天气挺好的，不用担心我</t>
  </si>
  <si>
    <t>反对13，支持24</t>
  </si>
  <si>
    <t>否_x000D_
_x000D_
人群有差异，你不根据特质分类，样本再大，社交媒体主效应也不显著</t>
  </si>
  <si>
    <t>观点：五个青少年博主的观点不能代表所有青年
理由：社交媒体确实为表达自我与艺术创作提供了自由的环境，但接受采访的5名青少年肯定其中比较出众的，他们愿意分享自己的积极体验，但这是一种假象。他们观点不能代表所有青少年，尤其是那些在社交媒体上遭遇负面经历（比如网络欺凌）的青少年。</t>
  </si>
  <si>
    <t>否_x000D_
_x000D_
抄袭我上一条的观点，写题的人批判性思维还行，菜就多练</t>
  </si>
  <si>
    <t>观点：社交媒体并不是导致青少年心理问题的真正原因，而只是“背锅”的对象。
理由：虽然调查发现，每天使用社交媒体超过4小时的青少年具有更高的焦虑水平，但如果把他们的人际关系也考虑在内就会发现，这些青少年对自己的家庭关系和朋友关系质量的评价都比较低。</t>
  </si>
  <si>
    <t>否_x000D_
_x000D_
实验设计不合理</t>
  </si>
  <si>
    <t>观点：认为社交媒体对青少年的心理健康没有不良影响是不负责任的
理由：社交媒体上的很多内容像“电子鸦片”一样，具有极强的吸引力和成瘾性。如果成瘾都不算心理问题，那什么才算？而且现在很多人都在使用社交媒体，所以这已经是一种集体成瘾了。</t>
  </si>
  <si>
    <t>一般_x000D_
_x000D_
推理错误，思维太抽象。
试着批判一下。我每天学习，因此，我对学习上瘾，因此，认为学习对青少年的心理健康没有不良影响是不负责任的！</t>
  </si>
  <si>
    <t>一般_x000D_
_x000D_
试着批判一下。我每天学习，因此，我对学习上瘾，因此，认为学习对青少年的心理健康没有不良影响是不负责任的！</t>
  </si>
  <si>
    <t>反驳材料457</t>
  </si>
  <si>
    <t>否_x000D_
_x000D_
试着批判一下。我每天学习，因此，我对学习上瘾，因此，认为学习对青少年的心理健康没有不良影响是不负责任的！</t>
  </si>
  <si>
    <t>观点：社交媒体对青少年的心理健康有负面影响
理由：有研究调查了1000多名青少年，发现那些每天使用社交媒体超过4小时的青少年的焦虑水平比其它青少年更高。而且近10年的数据也显示，随着社交媒体的普及，存在心理问题的青少年比例也逐年增高。</t>
  </si>
  <si>
    <t>一般_x000D_
_x000D_
第一个证据OK 第二个证据近10年发生了很多事 你不能都怪在社交媒体头上吧</t>
  </si>
  <si>
    <t>否_x000D_
_x000D_
我只看到了一方的证据</t>
  </si>
  <si>
    <t>观点：青少年可能是因为感觉到焦虑才长时间呆在社交媒体上
理由：如果一个人在现实中和家人和朋友关系很好，他的心理问题能及时排解，又怎么会花4个小时在社交媒体上？</t>
  </si>
  <si>
    <t>不能支持_x000D_
_x000D_
没有证据啊 主观评论不算证据 逻辑反过来就能成为正方的证据了</t>
  </si>
  <si>
    <t>非常有效_x000D_
_x000D_
观点是OK的 指出因果关系不成立</t>
  </si>
  <si>
    <t>反驳了材料1 指出因果关系有可能倒置</t>
  </si>
  <si>
    <t>否_x000D_
_x000D_
没有有力的证据告诉我到底是积极多还是消极多</t>
  </si>
  <si>
    <t>观点：长时间使用社交媒体必然会导致青少年焦虑
理由：因为社交媒体上普遍存在“比较文化”，加上铺天盖地的“完美生活”的展示，会让青少年对自己的生活感到不满，降低幸福感和自尊心，导致社交退缩、自我怀疑，最终引发心理健康危机。</t>
  </si>
  <si>
    <t>一般_x000D_
_x000D_
逻辑成立 但还是没有证据 事实证据缺失</t>
  </si>
  <si>
    <t>基本无效_x000D_
_x000D_
存在偏见 “必然”太过绝对</t>
  </si>
  <si>
    <t>否_x000D_
_x000D_
还是没有告诉我哪个方面多一点 而且我并不觉得是必然的</t>
  </si>
  <si>
    <t>观点：对大多数青少年而言，使用社交媒体对心理健康不会产生负面影响
理由：比较文化随处都有，不只是社交媒体上才有。此外，大多数青少年对社交媒体的使用是适度的，那些每天使用超过4小时的人的心理健康可能本身存在一些问题。</t>
  </si>
  <si>
    <t>反驳了上一个材料 指出比较文化布置在社交媒体有 并且还提出了一个新的观点</t>
  </si>
  <si>
    <t>否_x000D_
_x000D_
是符合我的立场的啊</t>
  </si>
  <si>
    <t>一般_x000D_
_x000D_
个例代表不了全体</t>
  </si>
  <si>
    <t>非常有效_x000D_
_x000D_
“可以”确实都可以 观点是有效的</t>
  </si>
  <si>
    <t>否_x000D_
_x000D_
和我立场一致啊</t>
  </si>
  <si>
    <t>观点：他们观点不能代表所有青少年，尤其是那些在社交媒体上遭遇负面经历（比如网络欺凌）的青少年
理由：社交媒体确实为表达自我与艺术创作提供了自由的环境，但接受采访的5名青少年肯定其中比较出众的，他们愿意分享自己的积极体验，但这是一种假象</t>
  </si>
  <si>
    <t>反驳上一个材料 指出片面性</t>
  </si>
  <si>
    <t>否_x000D_
_x000D_
很能支持我的立场</t>
  </si>
  <si>
    <t>观点：社交媒体并不是导致青少年心理问题的真正原因，而只是“背锅”的对象
理由：虽然调查发现，每天使用社交媒体超过4小时的青少年具有更高的焦虑水平，但如果把他们的人际关系也考虑在内就会发现，这些青少年对自己的家庭关系和朋友关系质量的评价都比较低。</t>
  </si>
  <si>
    <t>反驳了材料1 支持了材料2和4</t>
  </si>
  <si>
    <t>否_x000D_
_x000D_
还是没有说到底利大于弊还是弊大于利</t>
  </si>
  <si>
    <t>观点：认为社交媒体对青少年的心理健康没有不良影响是不负责任的
理由：社交媒体上的很多内容像“电子鸦片”一样，具有极强的吸引力和成瘾性。如果成瘾都不算心理问题，那什么才算？而且现在很多人都在使用社交媒体，所以这已经是一种集体成瘾了</t>
  </si>
  <si>
    <t>不能支持_x000D_
_x000D_
多少人成瘾 多少程度才算成瘾 什么都没说啊 依旧是没有证据</t>
  </si>
  <si>
    <t xml:space="preserve">一般_x000D_
_x000D_
人家又没说没有影响 </t>
  </si>
  <si>
    <t>否_x000D_
_x000D_
材料无力</t>
  </si>
  <si>
    <t>产生
每天使用社交媒体超过4小时的青少年的焦虑水平比其它青少年更高。而且近10年的数据也显示，随着社交媒体的普及，存在心理问题的青少年比例也逐年增高</t>
  </si>
  <si>
    <t>一般_x000D_
_x000D_
每天使用社交媒体超过4小时的青少年的焦虑水平比其它青少年更高。能够充分支持
近10年的数据也显示，随着社交媒体的普及，存在心理问题的青少年比例也逐年增高。并未控制其他变量，不科学</t>
  </si>
  <si>
    <t>否_x000D_
_x000D_
不变</t>
  </si>
  <si>
    <t>不影响
青少年可能是因为感觉到焦虑才长时间呆在社交媒体上，而不是因为使用社交媒体才导致了焦虑等的心理健康问题。如果一个人在现实中和家人和朋友关系很好，他的心理问题能及时排解，又怎么会花4个小时在社交媒体上？</t>
  </si>
  <si>
    <t>充分支持_x000D_
_x000D_
进行心理健康与社交媒体的因果驳斥，合理</t>
  </si>
  <si>
    <t>反驳1 有效</t>
  </si>
  <si>
    <t>否_x000D_
_x000D_
我就不变，嘿</t>
  </si>
  <si>
    <t>产生
因为社交媒体上普遍存在“比较文化”，加上铺天盖地的“完美生活”的展示，会让青少年对自己的生活感到不满，降低幸福感和自尊心，导致社交退缩、自我怀疑，最终引发心理健康危机。</t>
  </si>
  <si>
    <t>一般_x000D_
_x000D_
一般支持
以偏概全，比较与自尊受挫和心理健康负面中并未直接联系，其间还有很多调节变量
比较文化确实会使人嘉旅，单价绿不一定使心里不健康</t>
  </si>
  <si>
    <t>一般_x000D_
_x000D_
观点合理
但其推导过程中存在漏洞</t>
  </si>
  <si>
    <t>支持观点补充</t>
  </si>
  <si>
    <t>否_x000D_
_x000D_
就不变</t>
  </si>
  <si>
    <t>反对
大多数青少年对社交媒体的使用是适度的，那些每天使用超过4小时的人的心理健康可能本身存在一些问题。所以，对大多数青少年而言，使用社交媒体对心理健康不会产生负面影响。</t>
  </si>
  <si>
    <t>反驳1、3</t>
  </si>
  <si>
    <t>反对
社交媒体对青少年的心理健康存在积极影响，因为青少年可以在这里找到支持和理解自己的人。有记者采访了某社交媒体的5名青少年博主，他们表示，自己表达的观点和创作的作品获得了很多网友的鼓励和认可，感到自己被理解也更自信了。</t>
  </si>
  <si>
    <t>一般_x000D_
_x000D_
采访人群过少，举例不充分</t>
  </si>
  <si>
    <t>对反驳进行观点补充</t>
  </si>
  <si>
    <t>支持
社交媒体确实为表达自我与艺术创作提供了自由的环境，但接受采访的5名青少年肯定其中比较出众的，他们愿意分享自己的积极体验，但这是一种假象。他们观点不能代表所有青少年，尤其是那些在社交媒体上遭遇负面经历（比如网络欺凌）的青少年。</t>
  </si>
  <si>
    <t>否_x000D_
_x000D_
111</t>
  </si>
  <si>
    <t>反对
虽然调查发现，每天使用社交媒体超过4小时的青少年具有更高的焦虑水平，但如果把他们的人际关系也考虑在内就会发现，这些青少年对自己的家庭关系和朋友关系质量的评价都比较低。</t>
  </si>
  <si>
    <t xml:space="preserve">充分支持其观点
</t>
  </si>
  <si>
    <t>支持
社交媒体上的很多内容像“电子鸦片”一样，具有极强的吸引力和成瘾性。如果成瘾都不算心理问题，那什么才算？而且现在很多人都在使用社交媒体，所以这已经是一种集体成瘾了。</t>
  </si>
  <si>
    <t>非常有效_x000D_
_x000D_
非常有效</t>
  </si>
  <si>
    <t>否_x000D_
_x000D_
不变（这个有被试费吗）</t>
  </si>
  <si>
    <t>一般_x000D_
_x000D_
调查研究与数据能够比较充分有效的证明观点，但不能直接把存在心理问题的青少年比例也逐年增高归因于社交媒体的普及</t>
  </si>
  <si>
    <t>否_x000D_
_x000D_
社交媒体对青少年心理健康确实会有一定负面影响。</t>
  </si>
  <si>
    <t>一般_x000D_
_x000D_
只是一句反问不太有效，不太能够证明观点</t>
  </si>
  <si>
    <t>非常有效_x000D_
_x000D_
与主题联系紧密。</t>
  </si>
  <si>
    <t>反驳了材料1，指出青少年不一定是因为使用社交媒体才导致了焦虑等的心理健康问题。</t>
  </si>
  <si>
    <t>否_x000D_
_x000D_
这则材料的理由不太能够说服我</t>
  </si>
  <si>
    <t>观点：长时间使用社交媒体必然会导致青少年焦虑。
理由：因为社交媒体上普遍存在“比较文化”，加上铺天盖地的“完美生活”的展示，会让青少年对自己的生活感到不满，降低幸福感和自尊心，导致社交退缩、自我怀疑，最终引发心理健康危机。</t>
  </si>
  <si>
    <t>一般_x000D_
_x000D_
社交媒体上确实普遍存在这一问题，但这不一定就是引发心理健康危机的唯一原因。</t>
  </si>
  <si>
    <t>一般_x000D_
_x000D_
与主题联系比较紧密，但过于绝对</t>
  </si>
  <si>
    <t>支持了材料1，反驳了材料2的不是因为使用社交媒体才导致了焦虑等的心理健康问题</t>
  </si>
  <si>
    <t>否_x000D_
_x000D_
观点过于绝对，理由确实存在，但也过于绝对了</t>
  </si>
  <si>
    <t>支持了材料2，对材料3中的理由加以反驳</t>
  </si>
  <si>
    <t>否_x000D_
_x000D_
这个观点推出有误，不能说服我</t>
  </si>
  <si>
    <t>观点：社交媒体对青少年的心理健康存在积极影响。
理由：因为青少年可以在这里找到支持和理解自己的人。有记者采访了某社交媒体的5名青少年博主，他们表示，自己表达的观点和创作的作品获得了很多网友的鼓励和认可，感到自己被理解也更自信了。</t>
  </si>
  <si>
    <t>一般_x000D_
_x000D_
记者只采访了5人，数量太少，且这5人都是在社交媒体表达自己的类型，不够有代表性</t>
  </si>
  <si>
    <t>一般_x000D_
_x000D_
主题是产生了负面影响吗，存在积极影响并不是不存在负面影响，没有扣到主题</t>
  </si>
  <si>
    <t>提出了因为青少年可以在这里找到支持和理解自己的人，所以社交媒体对青少年的心理健康存在积极影响的观点</t>
  </si>
  <si>
    <t>否_x000D_
_x000D_
这个观点的理由不够有说服力</t>
  </si>
  <si>
    <t>观点：社交媒体对青少年的心理健康产生了负面影响。
理由：社交媒体确实为表达自我与艺术创作提供了自由的环境，但接受采访的5名青少年肯定其中比较出众的，他们愿意分享自己的积极体验，但这是一种假象。他们观点不能代表所有青少年，尤其是那些在社交媒体上遭遇负面经历（比如网络欺凌）的青少年。</t>
  </si>
  <si>
    <t>反驳了材料5，提出以记者采访的5个人为理由不够有说服力，存在问题。</t>
  </si>
  <si>
    <t>否_x000D_
_x000D_
在社交媒体上遭遇负面经历（比如网络欺凌）的青少年确实能够说明社交媒体对青少年的心理健康有一定负面影响</t>
  </si>
  <si>
    <t xml:space="preserve">观点：社交媒体并不是导致青少年心理问题的真正原因，而只是“背锅”的对象。
理由：虽然调查发现，每天使用社交媒体超过4小时的青少年具有更高的焦虑水平，但如果把他们的人际关系也考虑在内就会发现，这些青少年对自己的家庭关系和朋友关系质量的评价都比较低。
</t>
  </si>
  <si>
    <t>支持材料2，认为青少年心理问题的原因不是社交媒体</t>
  </si>
  <si>
    <t>否_x000D_
_x000D_
社交媒体可能不是唯一的原因，也可能对一些人来说不是原因，但不能直接说社交媒体并不是导致青少年心理问题的真正原因</t>
  </si>
  <si>
    <t>观点：认为社交媒体对青少年的心理健康没有不良影响是不负责任的。
理由：社交媒体上的很多内容像“电子鸦片”一样，具有极强的吸引力和成瘾性。如果成瘾都不算心理问题，那什么才算？而且现在很多人都在使用社交媒体，所以这已经是一种集体成瘾了。</t>
  </si>
  <si>
    <t>充分支持_x000D_
_x000D_
理由比较符合常识，推出结论比较合理。</t>
  </si>
  <si>
    <t>非常有效_x000D_
_x000D_
与主题相关，观点比较合理。</t>
  </si>
  <si>
    <t>反驳了材料7社交媒体并不是导致青少年心理问题的真正原因</t>
  </si>
  <si>
    <t>否_x000D_
_x000D_
社交媒体对青少年心理健康确实有一定影响。</t>
  </si>
  <si>
    <t>观点：社交媒体对青少年的心理健康有负面影响
理由：青少年社交媒体使用时间的增加的同时心理健康负面指标升高</t>
  </si>
  <si>
    <t>不能支持_x000D_
_x000D_
相关不能证明因果</t>
  </si>
  <si>
    <t>否_x000D_
_x000D_
改材料的论述理由不充分</t>
  </si>
  <si>
    <t>观点：社交媒体并不是导致青少年心理健康水平下降的因素
理由：青少年可能是因为感觉到焦虑才长时间呆在社交媒体上</t>
  </si>
  <si>
    <t>充分支持_x000D_
_x000D_
理由充分有效的支持了观点，从因果正反推论的角度支持了社交媒体不应该被妖魔化的观点</t>
  </si>
  <si>
    <t>非常有效_x000D_
_x000D_
与主题有一定相关性；观点是合理且考虑相对周全的</t>
  </si>
  <si>
    <t>从因果推论的角度反驳了材料1</t>
  </si>
  <si>
    <t>否_x000D_
_x000D_
材料2与我的想法相一致</t>
  </si>
  <si>
    <t>观点：长时间使用社交媒体必然会导致青少年焦虑
理由：社交媒体上普遍存在“比较文化”，加上铺天盖地的“完美生活”的展示，会让青少年对自己的生活感到不满，降低幸福感和自尊心</t>
  </si>
  <si>
    <t>一般_x000D_
_x000D_
以偏概全，“比较文化”并不是社交媒体上传播内容的全部
用词绝对，“必然”的推论太过武断</t>
  </si>
  <si>
    <t>一般_x000D_
_x000D_
材料并不充分，没有考虑人格特质本身的差异性以及社交媒体内容本身的丰富性</t>
  </si>
  <si>
    <t>支持了材料1,</t>
  </si>
  <si>
    <t>否_x000D_
_x000D_
论据不充分，用词绝对</t>
  </si>
  <si>
    <t>观点：社交媒体并不是导致青少年焦虑的原因
理由：比较文化随处都有，不只是社交媒体上才有</t>
  </si>
  <si>
    <t>支持了材料2，反驳材料1和3</t>
  </si>
  <si>
    <t>否_x000D_
_x000D_
与我的立场相一致，且视角更宏观</t>
  </si>
  <si>
    <t>观点：社交媒体对青少年的心理健康存在积极影响
理由：因为青少年可以在这里找到支持和理解自己的人</t>
  </si>
  <si>
    <t>一般_x000D_
_x000D_
理由相对有效，但不够充分；样本量太小，领域太过集中</t>
  </si>
  <si>
    <t>一般_x000D_
_x000D_
观点与主题具有相关性，且合理，考虑到了其他积极因素</t>
  </si>
  <si>
    <t>反驳了材料1和材料3</t>
  </si>
  <si>
    <t>否_x000D_
_x000D_
论述了积极影响，与我的理由相同</t>
  </si>
  <si>
    <t>观点：积极影响并不普遍
理由：材料4支持我的立场，且论述相对谨慎</t>
  </si>
  <si>
    <t>反对材料5</t>
  </si>
  <si>
    <t>否_x000D_
_x000D_
问题针对性不够强</t>
  </si>
  <si>
    <t>观点：社交媒体并不是导致青少年心理问题的真正原因
理由：如果把他们的人际关系也考虑在内就会发现，这些青少年对自己的家庭关系和朋友关系质量的评价都比较低，社交媒体只是“背锅”的对象。</t>
  </si>
  <si>
    <t>支持了材料3</t>
  </si>
  <si>
    <t>否_x000D_
_x000D_
与我的想法完全一致</t>
  </si>
  <si>
    <t>观点：社交媒体导致了青少年心理健康水平降低
理由：社交媒体上的很多内容像“电子鸦片”一样，具有极强的吸引力和成瘾性</t>
  </si>
  <si>
    <t>不能支持_x000D_
_x000D_
不充分，基本无效，推理绝对武断</t>
  </si>
  <si>
    <t>基本无效_x000D_
_x000D_
观点有一定相关性，但不太合理，太过情绪化</t>
  </si>
  <si>
    <t>反驳材料6</t>
  </si>
  <si>
    <t>否_x000D_
_x000D_
情绪发言可以略过</t>
  </si>
  <si>
    <t>一般_x000D_
_x000D_
1.不充分
2.“随着社交媒体的普及，存在心理问题的青少年比例也逐年增高”逻辑错误，可能二者不是相关的，或者即使是相关，也没有明确的因果，不能直接推导</t>
  </si>
  <si>
    <t>否_x000D_
_x000D_
观点和理由能支持我当前的立场</t>
  </si>
  <si>
    <t>不能支持_x000D_
_x000D_
理由过于偏激，即使心理问题能够得到及时排解，也可能会花4小时在社交媒体，理由无效</t>
  </si>
  <si>
    <t>非常有效_x000D_
_x000D_
1.紧密
2.合理</t>
  </si>
  <si>
    <t>①反驳了材料1，指出了材料1中的某⼀问题</t>
  </si>
  <si>
    <t>一般_x000D_
_x000D_
1：不充分
2：以偏概全，社交媒体并不是普遍存在“比较文化”，铺天盖地的“完美生活”的展示</t>
  </si>
  <si>
    <t>一般_x000D_
_x000D_
1.紧密
2.偏激，“必然会”过于绝对并且网络不是全部都是“比较文化”</t>
  </si>
  <si>
    <t>②为材料1提供⽀持和解释</t>
  </si>
  <si>
    <t xml:space="preserve">①反驳了材料3，指出了材料3中问题 </t>
  </si>
  <si>
    <t>是_x000D_
_x000D_
6_x000D_
_x000D_
有效反驳了前面正方的观点</t>
  </si>
  <si>
    <t xml:space="preserve">一般_x000D_
_x000D_
1.5人例子太少，不充分
2.以偏概全
</t>
  </si>
  <si>
    <t>观点：接受采访的5名青少年观点不能代表所有青少年
理由：接受采访的5名青少年肯定其中比较出众的，他们愿意分享自己的积极体验，但这是一种假象</t>
  </si>
  <si>
    <t xml:space="preserve">①反驳了材料5，指出了材料5中的某⼀问题 </t>
  </si>
  <si>
    <t>①反驳了材料2，指出了某中的某⼀问题</t>
  </si>
  <si>
    <t>是_x000D_
_x000D_
4_x000D_
_x000D_
可能是青少年本身的心理特质导致他们会更多的过度使用、错误使用社交媒体，进而产生社交媒体有害的假象。</t>
  </si>
  <si>
    <t>观点：认为社交媒体对青少年的心理健康没有不良影响是不负责任的！
理由：社交媒体上的很多内容像“电子鸦片”一样，具有极强的吸引力和成瘾性。如果成瘾都不算心理问题，那什么才算？而且现在很多人都在使用社交媒体，所以这已经是一种集体成瘾了。</t>
  </si>
  <si>
    <t>不能支持_x000D_
_x000D_
很多人在使用，不代表很多人过度使用。只要适度，并不会造成不良影响。并且，认为社交媒体对青少年的心理健康没有不良影响并不能说明持有此观点的人是不负责任的。</t>
  </si>
  <si>
    <t>基本无效_x000D_
_x000D_
直接对辩友人身攻击。不紧密，不合理</t>
  </si>
  <si>
    <t xml:space="preserve">①反驳了材料7，指出了材料中的某⼀问题 </t>
  </si>
  <si>
    <t>观点：社交媒体对青少年的心理健康有负面影响。
理由：被试中使用社交媒体时间长的青少年焦虑水平更高等。</t>
  </si>
  <si>
    <t>一般_x000D_
_x000D_
支持力度还是不错的，比较偏向充分支持这一程度。要是把这项研究调查的青少年群体说出来就更好了，免得说有取样误差啥的。</t>
  </si>
  <si>
    <t>否_x000D_
_x000D_
真的是经常看见这方面的新闻，可以说我一开始的立场很大一部分就是这么来的吧。</t>
  </si>
  <si>
    <t>观点：青少年是感到焦虑才长时间呆在社交媒体上，而不是社交媒体导致了焦虑。
理由：青少年可以通过生活中良好的人际关系排解心理问题，这样就不会一直呆在社交媒体上了。</t>
  </si>
  <si>
    <t>一般_x000D_
_x000D_
相比材料一，这段材料明显的缺乏客观数据作为支撑，尽管材料一的数据不一定那么客观，但材料二根本没有数据，说服力相比材料一差了一大截。</t>
  </si>
  <si>
    <t>一般_x000D_
_x000D_
与主题的相关性不如材料一与主题的相关那么紧密，感觉有种单纯为了反驳材料一才提出材料二的意思。合理性上，没有数据还是有点说不过去。</t>
  </si>
  <si>
    <t>材料一和材料二，这么看也是有种谁也说服不了谁的感觉。不过他俩吵起来的话，材料一一般会赢，因为有数据。好吧，数据太重要了。</t>
  </si>
  <si>
    <t>否_x000D_
_x000D_
这篇材料本身与主题有着一定的偏离，因此在某种程度上影响不了什么。</t>
  </si>
  <si>
    <t>观点：长时间使用社交媒体会导致青少年焦虑。
理由：社交媒体上普遍存在的“比较文化”“完美生活”会让青少年对自己的生活感到不满，引发一系列心理问题。</t>
  </si>
  <si>
    <t>一般_x000D_
_x000D_
又看了一遍材料三，突然感觉降低幸福感和自尊心、社交退缩这些跟焦虑没啥关系，自我怀疑跟焦虑倒是有点关系。要是那些问题真的跟焦虑没关系的话，那很显然，这个材料理由也没啥说服力。如果有关系，那就得看“比较文化”“完美生活”是不是普遍存在，以及它们会不会造成这一系列问题了。</t>
  </si>
  <si>
    <t>一般_x000D_
_x000D_
在上一个框里面我也提了一些这个观点的理由“也许不那么合理”的原因，不过观点和主题仍然是紧密相关的，合理性就有待进一步讨论了。</t>
  </si>
  <si>
    <t>在社交媒体是否会导致青少年焦虑上，这个观点跟材料一还是比较一致的。至于材料二，我还是感觉它只是想跟材料一吵架。</t>
  </si>
  <si>
    <t>否_x000D_
_x000D_
貌似这个材料有一点不合理的地方，它就会让我找到一个不那么靠谱的理由，让我去说我的立场不变，因为这个材料论述有问题。不过论述一圈下来发现，我的说法跟我的观点貌似确实没啥关系。总之，我的观点还是我的观点。</t>
  </si>
  <si>
    <t>观点：使用社交媒体对心理健康不会产生负面影响。
理由：比较文化不止在社交媒体上有，而且大多数青少年对社交媒体的使用是适度的。</t>
  </si>
  <si>
    <t>材料四感觉还是为了反驳材料一和材料三来写的，也是充满一定的主观色彩，但跟材料二不同，也许因为材料二只是为了反驳一个材料吧，材料四看上去还是要比材料二合理一些的。</t>
  </si>
  <si>
    <t>否_x000D_
_x000D_
抱歉，我有点沉溺于看材料直接吵架去了，不过这也许是因为，我看材料是在看不同人之间对一件事的看法。不同的人肯定会有不同的观点。而且他们的观点与我的观点不冲突，那么我不介意多接受一些不一样的观点。</t>
  </si>
  <si>
    <t>观点：社交媒体对青少年的心理健康存在积极影响。
理由：青少年博主在社交媒体上可以得到支持和理解自己的人。</t>
  </si>
  <si>
    <t>一般_x000D_
_x000D_
理由对论点的支持程度属实不太行。样本数量太少、采访被试选取不够全面等问题有点太明显了，以至于这个理由直接证明这个观点都显得有些欠缺。</t>
  </si>
  <si>
    <t>一般_x000D_
_x000D_
观点和主题感觉还是没啥关系，存在正面影响跟存在负面影响之间没有太多必然联系，即使观点合理，对主题的证明也不够合理。</t>
  </si>
  <si>
    <t>材料五跟之前四个材料聊的基本不在一个象限（这里想用这个词，不理解的话就理解成不在一个维度吧）。往好了说这算是拓展思维角度，往差了说，驴唇不对马嘴。</t>
  </si>
  <si>
    <t>否_x000D_
_x000D_
已经比较偏离主题了，那对于和主题相关的观点不会产生太多影响。就删承认社交媒体的正面影响，也不能忽略它的负面影响。</t>
  </si>
  <si>
    <t>我有点没理解这个材料的观点是啥，也许是：社交媒体对青少年不全是积极影响。
理由：社交媒体提供的好的一面无法掩盖它有缺陷的一面。</t>
  </si>
  <si>
    <t>材料六在与材料五的争论中显得不那么只顾着争论，说明还是比较全面的。不过跟其他材料一比较，还是有点跑题了。</t>
  </si>
  <si>
    <t>否_x000D_
_x000D_
不确定材料六具体观点，导致我现在怀疑的是它到底想说啥，更让我怀疑我的观点到底会不会被影响。</t>
  </si>
  <si>
    <t>观点：社交媒体不是导致青少年心理问题的真正原因，而是背锅对象。
理由：使用社交媒体超过4小时的青少年人际关系较差。</t>
  </si>
  <si>
    <t>在一定程度上支持材料二的同时，一定程度上反驳材料一，一定程度上证明材料四，跟它有关系的材料还是比较多的。</t>
  </si>
  <si>
    <t>否_x000D_
_x000D_
现在真是单纯在比较材料之间的相关性了。但这些材料仍然在围绕焦虑这个问题展开，没有说到其他问题上。</t>
  </si>
  <si>
    <t>观点：社交媒体会使青少年产生心理问题。
理由：社交媒体上的成瘾性本身就算一种心理问题。</t>
  </si>
  <si>
    <t>一般_x000D_
_x000D_
成瘾本身算是一种心理问题，某种意义上我不反对，而且我们无法否定社交媒体的成瘾性，也没有办法否定成瘾性算是一种心理问题。从这个角度上来说，这个材料的说服力是足够的。</t>
  </si>
  <si>
    <t>一般_x000D_
_x000D_
观点有效性较高。总算说到焦虑以外的其他心理问题了，倒也是有点欣慰。观点的合理性，抛开最后一句话不谈，其他内容观点的合理性均较高。加上最后一句话，因为最后一句话跟前面的话关联性较差，显得整段话观点有些乱。</t>
  </si>
  <si>
    <t>材料八很好的扩展了社交媒体对青少年心理健康的其他层面的影响，完美提到了之前七个材料没提到的问题。</t>
  </si>
  <si>
    <t>否_x000D_
_x000D_
最后一段话的过于绝对让我不敢贸然苟同。虽然不承认这句话显得我很不负责，但我还是坚持我的观点。</t>
  </si>
  <si>
    <t>有负面影响；使用社交媒体多的青少年焦虑水平更高</t>
  </si>
  <si>
    <t>不能支持_x000D_
_x000D_
可能有因果倒置或者胡乱联系，即焦虑水平高所以才玩手机多；社交媒体普及了所以才发现青少年存在心理问题</t>
  </si>
  <si>
    <t>否_x000D_
_x000D_
没蒙骗我</t>
  </si>
  <si>
    <t>社交媒体不一定导致焦虑；现充不会有心理问题</t>
  </si>
  <si>
    <t>不能支持_x000D_
_x000D_
不充分且有失偏颇，和亲人朋友关系好不代表他们能解决我的心理问题</t>
  </si>
  <si>
    <t>基本无效_x000D_
_x000D_
就是觉得不行</t>
  </si>
  <si>
    <t>有负面影响；普遍存在的比较文化会导致一系列负面情绪</t>
  </si>
  <si>
    <t>一般_x000D_
_x000D_
能支持但不一定，分人。此处过于武断片面，类比“学习不好就是打游戏害的”</t>
  </si>
  <si>
    <t>补充1、反驳2</t>
  </si>
  <si>
    <t>不会有负面影响；过度使用社交媒体的人本来就心理不健康</t>
  </si>
  <si>
    <t>否_x000D_
_x000D_
累了</t>
  </si>
  <si>
    <t>有积极影响；会获得他人认可</t>
  </si>
  <si>
    <t>不能支持_x000D_
_x000D_
有积极影响不能代表没有消极影响，二者不会像酸碱中和一样相互抵消而是会并存</t>
  </si>
  <si>
    <t>基本无效_x000D_
_x000D_
样本量也太小了</t>
  </si>
  <si>
    <t>否_x000D_
_x000D_
无效为什么变</t>
  </si>
  <si>
    <t>有负面影响；幸存者偏差</t>
  </si>
  <si>
    <t>否_x000D_
_x000D_
和我的立场不冲突</t>
  </si>
  <si>
    <t>没有负面影响；社交媒体是背锅的</t>
  </si>
  <si>
    <t>有负面影响；社交媒体使青少年成瘾，成瘾=负面影响</t>
  </si>
  <si>
    <t>不能支持_x000D_
_x000D_
有成瘾性不代表会成瘾，有人会成瘾不代表所有人都会成瘾，何况我没说没有不良影响，不由分说就指责才是不负责任（急了？）</t>
  </si>
  <si>
    <t>基本无效_x000D_
_x000D_
诡辩</t>
  </si>
  <si>
    <t>新的错误观点</t>
  </si>
  <si>
    <t>充分支持_x000D_
_x000D_
理由契合观点，而且是研究数据，有说服力</t>
  </si>
  <si>
    <t>否_x000D_
_x000D_
检查观点</t>
  </si>
  <si>
    <t>不能支持_x000D_
_x000D_
观点很好，理由一点也不充分，个人推测，个人意见</t>
  </si>
  <si>
    <t>一般_x000D_
_x000D_
观点和主题联系紧密，也有一定合理的地方</t>
  </si>
  <si>
    <t>否_x000D_
_x000D_
坚持观点</t>
  </si>
  <si>
    <t>观点长时间使用社交媒体必然会导致青少年焦虑
理由：社交媒体上普遍存在“比较文化”，加上铺天盖地的“完美生活”的展示，会让青少年对自己的生活感到不满，降低幸福感和自尊心，导致社交退缩、自我怀疑，最终引发心理健康危机。</t>
  </si>
  <si>
    <t>一般_x000D_
_x000D_
提到的“比较文化”和“完美生活”的词都是契合的，合理的，后面的逻辑推导，“会让青少年对自己的生活感到不满，降低幸福感和自尊心，导致社交退缩、自我怀疑，最终引发心理健康危机。”也是逻辑合理的，缺点是缺少实际证据</t>
  </si>
  <si>
    <t>一般_x000D_
_x000D_
和主题契合，稍有些偏激，长时间使用社交媒体必然会导致青少年焦虑，提到必然</t>
  </si>
  <si>
    <t>观点：使用社交媒体对心理健康不会产生负面影响。
理由：比较文化随处都有，不只是社交媒体上才有。此外，大多数青少年对社交媒体的使用是适度的，那些每天使用超过4小时的人的心理健康可能本身存在一些问题。所以，对大多数青少年而言，</t>
  </si>
  <si>
    <t>观点：社交媒体对青少年的心理健康存在积极影响
理由：青少年可以在这里找到支持和理解自己的人。有记者采访了某社交媒体的5名青少年博主，他们表示，自己表达的观点和创作的作品获得了很多网友的鼓励和认可，感到自己被理解也更自信了。</t>
  </si>
  <si>
    <t>充分支持_x000D_
_x000D_
理由中肯合理，还有事实的例子</t>
  </si>
  <si>
    <t>非常有效_x000D_
_x000D_
观点中肯不偏激，“存在积极影响”，和主题紧密联系，也有理由，没有偏见</t>
  </si>
  <si>
    <t>观点：接受采访的青少年观点不能代表所有青少年
理由：接受采访的5名青少年肯定其中比较出众的，他们愿意分享自己的积极体验，但这是一种假象。</t>
  </si>
  <si>
    <t>否_x000D_
_x000D_
坚持立场</t>
  </si>
  <si>
    <t>观点社交媒体并不是导致青少年心理问题的真正原因，而只是“背锅”的对象。
理由：虽然调查发现，每天使用社交媒体超过4小时的青少年具有更高的焦虑水平，但如果把他们的人际关系也考虑在内就会发现，这些青少年对自己的家庭关系和朋友关系质量的评价都比较低</t>
  </si>
  <si>
    <t>为材料2提供支持和解释</t>
  </si>
  <si>
    <t>否_x000D_
_x000D_
我仍然认为社交媒体对青少年心理健康有一定的负面影响</t>
  </si>
  <si>
    <t>观点：认为社交媒体对青少年的心理健康没有不良影响是不负责任的！
理由：社交媒体上的很多内容像“电子鸦片”一样，具有极强的吸引力和成瘾性。如果成瘾都不算心理问题，那什么才算？而且现在很多人都在使用社交媒体，所以这已经是一种集体成瘾了</t>
  </si>
  <si>
    <t>不能支持_x000D_
_x000D_
理由不充分，没有证据支持，个人情绪色彩很重</t>
  </si>
  <si>
    <t>一般_x000D_
_x000D_
感觉观点有点激动，有些跑题，没有集中于社交媒体是否对青少年的心理健康有负面的影响，开始攻击认为社交媒体对青少年的心理健康的行为和这一类人了</t>
  </si>
  <si>
    <t>反对了材料四</t>
  </si>
  <si>
    <t>观点：社交媒体对青少年的心理健康有负面影响
理由：有研究调查了1000多名青少年，发现那些每天使用社交媒体超过4小时的青少年的焦虑水平比其它青少年更高。而且近10年的数据也显示，随着社交媒体的普及，存在心理问题的青少年比例也逐年增高</t>
  </si>
  <si>
    <t>一般_x000D_
_x000D_
列举了具体的研究数据，说明了社交媒体与青少年不健康的心理之间存在高度相关，但并不能直接说明是社交媒体导致了青少年的不健康心理</t>
  </si>
  <si>
    <t>否_x000D_
_x000D_
这个材料存在逻辑问题，说服力有限</t>
  </si>
  <si>
    <t>观点：青少年可能是因为感觉到焦虑才长时间呆在社交媒体上，而不是因为使用社交媒体才导致了焦虑等的心理健康问题
理由：如果一个人在现实中和家人和朋友关系很好，他的心理问题能及时排解，又怎么会花4个小时在社交媒体上？</t>
  </si>
  <si>
    <t>一般_x000D_
_x000D_
理由从反面的角度思考，使用反问支持了观点，但是反问的语气存在太过绝对的问题</t>
  </si>
  <si>
    <t>一般_x000D_
_x000D_
材料只是提出了一个可能性，并没有用具体的数据或实例来支持它的观点</t>
  </si>
  <si>
    <t>反驳了材料一，指出与材料一相反的青少年心理健康和社交媒体之间的因果关系</t>
  </si>
  <si>
    <t>否_x000D_
_x000D_
材料只是提出了一个可能性，并没有用具体的数据或实例来支持它的观点，说服力有限</t>
  </si>
  <si>
    <t>充分支持_x000D_
_x000D_
理由中列举的社交媒体中实际存在的现象，充分说明了社交媒体可能对青少年心理健康造成的负面影响</t>
  </si>
  <si>
    <t>一般_x000D_
_x000D_
观点太过绝对，并不是所有的青少年都会去浏览那些“完美生活”“比较文化”，也不是所有的青少年都会被这些内容影响心理健康</t>
  </si>
  <si>
    <t>支持了材料一，为它提供了解释</t>
  </si>
  <si>
    <t>否_x000D_
_x000D_
这个观点太过绝对，不具有说服力</t>
  </si>
  <si>
    <t>反驳了材料三，指出“比较文化”并不是只有社交媒体才有的问题，为材料二的观点提供了支持</t>
  </si>
  <si>
    <t>否_x000D_
_x000D_
这个观点存在明显的推理错误，并不合理</t>
  </si>
  <si>
    <t>充分支持_x000D_
_x000D_
理由列举了具体的采访实例，青少年博主因为社交媒体而更加自信，充分支持了社交媒体对青少年的心理健康存在积极影响的观点</t>
  </si>
  <si>
    <t>非常有效_x000D_
_x000D_
与主题紧密相关，并且理由合理有效</t>
  </si>
  <si>
    <t>反驳了材料二和三，指出社交媒体也能够给人带来自信的观点</t>
  </si>
  <si>
    <t>否_x000D_
_x000D_
很多青少年并不具备成为一个博主的能力，而且在成为博主后得到的并不全是支持和赞赏，有可能会面临网暴的风险</t>
  </si>
  <si>
    <t>观点：社交媒体并不能为所有青少年提供一个美好的环境
理由：社交媒体确实为表达自我与艺术创作提供了自由的环境，但接受采访的5名青少年肯定其中比较出众的，他们愿意分享自己的积极体验，但这是一种假象。他们观点不能代表所有青少年，尤其是那些在社交媒体上遭遇负面经历（比如网络欺凌）的青少年。</t>
  </si>
  <si>
    <t>反驳了材料五，指出材料五中的青少年博主毕竟只是少数人，也有青少年在社交媒体上遭遇了网络欺凌</t>
  </si>
  <si>
    <t>是_x000D_
_x000D_
3_x000D_
_x000D_
这个材料的观点虽然并不明确，但是指出了网络欺凌这个非常严重地问题</t>
  </si>
  <si>
    <t>观点：社交媒体并不是导致青少年心理问题的真正原因，而只是“背锅”的对象。
理由：虽然调查发现，每天使用社交媒体超过4小时的青少年具有更高的焦虑水平，但如果把他们的人际关系也考虑在内就会发现，这些青少年对自己的家庭关系和朋友关系质量的评价都比较低</t>
  </si>
  <si>
    <t>为材料四提供了支持和解释</t>
  </si>
  <si>
    <t>是_x000D_
_x000D_
4_x000D_
_x000D_
这个材料说明了青少年的焦虑问题可能并不是过度使用社交媒体导致的</t>
  </si>
  <si>
    <t>观点：社交媒体对青少年的心理健康具有不良影响
理由：社交媒体上的很多内容像“电子鸦片”一样，具有极强的吸引力和成瘾性。如果成瘾都不算心理问题，那什么才算？而且现在很多人都在使用社交媒体，所以这已经是一种集体成瘾了。</t>
  </si>
  <si>
    <t>充分支持_x000D_
_x000D_
指出社交媒体中的很多内容都具有极强的吸引力和成瘾性，表明社交媒体可能会造成青少年的成瘾问题</t>
  </si>
  <si>
    <t>非常有效_x000D_
_x000D_
和主题紧密相关</t>
  </si>
  <si>
    <t>在已有材料的基础上提出了一个新的观点，指出了社交媒体的成瘾性</t>
  </si>
  <si>
    <t>是_x000D_
_x000D_
3_x000D_
_x000D_
尽管这个材料具有强烈的个人情感，但是它指出了社交媒体的成瘾性，这可能对青少年造成危害</t>
  </si>
  <si>
    <t>充分支持_x000D_
_x000D_
用研究调查数据来证明观点，较为有力。</t>
  </si>
  <si>
    <t>否_x000D_
_x000D_
有力地支持了我的立场。</t>
  </si>
  <si>
    <t xml:space="preserve">观点：青少年可能是因为感觉到焦虑才长时间呆在社交媒体上，而不是因为使用社交媒体才导致了焦虑等的心理健康问题。
理由：如果一个人在现实中和家人和朋友关系很好，他的心理问题能及时排解，又怎么会花4个小时在社交媒体上？
</t>
  </si>
  <si>
    <t>一般_x000D_
_x000D_
采用反问句，较为主观的措辞不能很好地印证观点。</t>
  </si>
  <si>
    <t>一般_x000D_
_x000D_
观点与主题关系不大，合理性也不够强。</t>
  </si>
  <si>
    <t>反驳了材料1，认为不是社交媒体导致了青少年的焦虑。</t>
  </si>
  <si>
    <t>否_x000D_
_x000D_
材料观点太过主观且说服力不够强。</t>
  </si>
  <si>
    <t>一般_x000D_
_x000D_
“铺天盖地的“完美生活”的展示”说法有失偏颇，这是社交媒体的影响之一，但说法太过于绝对。</t>
  </si>
  <si>
    <t>一般_x000D_
_x000D_
观点与主题有一定关联且较为合理。</t>
  </si>
  <si>
    <t>反驳了材料2，认为使用社交媒体一定会导致青少年焦虑。</t>
  </si>
  <si>
    <t>否_x000D_
_x000D_
材料说法太过绝对，不能很好地支持我的立场。</t>
  </si>
  <si>
    <t>反驳了材料3，认为比较文化处处都有。</t>
  </si>
  <si>
    <t>否_x000D_
_x000D_
材料论述所依然着眼于有问题的青少年才会沉溺于社交媒体，社交媒体不会对青少年产生负面影响，说服力不够强。</t>
  </si>
  <si>
    <t>一般_x000D_
_x000D_
5名青少年博主的被试量太小不具备说服力，且创作者的视角与观看者视角有所不同，不能以偏概全。</t>
  </si>
  <si>
    <t>一般_x000D_
_x000D_
观点与主题有一定关联，合理性一般。</t>
  </si>
  <si>
    <t>否_x000D_
_x000D_
如题2描述所示，说服力不够强。</t>
  </si>
  <si>
    <t>观点：5名青少年博主的观点不能代表所有青少年
理由：社交媒体确实为表达自我与艺术创作提供了自由的环境，但接受采访的5名青少年肯定其中比较出众的，他们愿意分享自己的积极体验，但这是一种假象。他们观点不能代表所有青少年，尤其是那些在社交媒体上遭遇负面经历（比如网络欺凌）的青少年。</t>
  </si>
  <si>
    <t>反驳了材料5，认为其为假象。</t>
  </si>
  <si>
    <t>否_x000D_
_x000D_
材料6的观点似乎与我的立场无关。</t>
  </si>
  <si>
    <t>反驳了材料6，认为青少年心理问题的来源可能是人际关系。</t>
  </si>
  <si>
    <t>否_x000D_
_x000D_
如题2所示。</t>
  </si>
  <si>
    <t>一般_x000D_
_x000D_
“多人都在使用社交媒体，所以这已经是一种集体成瘾了”是较为偏激的说法，不具备足够的说服力。</t>
  </si>
  <si>
    <t>反驳了材料7，指明认为社交媒体对青少年的心理健康没有不良影响是不负责任的。</t>
  </si>
  <si>
    <t>不能支持_x000D_
_x000D_
只是相关，不是因果。可能还受到其他因素的影响。</t>
  </si>
  <si>
    <t>否_x000D_
_x000D_
推论不成立。</t>
  </si>
  <si>
    <t>一般_x000D_
_x000D_
是一个反问句，但是前后的逻辑并不通顺。</t>
  </si>
  <si>
    <t>非常有效_x000D_
_x000D_
提出了不同的可能性</t>
  </si>
  <si>
    <t>是_x000D_
_x000D_
4_x000D_
_x000D_
一开始看错了。</t>
  </si>
  <si>
    <t>一般_x000D_
_x000D_
以偏概全，但是支持了论点。</t>
  </si>
  <si>
    <t>一般_x000D_
_x000D_
太过于果断，并且理由不充分。</t>
  </si>
  <si>
    <t>佐证材料1，反驳材料2</t>
  </si>
  <si>
    <t>否_x000D_
_x000D_
太过于绝对。</t>
  </si>
  <si>
    <t>和2一致，和13相反</t>
  </si>
  <si>
    <t>否_x000D_
_x000D_
太过于绝对</t>
  </si>
  <si>
    <t>一般_x000D_
_x000D_
5名青少年博主并不具有代表性，但是也支持了观点。</t>
  </si>
  <si>
    <t>非常有效_x000D_
_x000D_
和主题紧密相关，观点合理。</t>
  </si>
  <si>
    <t>否_x000D_
_x000D_
和立场一致。</t>
  </si>
  <si>
    <t>观点：5名青少年并不能代表所有青少年，是一种假象。
理由：有一些在社交媒体上遭遇负面经历（比如网络欺凌）的青少年。</t>
  </si>
  <si>
    <t>否_x000D_
_x000D_
较为一致。</t>
  </si>
  <si>
    <t>观点：社交媒体并不是导致青少年心理问题的真正原因，而只是社会关系的“背锅”对象。
理由：每天使用社交媒体超过4小时的青少年具有更高的焦虑水平，但如果把他们的人际关系也考虑在内就会发现，这些青少年对自己的家庭关系和朋友关系质量的评价都比较低。</t>
  </si>
  <si>
    <t>对材料1中的现象进行进一步的探讨，并提出了新的观点。</t>
  </si>
  <si>
    <t>否_x000D_
_x000D_
同意</t>
  </si>
  <si>
    <t>一般_x000D_
_x000D_
从成瘾的角度有效地支持了论点，但是支持的是社交媒体对青少年的健康产生了影响，但是不是认为社交媒体对青少年的心理健康没有不良影响是不负责任的</t>
  </si>
  <si>
    <t>一般_x000D_
_x000D_
较为紧密，但有一些偏离主题</t>
  </si>
  <si>
    <t>反驳了材料5与材料7，并从成瘾提出了新的观点</t>
  </si>
  <si>
    <t>否_x000D_
_x000D_
较为一致</t>
  </si>
  <si>
    <t xml:space="preserve">社交媒体对青少年的心理健康有负面影响。
研究调查了1000多名青少年，发现那些每天使用社交媒体超过4小时的青少年的焦虑水平比其它青少年更高。而且近10年的数据也显示，随着社交媒体的普及，存在心理问题的青少年比例也逐年增高。
</t>
  </si>
  <si>
    <t>不能支持_x000D_
_x000D_
否。存在强加因果。</t>
  </si>
  <si>
    <t>青少年可能是因为感觉到焦虑才长时间呆在社交媒体上，而不是因为使用社交媒体才导致了焦虑等的心理健康问题。
青少年在现实中和家人和朋友关系很好，他的心理问题就能及时排解，不会花4个小时在社交媒体上。</t>
  </si>
  <si>
    <t>一般_x000D_
_x000D_
不充分。存在逻辑错误，和家人朋友关系好并不能等同于心理问题可以及时排解。</t>
  </si>
  <si>
    <t>基本无效_x000D_
_x000D_
是。是，合理但无效，论据不足以支撑观点。</t>
  </si>
  <si>
    <t>否_x000D_
_x000D_
观点我是支持的，但是论证过程一塌糊涂。</t>
  </si>
  <si>
    <t>长时间使用社交媒体必然会导致青少年焦虑。
社交媒体上普遍存在“比较文化”，加上铺天盖地的“完美生活”的展示，会让青少年对自己的生活感到不满，降低幸福感和自尊心，导致社交退缩、自我怀疑，最终引发心理健康危机。</t>
  </si>
  <si>
    <t>不能支持_x000D_
_x000D_
不充分且无效。全是逻辑错误。</t>
  </si>
  <si>
    <t>基本无效_x000D_
_x000D_
相关。不合理，存在偏见。</t>
  </si>
  <si>
    <t>支持材料1，反驳材料2.</t>
  </si>
  <si>
    <t>否_x000D_
_x000D_
没变化。</t>
  </si>
  <si>
    <t>对大多数青少年而言，使用社交媒体对心理健康不会产生负面影响。
比较文化随处都有，不只是社交媒体上才有。此外，大多数青少年对社交媒体的使用是适度的，那些每天使用超过4小时的人的心理健康可能本身存在一些问题。</t>
  </si>
  <si>
    <t>反驳材料三。</t>
  </si>
  <si>
    <t>社交媒体对青少年的心理健康存在积极影响。
青少年可以在这里找到支持和理解自己的人。</t>
  </si>
  <si>
    <t>一般_x000D_
_x000D_
有效，但不多。存在以偏概全。</t>
  </si>
  <si>
    <t>一般_x000D_
_x000D_
相关。不合理，因为只关注了青少年博主而没关注其他使用者。</t>
  </si>
  <si>
    <t>被采访者的观点不能代表所有青少年，尤其是那些在社交媒体上遭遇负面经历（比如网络欺凌）的青少年。
社交媒体确实为表达自我与艺术创作提供了自由的环境，但接受采访的5名青少年肯定其中比较出众的，他们愿意分享自己的积极体验，但这是一种假象。</t>
  </si>
  <si>
    <t>否_x000D_
_x000D_
无变化。</t>
  </si>
  <si>
    <t xml:space="preserve">社交媒体并不是导致青少年心理问题的真正原因，而只是“背锅”的对象。
虽然调查发现，每天使用社交媒体超过4小时的青少年具有更高的焦虑水平，但如果把他们的人际关系也考虑在内就会发现，这些青少年对自己的家庭关系和朋友关系质量的评价都比较低。
</t>
  </si>
  <si>
    <t>反驳材料1.</t>
  </si>
  <si>
    <t xml:space="preserve">认为社交媒体对青少年的心理健康没有不良影响是不负责任的。
社交媒体上的很多内容像“电子鸦片”一样，具有极强的吸引力和成瘾性而且现在很多人都在使用社交媒体，所以这已经是一种集体成瘾了。
</t>
  </si>
  <si>
    <t>不能支持_x000D_
_x000D_
否，存在，成瘾不成瘾又不是你说了算。</t>
  </si>
  <si>
    <t>基本无效_x000D_
_x000D_
否，不合理，存在偏见。</t>
  </si>
  <si>
    <t>不能支持_x000D_
_x000D_
存在心理问题的青少年比例也逐年增高可能并不只是社交媒体的作用，还应该涉及到其他一些因素</t>
  </si>
  <si>
    <t>否_x000D_
_x000D_
虽然存在一些其他的因素影响青少年的心理健康，但是社交媒体还是有一定负面作用的。</t>
  </si>
  <si>
    <t>一般_x000D_
_x000D_
理由支持观点，但是没有数据等的支持</t>
  </si>
  <si>
    <t>一般_x000D_
_x000D_
有可能青少年是因为使用社交媒体才导致了焦虑等的心理健康问题，但是因为感觉到焦虑才长时间呆在社交媒体上或许占大多数。</t>
  </si>
  <si>
    <t>否_x000D_
_x000D_
只是说明了一小部分人群的现象，大多数情况下社交媒体还是会对青少年的心理健康产生负面影响的</t>
  </si>
  <si>
    <t>观点：长时间使用社交媒体必然会导致青少年焦虑
理由：社交媒体上普遍存在“比较文化”，加上铺天盖地的“完美生活”的展示，会让青少年对自己的生活感到不满，降低幸福感和自尊心，导致社交退缩、自我怀疑，最终引发心理健康危机。</t>
  </si>
  <si>
    <t>支持了材料1</t>
  </si>
  <si>
    <t>否_x000D_
_x000D_
“比较文化”确实会给人带来焦虑等心理问题，而青少年心智不成熟，更容易受到其影响。</t>
  </si>
  <si>
    <t>否_x000D_
_x000D_
并不能证明大多数青少年对社交媒体的使用是适度的，相反，我认为大多数青少年对社交媒体的使用是过度的</t>
  </si>
  <si>
    <t>观点：社交媒体对青少年的心理健康存在积极影响，因为青少年可以在这里找到支持和理解自己的人
理由：有记者采访了某社交媒体的5名青少年博主，他们表示，自己表达的观点和创作的作品获得了很多网友的鼓励和认可，感到自己被理解也更自信了。</t>
  </si>
  <si>
    <t>不能支持_x000D_
_x000D_
仅采访5名青少年博主，样本量过少，不具有普遍性。</t>
  </si>
  <si>
    <t>基本无效_x000D_
_x000D_
每个网友的想法都是不一样的，可能有的人会喜欢某一观点，而有的人厌恶这一观点，那么就会存在理解自己的人和不理解自己的人，并不是所有人都能和自己站在同一派别中。</t>
  </si>
  <si>
    <t>否_x000D_
_x000D_
采访样本太小，无法推广到青少年这一群体中。</t>
  </si>
  <si>
    <t>观点：他们观点不能代表所有青少年，尤其是那些在社交媒体上遭遇负面经历（比如网络欺凌）的青少年。
理由：社交媒体确实为表达自我与艺术创作提供了自由的环境，但接受采访的5名青少年肯定其中比较出众的，他们愿意分享自己的积极体验，但这是一种假象。</t>
  </si>
  <si>
    <t>否_x000D_
_x000D_
的确愿意分享的青少年应该都是一些比较积极、成功的，但是还有很多没有名气的青少年博主，甚至只是社交媒体的无名游客没有被考虑进去。</t>
  </si>
  <si>
    <t>支持了材料2</t>
  </si>
  <si>
    <t>否_x000D_
_x000D_
对调查结果的解释不具有说服力。</t>
  </si>
  <si>
    <t>非常有效_x000D_
_x000D_
观点和主题紧密相关，不存在偏见等问题</t>
  </si>
  <si>
    <t>否_x000D_
_x000D_
观点有效，理由充分</t>
  </si>
  <si>
    <t>充分支持_x000D_
_x000D_
理由很好的支持了观点，而且其中存在数据信息，支持力度很大。</t>
  </si>
  <si>
    <t>否_x000D_
_x000D_
材料佐证了我的想法，但是没法变动我的立场。</t>
  </si>
  <si>
    <t>不能支持_x000D_
_x000D_
我需要数据！！！这段材料的理由对观点完全没有支持力度，因为其没有数据，没有任何证明能力，我也可以说出相同的话来证明材料1的观点。</t>
  </si>
  <si>
    <t>一般_x000D_
_x000D_
本材料观点与主题存在一定观点，也较为合理，但是这只是一种可能，不代表现实生活中所有青少年都是这样的。</t>
  </si>
  <si>
    <t>本材料直接反驳了材料1，认为材料1倒置因果。</t>
  </si>
  <si>
    <t>否_x000D_
_x000D_
本材料的理由没有证明力度</t>
  </si>
  <si>
    <t>一般_x000D_
_x000D_
理由合理，但是没有数据，我觉得证明力度不够强大。</t>
  </si>
  <si>
    <t>一般_x000D_
_x000D_
这段材料继续佐证了我的立场，但是观点有些过于绝对。</t>
  </si>
  <si>
    <t>这段材料反驳了材料2的观点，算是重新规定了因果关系。</t>
  </si>
  <si>
    <t>否_x000D_
_x000D_
理由证明不够充分</t>
  </si>
  <si>
    <t>其驳斥了材料3的观点</t>
  </si>
  <si>
    <t>否_x000D_
_x000D_
这段材料立不了脚</t>
  </si>
  <si>
    <t>观点：社交媒体对青少年的心理健康存在积极影响，因为青少年可以在这里找到支持和理解自己的人。
理由：有记者采访了某社交媒体的5名青少年博主，他们表示，自己表达的观点和创作的作品获得了很多网友的鼓励和认可，感到自己被理解也更自信了。</t>
  </si>
  <si>
    <t>不能支持_x000D_
_x000D_
理由不能很好的支持观点：不是所有青少年都是社交媒体的“博主”，很明显的以偏概全。</t>
  </si>
  <si>
    <t>基本无效_x000D_
_x000D_
观点没有什么有效性，因为存在积极影响不代表消极影响就消失了，只是说两种影响都存在罢了，因此无证明力度。</t>
  </si>
  <si>
    <t>这段材料算是提出了一个新的观点</t>
  </si>
  <si>
    <t>否_x000D_
_x000D_
观点无法立足，没有证明力</t>
  </si>
  <si>
    <t>观点：受采访的5名青少年的观点不能代表所有青少年，尤其是那些在社交媒体上遭遇负面经历（比如网络欺凌）的青少年
理由：社交媒体确实为表达自我与艺术创作提供了自由的环境，但接受采访的5名青少年肯定其中比较出众的，他们愿意分享自己的积极体验，但这是一种假象。</t>
  </si>
  <si>
    <t>驳斥了材料5</t>
  </si>
  <si>
    <t>否_x000D_
_x000D_
材料的证明力度不够将我的立场推到1</t>
  </si>
  <si>
    <t>这段材料算是驳斥了前面的证明性质的材料</t>
  </si>
  <si>
    <t>否_x000D_
_x000D_
论证无法立足</t>
  </si>
  <si>
    <t>一般_x000D_
_x000D_
没有数据，没有证明力</t>
  </si>
  <si>
    <t>一般_x000D_
_x000D_
观点有效，且与主题紧密相关，但是理由的支持力度太弱，导致观点的有效性受到影响</t>
  </si>
  <si>
    <t>否_x000D_
_x000D_
论证立不住脚</t>
  </si>
  <si>
    <t>观点：这说明社交媒体对青少年的心理健康有负面影响。
理由：有研究调查了1000多名青少年，发现那些每天使用社交媒体超过4小时的青少年的焦虑水平比其它青少年更高。而且近10年的数据也显示，随着社交媒体的普及，存在心理问题的青少年比例也逐年增高。</t>
  </si>
  <si>
    <t>一般_x000D_
_x000D_
焦虑本身受多因素调控影响</t>
  </si>
  <si>
    <t>否_x000D_
_x000D_
材料太过简单和概括，有效性不高</t>
  </si>
  <si>
    <t>一般_x000D_
_x000D_
观点合理</t>
  </si>
  <si>
    <t>反驳材料1</t>
  </si>
  <si>
    <t>观点：长时间使用社交媒体必然会导致青少年焦虑
理由：因为社交媒体上普遍存在“比较文化”，加上铺天盖地的“完美生活”的展示，会让青少年对自己的生活感到不满，降低幸福感和自尊心，导致社交退缩、自我怀疑，最终引发心理健康危机</t>
  </si>
  <si>
    <t>一般_x000D_
_x000D_
合理</t>
  </si>
  <si>
    <t>解释材料1</t>
  </si>
  <si>
    <t>观点：对大多数青少年而言，使用社交媒体对心理健康不会产生负面影响。
理由：比较文化随处都有，不只是社交媒体上才有。此外，大多数青少年对社交媒体的使用是适度的，那些每天使用超过4小时的人的心理健康可能本身存在一些问题</t>
  </si>
  <si>
    <t>反对材料3观点</t>
  </si>
  <si>
    <t xml:space="preserve">否_x000D_
_x000D_
。。。
</t>
  </si>
  <si>
    <t>观点：社交媒体对青少年的心理健康存在积极影响，
理由：因为青少年可以在这里找到支持和理解自己的人。有记者采访了某社交媒体的5名青少年博主，他们表示，自己表达的观点和创作的作品获得了很多网友的鼓励和认可，感到自己被理解也更自信了。</t>
  </si>
  <si>
    <t>为产生积极影响提供新角度</t>
  </si>
  <si>
    <t>否_x000D_
_x000D_
。。。。</t>
  </si>
  <si>
    <t>观点：这是一种假象。
理由：社交媒体确实为表达自我与艺术创作提供了自由的环境，但接受采访的5名青少年肯定其中比较出众的，他们愿意分享自己的积极体验，他们观点不能代表所有青少年，尤其是那些在社交媒体上遭遇负面经历（比如网络欺凌）的青少年</t>
  </si>
  <si>
    <t>。</t>
  </si>
  <si>
    <t>否_x000D_
_x000D_
。</t>
  </si>
  <si>
    <t>社交媒体对青少年的心理健康有负面影响
有研究调查了1000多名青少年，发现那些每天使用社交媒体超过4小时的青少年的焦虑水平比其它青少年更高。而且近10年的数据也显示，随着社交媒体的普及，存在心理问题的青少年比例也逐年增高</t>
  </si>
  <si>
    <t>不能支持_x000D_
_x000D_
相关研究无法得出因果推论；使用时间和焦虑水平、社交媒体普及度和心理问题比例的相关都可能是收到了第三变量的影响</t>
  </si>
  <si>
    <t>青少年可能是因为感觉到焦虑才长时间呆在社交媒体上，而不是因为使用社交媒体才导致了焦虑等的心理健康问题
如果一个人在现实中和家人和朋友关系很好，他的心理问题能及时排解，不会花4个小时在社交媒体上</t>
  </si>
  <si>
    <t>一般_x000D_
_x000D_
仍然是个人的主观判断，不能令人信服</t>
  </si>
  <si>
    <t>长时间使用社交媒体必然会导致青少年焦虑
社交媒体上普遍存在“比较文化”，加上铺天盖地的“完美生活”的展示，会让青少年对自己的生活感到不满，降低幸福感和自尊心，导致社交退缩、自我怀疑，最终引发心理健康危机</t>
  </si>
  <si>
    <t>一般_x000D_
_x000D_
没有实证证据支持，说得也太绝对；同样的说法，也可以说青少年因为看到了更好的别人而去更积极努力地过好自己的生活</t>
  </si>
  <si>
    <t>基本无效_x000D_
_x000D_
不合理</t>
  </si>
  <si>
    <t xml:space="preserve">对大多数青少年而言，使用社交媒体对心理健康不会产生负面影响。
比较文化随处都有，不只是社交媒体上才有。此外，大多数青少年对社交媒体的使用是适度的，那些每天使用超过4小时的人的心理健康可能本身存在一些问题
</t>
  </si>
  <si>
    <t>社交媒体对青少年的心理健康存在积极影响
青少年可以在这里找到支持和理解自己的人</t>
  </si>
  <si>
    <t>一般_x000D_
_x000D_
举的五个博主的例子代表性一般，大多数人都只是看客</t>
  </si>
  <si>
    <t>他们观点不能代表所有青少年
接受采访的5名青少年肯定其中比较出众的，他们愿意分享自己的积极体</t>
  </si>
  <si>
    <t>社交媒体并不是导致青少年心理问题的真正原因
这些青少年对自己的家庭关系和朋友关系质量的评价都比较低</t>
  </si>
  <si>
    <t>认为社交媒体对青少年的心理健康没有不良影响是不负责任的
社交媒体上的很多内容像“电子鸦片”一样，具有极强的吸引力和成瘾性。如果成瘾都不算心理问题，那什么才算？而且现在很多人都在使用社交媒体，所以这已经是一种集体成瘾了</t>
  </si>
  <si>
    <t>不能支持_x000D_
_x000D_
主观臆断，空口无凭</t>
  </si>
  <si>
    <t>基本无效_x000D_
_x000D_
基本无效</t>
  </si>
  <si>
    <t>不能支持_x000D_
_x000D_
相关不能证明因果。</t>
  </si>
  <si>
    <t>否_x000D_
_x000D_
相关不能证明因果！！！！！！！</t>
  </si>
  <si>
    <t>不能支持_x000D_
_x000D_
没有论据。缺乏真实性。找不到其中的逻辑点。相关不能证明因果。</t>
  </si>
  <si>
    <t>基本无效_x000D_
_x000D_
相关但不合理。相关不能证明因果。</t>
  </si>
  <si>
    <t>否_x000D_
_x000D_
相关不能证明因果。</t>
  </si>
  <si>
    <t>不能支持_x000D_
_x000D_
社交媒体上的东西没有与现实生活中的相对比。以偏概全。</t>
  </si>
  <si>
    <t>基本无效_x000D_
_x000D_
相关，但是不合理。存在偏见，缺少强有力的数据对比和说明。</t>
  </si>
  <si>
    <t>支持材料1.反驳材料2.</t>
  </si>
  <si>
    <t>否_x000D_
_x000D_
论据不充分，缺少强有力的数据对比，不能说服我。</t>
  </si>
  <si>
    <t>反驳了材料3、1，支持了材料2</t>
  </si>
  <si>
    <t>否_x000D_
_x000D_
论述不充分，强加因果，不能说服我。</t>
  </si>
  <si>
    <t>不能支持_x000D_
_x000D_
被试过少</t>
  </si>
  <si>
    <t>基本无效_x000D_
_x000D_
被试过少</t>
  </si>
  <si>
    <t>否_x000D_
_x000D_
被试过少，难以推广。</t>
  </si>
  <si>
    <t>观点：他们观点不能代表所有青少年
理由：社交媒体确实为表达自我与艺术创作提供了自由的环境，但接受采访的5名青少年肯定其中比较出众的，他们愿意分享自己的积极体验，但这是一种假象。尤其是那些在社交媒体上遭遇负面经历（比如网络欺凌）的青少年。</t>
  </si>
  <si>
    <t>否_x000D_
_x000D_
论据不充分，论述不合理。</t>
  </si>
  <si>
    <t>观点：因此，社交媒体并不是导致青少年心理问题的真正原因，而只是“背锅”的对象。
理由：虽然调查发现，每天使用社交媒体超过4小时的青少年具有更高的焦虑水平，但如果把他们的人际关系也考虑在内就会发现，这些青少年对自己的家庭关系和朋友关系质量的评价都比较低。</t>
  </si>
  <si>
    <t>反驳了材料4、2，支持了1、3</t>
  </si>
  <si>
    <t>否_x000D_
_x000D_
论述不充分不能说服我</t>
  </si>
  <si>
    <t>观点：因此，认为社交媒体对青少年的心理健康没有不良影响是不负责任的！
理由：社交媒体上的很多内容像“电子鸦片”一样，具有极强的吸引力和成瘾性。如果成瘾都不算心理问题，那什么才算？而且现在很多人都在使用社交媒体，所以这已经是一种集体成瘾了。</t>
  </si>
  <si>
    <t>不能支持_x000D_
_x000D_
无效推理，以偏概全、强加因果、自以为是、充满偏见。
不错的微信小软文。</t>
  </si>
  <si>
    <t>基本无效_x000D_
_x000D_
相关，但是不合理有偏见、</t>
  </si>
  <si>
    <t>反驳了材料7、5、3、1 支持了2、4</t>
  </si>
  <si>
    <t>否_x000D_
_x000D_
论述偏见、缺乏科学性</t>
  </si>
  <si>
    <t>观点：社交媒体对青少年的心理健康有负面影响
理由;有研究调查了1000多名青少年，发现那些每天使用社交媒体超过4小时的青少年的焦虑水平比其它青少年更高。而且近10年的数据也显示，随着社交媒体的普及，存在心理问题的青少年比例也逐年增高</t>
  </si>
  <si>
    <t>一般_x000D_
_x000D_
理由不太能充分支持观点，第一条理由尚且能够支持，但也只是从心理问题的一个方面来讲影响，而第二条的问题较大，因为青少年存在心理问题的比例逐年升高的原因不能完全用社交媒体来解释。</t>
  </si>
  <si>
    <t>否_x000D_
_x000D_
这个材料支持我的观点，其描述的影响也与我所选择的类似</t>
  </si>
  <si>
    <t>一般_x000D_
_x000D_
理由能够部分说明观点，因为从反面来讲，如果和家人朋友关系不好，确实他可能会倾向于在社交媒体上停留更长时间，但是和家人朋友关系好，如果对方较忙没有时间陪伴他，他也可能选择上社交媒体度过时光。</t>
  </si>
  <si>
    <t>非常有效_x000D_
_x000D_
与主题密切相关，观点确实说到，心理问题和社交媒体之间的因果关系不能确定。</t>
  </si>
  <si>
    <t>反驳材料1，说明青少年可能是因为焦虑才上社交平台</t>
  </si>
  <si>
    <t>否_x000D_
_x000D_
材料观点尚可，但说服力不强。</t>
  </si>
  <si>
    <t>一般_x000D_
_x000D_
理由能从一个方面说明青少年产生焦虑的原因，但是不能说明它们之间的因果关系。</t>
  </si>
  <si>
    <t>基本无效_x000D_
_x000D_
观点和主题紧密相关，但是材料将社交媒体和青少年心理健康的关系做出了因果关系的论断，不合理</t>
  </si>
  <si>
    <t>否_x000D_
_x000D_
材料提到了比较文化，这点与我的观点相符。</t>
  </si>
  <si>
    <t>观点：对大多数青少年而言，使用社交媒体对心理健康不会产生负面影响。
理由：大多数青少年对社交媒体的使用是适度的，那些每天使用超过4小时的人的心理健康可能本身存在一些问题</t>
  </si>
  <si>
    <t>反驳了材料三 ，指出比较文化到处都是，支持了材料2</t>
  </si>
  <si>
    <t>否_x000D_
_x000D_
该段材料说服力欠佳</t>
  </si>
  <si>
    <t>不能支持_x000D_
_x000D_
理由不能充分支持观点，因为采访中仅是少量青少年，而且他们的身份也是博主，以偏概全。</t>
  </si>
  <si>
    <t>非常有效_x000D_
_x000D_
观点与主题紧密相关，也提出了原因。</t>
  </si>
  <si>
    <t>提出新的想法，认为社交媒体对青少年心理健康有积极影响。</t>
  </si>
  <si>
    <t>否_x000D_
_x000D_
在我的观点论述时我也提及类似的积极方面。</t>
  </si>
  <si>
    <t>观点：社交媒体确实为表达自我与艺术创作提供了自由的环境，但接受采访的5名青少年肯定其中比较出众的，他们愿意分享自己的积极体验，但这是一种假象。
理由：他们观点不能代表所有青少年，尤其是那些在社交媒体上遭遇负面经历（比如网络欺凌）的青少年</t>
  </si>
  <si>
    <t>反驳了材料5，指出记者只是采访了出众的青少年。</t>
  </si>
  <si>
    <t>否_x000D_
_x000D_
这个材料指出了上一则材料的问题，也是我上篇提到的。</t>
  </si>
  <si>
    <t>理由：社交媒体并不是导致青少年心理问题的真正原因，而只是“背锅”的对象。
原因：每天使用社交媒体超过4小时的青少年具有更高的焦虑水平，但如果把他们的人际关系也考虑在内就会发现，这些青少年对自己的家庭关系和朋友关系质量的评价都比较低</t>
  </si>
  <si>
    <t>反驳材料1，指出它没有考虑人际关系</t>
  </si>
  <si>
    <t>否_x000D_
_x000D_
这段材料有问题。</t>
  </si>
  <si>
    <t>观点：认为社交媒体对青少年的心理健康没有不良影响是不负责任的
理由;社交媒体上的很多内容像“电子鸦片”一样，具有极强的吸引力和成瘾性。如果成瘾都不算心理问题，那什么才算？而且现在很多人都在使用社交媒体，所以这已经是一种集体成瘾了</t>
  </si>
  <si>
    <t>不能支持_x000D_
_x000D_
成瘾也得看程度，而且不良影响仅从成瘾方面说不合理，不够具体</t>
  </si>
  <si>
    <t>一般_x000D_
_x000D_
与主题相关，但社交媒体对心理健康的影响不能就此论断。</t>
  </si>
  <si>
    <t>提出社交媒体易成瘾故认为社交媒体对青少年的心理健康有不良影响</t>
  </si>
  <si>
    <t>否_x000D_
_x000D_
这一段话与我的立场相似，即使它的理由很奇怪</t>
  </si>
  <si>
    <t>一般_x000D_
_x000D_
社交媒体和焦虑水平的因果关系并不确定</t>
  </si>
  <si>
    <t>否_x000D_
_x000D_
在一定程度是证明了我的立场</t>
  </si>
  <si>
    <t>一般_x000D_
_x000D_
没有实证研究，只是推断</t>
  </si>
  <si>
    <t>反驳了材料1，指出了材料1中没有因果关系的问题</t>
  </si>
  <si>
    <t>否_x000D_
_x000D_
和我的想法相同</t>
  </si>
  <si>
    <t>一般_x000D_
_x000D_
以偏概全，也有青少年已经有足够的分辨能力可以分辨好坏</t>
  </si>
  <si>
    <t>一般_x000D_
_x000D_
有效但过于绝对</t>
  </si>
  <si>
    <t>否_x000D_
_x000D_
虽然过于绝对，但一定程度上支持了我的想法</t>
  </si>
  <si>
    <t xml:space="preserve">反驳了材料3，为材料2提供⽀持和解释 </t>
  </si>
  <si>
    <t>否_x000D_
_x000D_
该材料无效</t>
  </si>
  <si>
    <t>一般_x000D_
_x000D_
有效，但是并不是所有网友都会鼓励他人</t>
  </si>
  <si>
    <t>在已有材料的基础上提出了⼀个新的观点，同时反驳了认为带来不良影响的材料。</t>
  </si>
  <si>
    <t>否_x000D_
_x000D_
与我的观点并不相悖</t>
  </si>
  <si>
    <t>观点：社交媒体确实为表达自我与艺术创作提供了自由的环境，但不能代表所有青少年
理由：接受采访的5名青少年肯定其中比较出众的，他们愿意分享自己的积极体验，但这是一种假象。他们观点不能代表所有青少年，尤其是那些在社交媒体上遭遇负面经历（比如网络欺凌）的青少年。</t>
  </si>
  <si>
    <t>反驳了材料5，指出并不是所有人都能在社交媒体上得到积极反馈</t>
  </si>
  <si>
    <t>否_x000D_
_x000D_
和我的想法相符</t>
  </si>
  <si>
    <t>否_x000D_
_x000D_
影响青少年心理健康的因素很多，不能因为人际关系不好久决断</t>
  </si>
  <si>
    <t>一般_x000D_
_x000D_
过于偏激</t>
  </si>
  <si>
    <t>一般_x000D_
_x000D_
理由有明确来源，但青少年心理健康影响因素较多，该理由不能充分这种观点</t>
  </si>
  <si>
    <t>否_x000D_
_x000D_
本人熟悉这种观点，立场是建立在这些观点上确定的，再次阅读自然不会影响我的立场</t>
  </si>
  <si>
    <t>观点：青少年可能是因为感觉到焦虑才长时间呆在社交媒体上，而不是因为使用社交媒体才导致了焦虑等的心理健康问题
理由：如果一个人在现实中和家人和朋友关系很好，他的心理问题能及时排解，又怎么会花4个小时在社交媒体上</t>
  </si>
  <si>
    <t>一般_x000D_
_x000D_
该理由是观点的继承，但是不能证明一个人不存在心理问题时就不能长时间使用社交媒体</t>
  </si>
  <si>
    <t>基本无效_x000D_
_x000D_
只能说明与主题相反的问题，并不能明确解释研究主题</t>
  </si>
  <si>
    <t>否_x000D_
_x000D_
观点无效</t>
  </si>
  <si>
    <t>观点：长时间使用社交媒体必然会导致青少年焦虑
理由：社交媒体上普遍存在“比较文化”，加上铺天盖地的“完美生活”的展示，会让青少年对自己的生活感到不满，降低幸福感和自尊心，导致社交退缩、自我怀疑，最终引发心理健康危机</t>
  </si>
  <si>
    <t>充分支持_x000D_
_x000D_
该理由呈现出了社交媒体存在的问题，如果该问题确实存在则可以说明材料中的观点</t>
  </si>
  <si>
    <t>一般_x000D_
_x000D_
社交媒体一般具有呈现内容的算法，不能保证每个社交媒体使用者都会接触这些内容，算法也可以为用户呈现正面内容，提高青少年心理健康水平</t>
  </si>
  <si>
    <t>否_x000D_
_x000D_
观点没有研究支撑</t>
  </si>
  <si>
    <t>观点：对大多数青少年而言，使用社交媒体对心理健康不会产生负面影响
理由：比较文化随处都有，不只是社交媒体上才有；大多数青少年对社交媒体的使用是适度的</t>
  </si>
  <si>
    <t>与材料3观点有冲突</t>
  </si>
  <si>
    <t>否_x000D_
_x000D_
无效的理由，不影响本人立场</t>
  </si>
  <si>
    <t>充分支持_x000D_
_x000D_
虽然理由样本量较少，但确实是面向材料中的观点提出的，论证也较为有力</t>
  </si>
  <si>
    <t>基本无效_x000D_
_x000D_
此观点是采用社交媒体对青少年有积极影响的看法，从反面论证社交媒体对青少年不会产生负面影响，这种推理不成立。</t>
  </si>
  <si>
    <t>否_x000D_
_x000D_
此观点在我意料之内，不影响我的立场</t>
  </si>
  <si>
    <t>观点：接受采访的5名青少年的观点不能代表所有青少年，尤其是那些在社交媒体上遭遇负面经历（比如网络欺凌）的青少年
理由：社交媒体确实为表达自我与艺术创作提供了自由的环境，但接受采访的5名青少年肯定其中比较出众的，他们分享自己的积极体验是一种假象；</t>
  </si>
  <si>
    <t>与材料五产生冲突</t>
  </si>
  <si>
    <t>否_x000D_
_x000D_
意料之中的观点，不影响本人立场</t>
  </si>
  <si>
    <t>观点：社交媒体并不是导致青少年心理问题的真正原因，而只是“背锅”的对象
理由：每天使用社交媒体超过4小时的青少年具有更高的焦虑水平，但如果把他们的人际关系也考虑在内就会发现，这些青少年对自己的家庭关系和朋友关系质量的评价都比较低</t>
  </si>
  <si>
    <t>与材料二持有相近的观点</t>
  </si>
  <si>
    <t>否_x000D_
_x000D_
不能支持这则材料，不影响我的立场</t>
  </si>
  <si>
    <t>观点：认为社交媒体对青少年的心理健康没有不良影响是不负责任的
理由：社交媒体上的很多内容像“电子鸦片”一样，具有极强的吸引力和成瘾性；现在很多人都在使用社交媒体，所以这已经是一种集体成瘾了</t>
  </si>
  <si>
    <t>不能支持_x000D_
_x000D_
理由属于臆想；社交媒体存在多少不良内容，推送给青少年的可能性有多大，这些信息是否有成瘾性都没有事实支撑</t>
  </si>
  <si>
    <t>基本无效_x000D_
_x000D_
毫无根据的理由得到不可靠的观点</t>
  </si>
  <si>
    <t>与材料3观点类似但更加偏激</t>
  </si>
  <si>
    <t>否_x000D_
_x000D_
理由无力，观点偏激，不改变本人立场</t>
  </si>
  <si>
    <t>社交媒体负向影响青少年心理健康
使用社交媒体更多的青少年焦虑水平高；社交媒体普及与青少年心理问题正相关</t>
  </si>
  <si>
    <t>不能支持_x000D_
_x000D_
两则证据都是相关关系，完全不能说明社交媒体导致青少年心理问题的因果关系</t>
  </si>
  <si>
    <t>否_x000D_
_x000D_
论证不严谨的观点不具有参考价值</t>
  </si>
  <si>
    <t>焦虑导致了长时间使用社交媒体
家人和朋友可以排解心理问题，减少社交媒体使用</t>
  </si>
  <si>
    <t xml:space="preserve">不能支持_x000D_
_x000D_
论证时已经假定了心理问题会导致社交媒体使用增加，但这是需要论证的内容，论证过程更像是解释和说明
</t>
  </si>
  <si>
    <t>基本无效_x000D_
_x000D_
观点和主题相关，但论证不严谨</t>
  </si>
  <si>
    <t>否_x000D_
_x000D_
理由同材料1，论证过程不合格</t>
  </si>
  <si>
    <t>长时使用社交媒体必然导致青少年焦虑
社交媒体上的不良文化会导致青少年幸福感降低，自尊受挫</t>
  </si>
  <si>
    <t>一般_x000D_
_x000D_
不良文化是青少年心理问题的影响因素，在统计学上论证是合理的，但同样其不是决定因素，青少年的个体差异也需要考虑</t>
  </si>
  <si>
    <t>一般_x000D_
_x000D_
观点与主题紧密相关，但有些片面，社交媒体同样存在正能量的文化和思想传播</t>
  </si>
  <si>
    <t>否_x000D_
_x000D_
观点有些片面</t>
  </si>
  <si>
    <t>社交媒体对青少年心理健康没有负面影响</t>
  </si>
  <si>
    <t>否_x000D_
_x000D_
观点很有说服力，与我观点一致，故不改</t>
  </si>
  <si>
    <t>社交媒体对青少年心理健康有正面影响
青少年视频博主受到肯定和鼓励，更自信</t>
  </si>
  <si>
    <t>不能支持_x000D_
_x000D_
证据的群体不能代表青少年群体</t>
  </si>
  <si>
    <t>一般_x000D_
_x000D_
观点与主题密切相关，但是积极影响也只存在于部分青少年</t>
  </si>
  <si>
    <t>反驳了材料1和材料3，在材料4的基础上更进一步</t>
  </si>
  <si>
    <t>否_x000D_
_x000D_
观点片面</t>
  </si>
  <si>
    <t>博主不能代表所有青少年
博主优秀，有青少年受到网络欺凌</t>
  </si>
  <si>
    <t>否_x000D_
_x000D_
不能提供实际证据</t>
  </si>
  <si>
    <t>社交媒体使用时间长不是青少年焦虑的原因
上述青少年人际关系差</t>
  </si>
  <si>
    <t>反驳了材料1，为材料4提供证据</t>
  </si>
  <si>
    <t>否_x000D_
_x000D_
论证不合理</t>
  </si>
  <si>
    <t>认为社交媒体没影响是不负责任的
社交媒体产生了集体成瘾</t>
  </si>
  <si>
    <t>不能支持_x000D_
_x000D_
证据本身就不完全合理</t>
  </si>
  <si>
    <t>基本无效_x000D_
_x000D_
与主题相关，但论证有问题，且情感用事</t>
  </si>
  <si>
    <t>否_x000D_
_x000D_
观点片面武断</t>
  </si>
  <si>
    <t>观点：社交媒体对青少年的心理健康有负面影响。
理由：有研究调查了1000多名青少年，发现那些每天使用社交媒体超过4小时的青少年的焦虑水平比其它青少年更高。而且近10年的数据也显示，随着社交媒体的普及，存在心理问题的青少年比例也逐年增高</t>
  </si>
  <si>
    <t>一般_x000D_
_x000D_
理由中提及的研究结果为相关，无法证明时使用社交媒体导致了焦虑还是焦虑导致了使用社交媒体，同样的，第二个数据中，可能社交媒体普及和青少年心理问题比例升高只是同时发生，没有因果关系。</t>
  </si>
  <si>
    <t>否_x000D_
_x000D_
理由中提及的研究结果为相关，无法证明时使用社交媒体导致了焦虑还是焦虑导致了使用社交媒体，同样的，第二个数据中，可能社交媒体普及和青少年心理问题比例升高只是同时发生，没有因果关系。</t>
  </si>
  <si>
    <t>不能支持_x000D_
_x000D_
理由以偏概全，认为只要一个人在现实中和家人和朋友关系很好就不会长时间使用社交媒体了。</t>
  </si>
  <si>
    <t>一般_x000D_
_x000D_
观点和主题相关，但是反驳材料1所以显得不是很紧密，观点合理。</t>
  </si>
  <si>
    <t>反驳了材料1，指出了材料1中的相关的实验结果不能证明因果关系。</t>
  </si>
  <si>
    <t>否_x000D_
_x000D_
本材料中观点和我的知识范围有重合，有考虑到这个问题。</t>
  </si>
  <si>
    <t>一般_x000D_
_x000D_
理由提出一定可能性，但没有涉及实验研究结果或数据，无法证明观点中的“必然”</t>
  </si>
  <si>
    <t>一般_x000D_
_x000D_
观点和主题紧密相关，但是观点太过绝对</t>
  </si>
  <si>
    <t>反驳了材料2，指出了材料2中没有提及的社交媒体上可能引起负面情绪的信息。
为材料1提供⽀持和解释.</t>
  </si>
  <si>
    <t>否_x000D_
_x000D_
因为理由支持不够充分，给出的理由仅仅只是猜测</t>
  </si>
  <si>
    <t>观点：对大多数青少年而言，使用社交媒体对心理健康不会产生负面影响
理由：比较文化随处都有，不只是社交媒体上才有。此外，大多数青少年对社交媒体的使用是适度的，那些每天使用超过4小时的人的心理健康可能本身存在一些问题</t>
  </si>
  <si>
    <t>反驳了材料3，指出了比较文化随处都有，不只是社交媒体上才有
为材料2提供⽀持和解释</t>
  </si>
  <si>
    <t>是_x000D_
_x000D_
8_x000D_
_x000D_
材料指出很多社交媒体上的负面信息现实中也有，减轻了我对社交媒体上负面信息的担忧。</t>
  </si>
  <si>
    <t>一般_x000D_
_x000D_
理由以偏概全，只采访了5名成功了的青少年博主，进而用他们推论全体青少年</t>
  </si>
  <si>
    <t>非常有效_x000D_
_x000D_
观点合理且和主题紧密相关</t>
  </si>
  <si>
    <t>否_x000D_
_x000D_
理由以偏概全，只采访了5名成功了的青少年博主，进而用他们推论全体青少年</t>
  </si>
  <si>
    <t>观点：接受采访的5名青少年的观点不能代表所有青少年，尤其是那些在社交媒体上遭遇负面经历（比如网络欺凌）的青少年。
理由：社交媒体确实为表达自我与艺术创作提供了自由的环境，但接受采访的5名青少年肯定其中比较出众的，他们愿意分享自己的积极体验，但这是一种假象。</t>
  </si>
  <si>
    <t>反驳了材料6，指出接受采访的5名青少年的观点不能代表所有青少年，尤其是那些在社交媒体上遭遇负面经历（比如网络欺凌）的青少年。</t>
  </si>
  <si>
    <t>否_x000D_
_x000D_
理由以偏概全，用那些在社交媒体上遭遇负面经历（比如网络欺凌）的青少年的经历说社交媒体的积极体验是假象。</t>
  </si>
  <si>
    <t>反驳了材料1，指出了材料1中每天使用社交媒体超过4小时的青少年更高的焦虑水平可能是现实中人际关系引起的。
为材料2提供⽀持和解释</t>
  </si>
  <si>
    <t>否_x000D_
_x000D_
该材料中的调查结果也只是相关关系，无法证明因果，无法说明焦虑是现实中人际关系质量较低引起的。</t>
  </si>
  <si>
    <t>不能支持_x000D_
_x000D_
理由没有说明社交媒体上所谓“电子鸦片”是否真的存在成瘾性，是否真的存在理论支持，而且后面似乎将标准降低到使用社交媒体就是成瘾</t>
  </si>
  <si>
    <t>基本无效_x000D_
_x000D_
观点和主题没有紧密联系，观点不合理，存在偏见，属于人身攻击</t>
  </si>
  <si>
    <t>否_x000D_
_x000D_
观点和主题没有紧密联系，观点不合理，存在偏见，属于人身攻击，理由没有说明社交媒体上所谓“电子鸦片”是否真的存在成瘾性，是否真的存在理论支持，而且后面似乎将标准降低到使用社交媒体就是成瘾</t>
  </si>
  <si>
    <t>每天使用更多的青少年焦虑水平更高</t>
  </si>
  <si>
    <t>焦虑和使用手机的因果可能是相反的</t>
  </si>
  <si>
    <t>是_x000D_
_x000D_
2_x000D_
_x000D_
因果相反可能带来很大的后果</t>
  </si>
  <si>
    <t>比较文化加速心理危机</t>
  </si>
  <si>
    <t>不能支持_x000D_
_x000D_
胡扯</t>
  </si>
  <si>
    <t>基本无效_x000D_
_x000D_
文化哪儿都有，不光网络</t>
  </si>
  <si>
    <t>否_x000D_
_x000D_
没改变</t>
  </si>
  <si>
    <t>比较文化哪儿都有，没有网络独属性</t>
  </si>
  <si>
    <t>媒体能为青少年提供积极支持</t>
  </si>
  <si>
    <t>一般_x000D_
_x000D_
也有负面的，以偏概全</t>
  </si>
  <si>
    <t>更多少年经历网络霸凌</t>
  </si>
  <si>
    <t>社交媒体只是背锅</t>
  </si>
  <si>
    <t>社交成瘾也是问题</t>
  </si>
  <si>
    <t>一般_x000D_
_x000D_
2</t>
  </si>
  <si>
    <t>一般_x000D_
_x000D_
有可能正是存在问题才想要在社交媒体上寻找能量，这十年也不只有社交媒体普及啊，教育还发达了呢，科技也发展了，物价也变高了，怎么能一定说是社交媒体的问题呢</t>
  </si>
  <si>
    <t>否_x000D_
_x000D_
不能说明因果逻辑关系</t>
  </si>
  <si>
    <t>一般_x000D_
_x000D_
亲近的人也不一定能及时了解并且理解心理问题，太多的人都觉得是因为矫情</t>
  </si>
  <si>
    <t>非常有效_x000D_
_x000D_
和主题联系紧密，我认为不存在什么偏见</t>
  </si>
  <si>
    <t>否_x000D_
_x000D_
在一定程度上和我本身的想法差不多，所以不产生影响</t>
  </si>
  <si>
    <t>一般_x000D_
_x000D_
我在社交媒体上也经常看到有遇到问题的人或者压抑的人表露自己，也有很多人去鼓励他们，也同时提供了温暖，有一点太以偏概全了</t>
  </si>
  <si>
    <t>一般_x000D_
_x000D_
观点太绝对了</t>
  </si>
  <si>
    <t>否_x000D_
_x000D_
社交媒体上有恶意，有温暖，同时现实生活中也是，有帮助你的人，也有霸凌，这是我在就知道的事实</t>
  </si>
  <si>
    <t>观点：使用社交媒体对心理健康不会产生负面影响
理由：比较文化随处都有，不只是社交媒体上才有。此外，大多数青少年对社交媒体的使用是适度的，那些每天使用超过4小时的人的心理健康可能本身存在一些问题</t>
  </si>
  <si>
    <t>否_x000D_
_x000D_
没啥大影响</t>
  </si>
  <si>
    <t>一般_x000D_
_x000D_
举例群体太片面</t>
  </si>
  <si>
    <t>一般_x000D_
_x000D_
相关，但是不一定准确</t>
  </si>
  <si>
    <t>观点：他们观点不能代表所有青少年，尤其是那些在社交媒体上遭遇负面经历（比如网络欺凌）的青少年。
理由：社交媒体确实为表达自我与艺术创作提供了自由的环境，但接受采访的5名青少年肯定其中比较出众的，他们愿意分享自己的积极体验，但这是一种假象</t>
  </si>
  <si>
    <t>否_x000D_
_x000D_
没啥感觉，和我想法出入不大</t>
  </si>
  <si>
    <t>否_x000D_
_x000D_
没啥区别</t>
  </si>
  <si>
    <t>不能支持_x000D_
_x000D_
不能理解这个鬼逻辑</t>
  </si>
  <si>
    <t>基本无效_x000D_
_x000D_
全是主观偏见</t>
  </si>
  <si>
    <t>否_x000D_
_x000D_
我觉得这段话完全就是反对者的主观偏见，听了都浪费时间和污染耳朵。。</t>
  </si>
  <si>
    <t>观点：社交媒体对青少年的心理健康有负面影响。
理由：1.有研究调查了1000多名青少年，发现那些每天使用社交媒体超过4小时的青少年的焦虑水平比其它青少年更高。
2.近10年的数据显示，随着社交媒体的普及，存在心理问题的青少年比例也逐年增高。</t>
  </si>
  <si>
    <t>一般_x000D_
_x000D_
理由1可以支持观点，理由2只能说明社交媒体普及与青少年心理问题增加的相关性，而不能论证这个因果性的观点。</t>
  </si>
  <si>
    <t>否_x000D_
_x000D_
材料基本可以支持我关于“社交媒体对青少年的心理健康有一定负面影响”的观点。</t>
  </si>
  <si>
    <t>观点：青少年可能是因为感觉到焦虑才长时间呆在社交媒体上，而不是因为使用社交媒体才导致心理健康问题发生。
理由：如果一个人在现实中和家人和朋友关系很好，ta的心理问题能及时排解，ta就不会花4个小时在社交媒体上。</t>
  </si>
  <si>
    <t>不能支持_x000D_
_x000D_
理由存在推理错误，因为在理由中并没有提到青少年排解心理问题与使用社交媒体的必然相关，在论证观点的过程中直接使用了观点。另外也没有证明社交媒体不会导致心理健康问题。</t>
  </si>
  <si>
    <t>一般_x000D_
_x000D_
观点与主题关注的范围比较相关，但并不能提供某一个立场的有效观点，避开了仅以社交媒体为变量而发生的现象，且存在一定偏见，太过绝对。</t>
  </si>
  <si>
    <t>反驳了材料1，认为社交媒体和心理健康问题的因果关系倒置。</t>
  </si>
  <si>
    <t>否_x000D_
_x000D_
证据不充足，论证有问题</t>
  </si>
  <si>
    <t>观点：长时间使用社交媒体必然会导致青少年焦虑
理由：社交媒体上普遍存在的“比较文化”和铺天盖地的“完美生活”的展示，会让青少年对自己的生活感到不满，降低幸福感和自尊心，导致社交退缩、自我怀疑，最终引发心理健康危机。</t>
  </si>
  <si>
    <t>一般_x000D_
_x000D_
理由中构建的是一个关于社会进程的理论，可以在一定范围内预测部分人的可能现象，但若支持这个“必然”的观点就显得有些单薄。</t>
  </si>
  <si>
    <t>一般_x000D_
_x000D_
观点与主题很相关，可以说明社交媒体对青少年的一些负面影响，但不合理处在于观点和理由不太对应。</t>
  </si>
  <si>
    <t>为材料1提供支持和解释，反驳了材料2，指出青少年的某些焦虑确实是因为社交媒体。</t>
  </si>
  <si>
    <t>否_x000D_
_x000D_
与我的观点相符，但并不会动摇太多。</t>
  </si>
  <si>
    <t>对大多数青少年而言，使用社交媒体对心理健康不会产生负面影响。
理由：1.比较文化随处都有，不只是社交媒体上才有。
2.大多数青少年对社交媒体的使用是适度的，那些每天使用超过4小时的人的心理健康可能本身存在一些问题。</t>
  </si>
  <si>
    <t>反驳了材料1、3，为材料2提供支持和解释。</t>
  </si>
  <si>
    <t>否_x000D_
_x000D_
证据不太充足，且与主题的问题有些偏离</t>
  </si>
  <si>
    <t>观点：社交媒体对青少年的心理健康存在积极影响
理由：1.青少年可以在这里找到支持和理解自己的人。
2.某社交媒体的5名青少年博主表示，自己表达的观点和创作的作品获得了很多网友的鼓励和认可，感到自己被理解也更自信了。</t>
  </si>
  <si>
    <t>充分支持_x000D_
_x000D_
可以充分有效支持</t>
  </si>
  <si>
    <t>社交媒体对青少年的心理健康有负面影响。
有研究调查了1000多名青少年，发现那些每天使用社交媒体超过4小时的青少年的焦虑水平比其它青少年更高。而且近10年的数据也显示，随着社交媒体的普及，存在心理问题的青少年比例也逐年增高。</t>
  </si>
  <si>
    <t>一般_x000D_
_x000D_
相关关系不是因果关系</t>
  </si>
  <si>
    <t>青少年可能是因为感觉到焦虑才长时间呆在社交媒体上，而不是因为使用社交媒体才导致了焦虑等的心理健康问题。
如果一个人在现实中和家人和朋友关系很好，他的心理问题能及时排解，又怎么会花4个小时在社交媒体上？</t>
  </si>
  <si>
    <t>反驳了材料1，指出了材料1中的问题</t>
  </si>
  <si>
    <t>长时间使用社交媒体必然会导致青少年焦虑
因为社交媒体上普遍存在“比较文化”，加上铺天盖地的“完美生活”的展示，会让青少年对自己的生活感到不满，降低幸福感和自尊心，导致社交退缩、自我怀疑，最终引发心理健康危机。</t>
  </si>
  <si>
    <t>对大多数青少年而言，使用社交媒体对心理健康不会产生负面影响。
比较文化随处都有，不只是社交媒体上才有。此外，大多数青少年对社交媒体的使用是适度的，那些每天使用超过4小时的人的心理健康可能本身存在一些问题</t>
  </si>
  <si>
    <t>反驳材料3，指出了材料3中的某⼀问题</t>
  </si>
  <si>
    <t>社交媒体对青少年的心理健康存在积极影响
青少年可以在这里找到支持和理解自己的人。有记者采访了某社交媒体的5名青少年博主，他们表示，自己表达的观点和创作的作品获得了很多网友的鼓励和认可，感到自己被理解也更自信了。</t>
  </si>
  <si>
    <t xml:space="preserve">他们观点不能代表所有青少年，尤其是那些在社交媒体上遭遇负面经历（比如网络欺凌）的青少年。
社交媒体确实为表达自我与艺术创作提供了自由的环境，但接受采访的5名青少年肯定其中比较出众的，他们愿意分享自己的积极体验，但这是一种假象。
</t>
  </si>
  <si>
    <t>社交媒体并不是导致青少年心理问题的真正原因，而只是“背锅”的对象。
虽然调查发现，每天使用社交媒体超过4小时的青少年具有更高的焦虑水平，但如果把他们的人际关系也考虑在内就会发现，这些青少年对自己的家庭关系和朋友关系质量的评价都比较低。</t>
  </si>
  <si>
    <t>为材料2提供⽀持和解释</t>
  </si>
  <si>
    <t>社交媒体对青少年的心理健康没有不良影响是不负责任的
社交媒体上的很多内容像“电子鸦片”一样，具有极强的吸引力和成瘾性。如果成瘾都不算心理问题，那什么才算？而且现在很多人都在使用社交媒体，所以这已经是一种集体成瘾了。</t>
  </si>
  <si>
    <t>社交媒体对青少年的心理健康有负面影响；
有研究调查了1000多名青少年，发现那些每天使用社交媒体超过4小时的青少年的焦虑水平比其它青少年更高。而且近10年的数据也显示，随着社交媒体的普及，存在心理问题的青少年比例也逐年增高。</t>
  </si>
  <si>
    <t>不能支持_x000D_
_x000D_
有研究调查了1000多名青少年，发现那些每天使用社交媒体超过4小时的青少年的焦虑水平比其它青少年更高。因果不知
。而且近10年的数据也显示，随着社交媒体的普及，存在心理问题的青少年比例也逐年增高。社交媒体普及，社会其他方面也在变化，无法排除其他因素的影响</t>
  </si>
  <si>
    <t>青少年可能是因为感觉到焦虑才长时间呆在社交媒体上，而不是因为使用社交媒体才导致了焦虑等的心理健康问题；
。如果一个人在现实中和家人和朋友关系很好，他的心理问题能及时排解，又怎么会花4个小时在社交媒体上？</t>
  </si>
  <si>
    <t>不能支持_x000D_
_x000D_
“如果一个人在现实中和家人和朋友关系很好，他的心理问题能及时排解，又怎么会花4个小时在社交媒体上？”为什么不能？？！</t>
  </si>
  <si>
    <t>非常有效_x000D_
_x000D_
不错</t>
  </si>
  <si>
    <t>否_x000D_
_x000D_
反问不太好</t>
  </si>
  <si>
    <t>长时间使用社交媒体必然会导致青少年焦虑；
因为社交媒体上普遍存在“比较文化”，加上铺天盖地的“完美生活”的展示，会让青少年对自己的生活感到不满，降低幸福感和自尊心，导致社交退缩、自我怀疑，最终引发心理健康危机。</t>
  </si>
  <si>
    <t>不能支持_x000D_
_x000D_
以偏概全，只说坏不说好</t>
  </si>
  <si>
    <t>基本无效_x000D_
_x000D_
必然太绝对太肯定</t>
  </si>
  <si>
    <t>对大多数青少年而言，使用社交媒体对心理健康不会产生负面影响。；
比较文化随处都有，不只是社交媒体上才有。此外，大多数青少年对社交媒体的使用是适度的，那些每天使用超过4小时的人的心理健康可能本身存在一些问题</t>
  </si>
  <si>
    <t>否_x000D_
_x000D_
不能说服我</t>
  </si>
  <si>
    <t>社交媒体对青少年的心理健康存在积极影响，
，因为青少年可以在这里找到支持和理解自己的人。有记者采访了某社交媒体的5名青少年博主，他们表示，自己表达的观点和创作的作品获得了很多网友的鼓励和认可，感到自己被理解也更自信了。</t>
  </si>
  <si>
    <t>一般_x000D_
_x000D_
不合理</t>
  </si>
  <si>
    <t>他们观点不能代表所有青少年 ；
社交媒体确实为表达自我与艺术创作提供了自由的环境，但接受采访的5名青少年肯定其中比较出众的，他们愿意分享自己的积极体验，但这是一种假象。他们观点不能代表所有青少年，尤其是那些在社交媒体上遭遇负面经历（比如网络欺凌）的青少年。</t>
  </si>
  <si>
    <t>社交媒体并不是导致青少年心理问题的真正原因，而只是“背锅”的对象；
虽然调查发现，每天使用社交媒体超过4小时的青少年具有更高的焦虑水平，但如果把他们的人际关系也考虑在内就会发现，这些青少年对自己的家庭关系和朋友关系质量的评价都比较低。</t>
  </si>
  <si>
    <t>不知道</t>
  </si>
  <si>
    <t>认为社交媒体对青少年的心理健康没有不良影响是不负责任的；
社交媒体上的很多内容像“电子鸦片”一样，具有极强的吸引力和成瘾性。如果成瘾都不算心理问题，那什么才算？而且现在很多人都在使用社交媒体，所以这已经是一种集体成瘾了。因</t>
  </si>
  <si>
    <t>不能支持_x000D_
_x000D_
而且现在很多人都在使用社交媒体，所以这已经是一种集体成瘾了。使用即成瘾？错</t>
  </si>
  <si>
    <t>一般_x000D_
_x000D_
观点是对的，确实有影响</t>
  </si>
  <si>
    <t>否_x000D_
_x000D_
统计数据表明会有负面影响</t>
  </si>
  <si>
    <t>一般_x000D_
_x000D_
理由没有充分有效支持观点，没有考虑在社交媒体上娱乐的情况</t>
  </si>
  <si>
    <t>非常有效_x000D_
_x000D_
观点是有效的合理的</t>
  </si>
  <si>
    <t>反驳材料1，认为因果关系有误</t>
  </si>
  <si>
    <t>基本无效_x000D_
_x000D_
观点不合理，过于绝对</t>
  </si>
  <si>
    <t>否_x000D_
_x000D_
材料的理由充分有说服力</t>
  </si>
  <si>
    <t xml:space="preserve">反驳了材料3，指出了过度使用社交媒体可能本就存在心理健康问题 </t>
  </si>
  <si>
    <t>否_x000D_
_x000D_
社交媒体上的比较更加多样与突出，使用时间过长可能会产生心理健康问题</t>
  </si>
  <si>
    <t>非常有效_x000D_
_x000D_
观点和主题紧密相关。观点合理</t>
  </si>
  <si>
    <t>否_x000D_
_x000D_
个别的例子并不能说明所有青少年都可以从社交媒体上获得积极影响</t>
  </si>
  <si>
    <t>反驳了材料5，指出了受采访青少年本身比较突出</t>
  </si>
  <si>
    <t>否_x000D_
_x000D_
材料观点和理由都很有力</t>
  </si>
  <si>
    <t>否_x000D_
_x000D_
可能过长的社交媒体使用时间影响了青少年的人际关系</t>
  </si>
  <si>
    <t>不能支持_x000D_
_x000D_
存在逻辑漏洞或推理错误，偷换概念，将很多人都在使用社交媒体扩大为很多人都成瘾</t>
  </si>
  <si>
    <t>一般_x000D_
_x000D_
观点和主题相连</t>
  </si>
  <si>
    <t>反驳了材料7，指出了成瘾这一现象</t>
  </si>
  <si>
    <t>否_x000D_
_x000D_
社交媒体对青少年的心理健康产生了负面影响</t>
  </si>
  <si>
    <t>一般_x000D_
_x000D_
举出4小时例子过于极端</t>
  </si>
  <si>
    <t>否_x000D_
_x000D_
我还是那句话，支持但是没有严重到打10分</t>
  </si>
  <si>
    <t>不能支持_x000D_
_x000D_
过于主观</t>
  </si>
  <si>
    <t>基本无效_x000D_
_x000D_
没有数据支撑</t>
  </si>
  <si>
    <t>反驳材料1中的4小时极端观点</t>
  </si>
  <si>
    <t>否_x000D_
_x000D_
我认为4小时过于极端但是我不认同如此主观性的看法</t>
  </si>
  <si>
    <t>一般_x000D_
_x000D_
没有数据之谈例子都是狗屁</t>
  </si>
  <si>
    <t>非常有效_x000D_
_x000D_
观点正确</t>
  </si>
  <si>
    <t>否_x000D_
_x000D_
没感觉到严重性</t>
  </si>
  <si>
    <t>观点：对大多数青少年，使用社交媒体对心理健康不会产生负面影响。
理由：比较文化随处都有，不只是社交媒体上才有。此外，大多数青少年对社交媒体的使用是适度的，那些每天使用超过4小时的人的心理健康可能本身存在一些问题。</t>
  </si>
  <si>
    <t>反驳材料3中的比较文化</t>
  </si>
  <si>
    <t>否_x000D_
_x000D_
我没想法</t>
  </si>
  <si>
    <t>不能支持_x000D_
_x000D_
只是青少年博主，不具有随机性</t>
  </si>
  <si>
    <t>非常有效_x000D_
_x000D_
观点主题紧密相连</t>
  </si>
  <si>
    <t>观点：接受采访的5名青少年不能代表所有青少年
理由：社交媒体确实为表达自我与艺术创作提供了自由的环境，但接受采访的5名青少年肯定其中比较出众的，他们愿意分享自己的积极体验，但这是一种假象。他们观点不能代表所有青少年，尤其是那些在社交媒体上遭遇负面经历（比如网络欺凌）的青少年。</t>
  </si>
  <si>
    <t>观点：社交媒体并不是导致青少年心理问题的真正原因
理由：虽然调查发现，每天使用社交媒体超过4小时的青少年具有更高的焦虑水平，但如果把他们的人际关系也考虑在内就会发现，这些青少年对自己的家庭关系和朋友关系质量的评价都比较低。</t>
  </si>
  <si>
    <t>不能支持_x000D_
_x000D_
太主观了</t>
  </si>
  <si>
    <t>一般_x000D_
_x000D_
有一定联系但是跑题</t>
  </si>
  <si>
    <t>观点：社交媒体对于青少年的心理健康有着负面影响
理由：青少年心理问题比例增大，长时间使用社交媒体的青少年焦虑水平更高</t>
  </si>
  <si>
    <t>一般_x000D_
_x000D_
第一个论据很好。但是第二个论据，青少年存在心理问题的比例升高，不一定是由社交媒体的普及造成的，存在推理错误。</t>
  </si>
  <si>
    <t>否_x000D_
_x000D_
没什么触动</t>
  </si>
  <si>
    <t>观点：社交媒体不会对青少年的心理健康产生负面影响
理由：二者之间的因果关系不能够确定</t>
  </si>
  <si>
    <t>不能支持_x000D_
_x000D_
属于有问题的推理，并且对于他人状态随意揣测，使用自己的生活经验来看其他人，没有任何说服力。</t>
  </si>
  <si>
    <t>基本无效_x000D_
_x000D_
个人的揣测、情感的宣泄，没有任何有效性。</t>
  </si>
  <si>
    <t>否_x000D_
_x000D_
没有任何触动。</t>
  </si>
  <si>
    <t xml:space="preserve">观点：会产生负面影响。
理由：社交媒体的“比较文化”会让青少年倍感焦虑
</t>
  </si>
  <si>
    <t>一般_x000D_
_x000D_
社交媒体虽然存在比较文化，但这也是因人而异，以偏概全。</t>
  </si>
  <si>
    <t>一般_x000D_
_x000D_
论据不足够理性，没有数据的支持，属于逻辑上的简单推理，有效性不足。</t>
  </si>
  <si>
    <t>反驳材料2，试图解释了材料一中，青少年产生心理问题的一部分原因。</t>
  </si>
  <si>
    <t>否_x000D_
_x000D_
没有触动</t>
  </si>
  <si>
    <t>观点：没有负面影响
理由：比较文化随处可见，长时间使用社交媒体的人可能本身存在问题</t>
  </si>
  <si>
    <t>反驳了材料3，部分支持了材料2</t>
  </si>
  <si>
    <t>否_x000D_
_x000D_
没有任何触动</t>
  </si>
  <si>
    <t>观点：没有产生负面影响
理由：对于博主产生了积极影响。</t>
  </si>
  <si>
    <t>不能支持_x000D_
_x000D_
很明显的以偏概全，博主并不能代表大多数的物联网网民。</t>
  </si>
  <si>
    <t>基本无效_x000D_
_x000D_
存在积极影响并不影响它同样可以存在负面影响，主要针对不同的人群。</t>
  </si>
  <si>
    <t>提出了新的观点：可能存在积极影响</t>
  </si>
  <si>
    <t>观点：有负面影响
理由：前面说的五个博主不能代表全部</t>
  </si>
  <si>
    <t>强力反驳了材料5，非常有道理的论述</t>
  </si>
  <si>
    <t>否_x000D_
_x000D_
没影响。</t>
  </si>
  <si>
    <t>观点：没有负面影响
理由：长时间使用互联网的人在亲密关系的质量上也比较低下，不能认为互联网是心理问题的原因</t>
  </si>
  <si>
    <t>观点：有负面影响
理由：造成大范围成瘾</t>
  </si>
  <si>
    <t xml:space="preserve">不能支持_x000D_
_x000D_
使用社交媒体并不能够说明这就是“成瘾”，极端化论述
</t>
  </si>
  <si>
    <t>基本无效_x000D_
_x000D_
情感的宣泄</t>
  </si>
  <si>
    <t>提出一种新的视角：成瘾</t>
  </si>
  <si>
    <t>社交媒体对青少年的心理健康有负面影响。</t>
  </si>
  <si>
    <t>充分支持_x000D_
_x000D_
数据确实表明社交媒体的使用时间和青少年心理健康存在一定相关关系。</t>
  </si>
  <si>
    <t>否_x000D_
_x000D_
该材料不够有效。</t>
  </si>
  <si>
    <t>社交媒体没有对青少年心理健康产生负面影响，因为越焦虑的青少年越可能使用社交媒体。</t>
  </si>
  <si>
    <t>一般
说明社交媒体的使用频率会受到青少年心理健康影响，但没有正面回答，不够有效。</t>
  </si>
  <si>
    <t>一般_x000D_
_x000D_
观点不够合理，存在偏见，即认为在社交媒体上花费时间长的青少年现实关系处理得不够好，有歧视的嫌疑。</t>
  </si>
  <si>
    <t>反驳了材料1，指出材料1可能颠倒的因果关系。</t>
  </si>
  <si>
    <t>否_x000D_
_x000D_
该材料不够有力。</t>
  </si>
  <si>
    <t>长时间使用社交媒体必然会导致青少年焦虑，因为社交媒体上普遍存在“比较文化”，会引发心理健康危机。</t>
  </si>
  <si>
    <t>一般_x000D_
_x000D_
社交媒体存在比较文化不能说明青少年一定会受其影响，对生活感到不满也不一定会导致自尊心下降，存在逻辑漏洞。</t>
  </si>
  <si>
    <t>非常有效_x000D_
_x000D_
比较文化和刻意展露的完美生活确实是社交媒体存在的隐患。</t>
  </si>
  <si>
    <t>在已有材料上提出新观点，认为社交媒体的文化氛围会导致青少年的心理健康危机。</t>
  </si>
  <si>
    <t>否_x000D_
_x000D_
材料观点存在逻辑漏洞。</t>
  </si>
  <si>
    <t>对大多数青少年而言，使用社交媒体对心理健康不会产生负面影响。</t>
  </si>
  <si>
    <t>反驳材料3，指出对大多数青少年而言，使用社交媒体对心理健康不会产生负面影响。</t>
  </si>
  <si>
    <t>否_x000D_
_x000D_
改材料在论述上存在逻辑漏洞。</t>
  </si>
  <si>
    <t>社交媒体对青少年的心理健康存在积极影响，因为青少年可以在这里找到支持和理解自己的人。</t>
  </si>
  <si>
    <t>不能支持_x000D_
_x000D_
5名青少年博主的例子以偏概全，他们已经是社交媒体的成功者，不能说明更广大青少年的影响。</t>
  </si>
  <si>
    <t>一般_x000D_
_x000D_
社会支持不能直接说明社交媒体对青少年的心理健康有积极的影响。</t>
  </si>
  <si>
    <t>在已有材料基础上提出了一个新观点，认为社交媒体不仅不会对青少年的心理健康产生负面影响，反而存在积极效应。</t>
  </si>
  <si>
    <t>否_x000D_
_x000D_
博主的例子不够有代表性，说服力差。</t>
  </si>
  <si>
    <t>社交媒体对青少年心理健康产生的负面影响，因为有青少年在网络上遭遇了网络暴力。</t>
  </si>
  <si>
    <t>反驳了材料5，指出积极体验不能代表所有青少年的遭遇。</t>
  </si>
  <si>
    <t>否_x000D_
_x000D_
该材料仍存在一定的逻辑问题。</t>
  </si>
  <si>
    <t>社交媒体没有对青少年心理健康产生负面影响，真正的影响因素是家庭关系和朋友关系质量。</t>
  </si>
  <si>
    <t>反驳了材料1，并提出新观点：家庭与朋友关系是影响青少年心理健康的真正因素。</t>
  </si>
  <si>
    <t>否_x000D_
_x000D_
改材料存在漏洞。</t>
  </si>
  <si>
    <t>社交媒体具有极强的吸引力和成瘾性，造成了集体成瘾，对青少年的心理健康产生了负面影响。</t>
  </si>
  <si>
    <t>一般_x000D_
_x000D_
以偏概全，有电子鸦片不代表没有高质量的内容，也不代表所有青少年都会成瘾。很多人使用社交媒体不能直接推导出集体成瘾，存在逻辑漏洞。用道德因素掩盖逻辑力不强。</t>
  </si>
  <si>
    <t>一般_x000D_
_x000D_
网络有电子鸦片，现实生活中令人成瘾的因素仍旧很多；成瘾代替所有心理问题也相当不充分，存在偏见，认为使用社交媒体就等同于上瘾。</t>
  </si>
  <si>
    <t>在已有材料的基础上提出了新观点，认为社交媒体的内容具有高成瘾性，会对青少年心理健康产生负面影响。</t>
  </si>
  <si>
    <t>否_x000D_
_x000D_
该材料论述上存在漏洞，道德贬低不能代表逻辑合理。</t>
  </si>
  <si>
    <t>观点，社交媒体对青少年心理健康有负面影响
理由，研究表明每天使用社交媒体超过4小时的青少年的焦虑水平比其它青少年更高。近10年的数据也显示，随着社交媒体的普及，存在心理问题的青少年比例也逐年增高</t>
  </si>
  <si>
    <t>一般_x000D_
_x000D_
支持有效但不充分，即使是社交媒体也有不同的种类，对人的影响也有区别。不同地区，青少年不同的年龄段的影响也可能有不同，家庭和学校的影响既没有指出，也没有说明已经去除。</t>
  </si>
  <si>
    <t>观点，青少年的焦虑不一定不来自社交媒体
理由，如果青少年人际关系好，心理问题解决及时，不会花大时间在社交媒体上</t>
  </si>
  <si>
    <t>不能支持_x000D_
_x000D_
完全可以刷4小时手机，且是个正常人。每个人有每个人的生活方式</t>
  </si>
  <si>
    <t>一般_x000D_
_x000D_
观点还算有效，理由完全一坨</t>
  </si>
  <si>
    <t>反对了材料一，但是理由不合理</t>
  </si>
  <si>
    <t>否_x000D_
_x000D_
哈哈，看不起社交正常的宅男是吧</t>
  </si>
  <si>
    <t>观点，长时间使用社交媒体必然会导致青少年焦虑
理由，青少年因为攀比导致心理健康危机</t>
  </si>
  <si>
    <t>一般_x000D_
_x000D_
比较合理的例子，但是首先不够合理，青少年也不一定会去攀比，如何自我怀疑，其次不够完善，还有其他导致心理健康危机的理由和因素。</t>
  </si>
  <si>
    <t>基本无效_x000D_
_x000D_
必然导致焦虑。。。。你要不要看看你在说什么，这是人能说出来的观点？</t>
  </si>
  <si>
    <t>支持材料一反对材料二</t>
  </si>
  <si>
    <t>观点，对大多数青少年而言，使用社交媒体对心理健康不会产生负面影响。
理由，比较文化随处都有，不只是社交媒体上才有。此外，大多数青少年对社交媒体的使用是适度的，那些每天使用超过4小时的人的心理健康可能本身存在一些问题。</t>
  </si>
  <si>
    <t>看起来在反驳材料一，实际上在打自己的脸蛋</t>
  </si>
  <si>
    <t>观点，社交媒体对青少年的心理健康存在积极影响
理由，青少年可以在这里找到支持和理解自己的人，5名青少年博主的良好经历</t>
  </si>
  <si>
    <t>一般_x000D_
_x000D_
支持程度很一遍，确实可以找到支持和理解自己的人，但也有其他的带来积极影响的方法。举例很垃圾，样本量少，青少年博主特异性过强，完全代表不了大众。</t>
  </si>
  <si>
    <t>基本无效_x000D_
_x000D_
从某种程度上来讲，和主题完全无关，让你讨论有没有负面影响，你蹦出来一个有积极影响什么意思。</t>
  </si>
  <si>
    <t>没啥关系，都不在说同一件事</t>
  </si>
  <si>
    <t>否_x000D_
_x000D_
幽默</t>
  </si>
  <si>
    <t>观点，5名青少年的经历无法代表其他人
理由，5名博主都是比较出众的，无法代表所有青少年，尤其是那些在社交媒体上遭遇负面经历（比如网络欺凌）的青少年。</t>
  </si>
  <si>
    <t>反驳上一材料，指出其问题，但是和主题关系不大</t>
  </si>
  <si>
    <t>观点，社交媒体并不是导致青少年心理问题的真正原因，而是社交关系
理由，每天使用社交媒体超过4小时的青少年具有更高的焦虑水平，但如果把他们的人际关系也考虑在内就会发现，这些青少年对自己的家庭关系和朋友关系质量的评价都比较低</t>
  </si>
  <si>
    <t>支持材料三，反对材料一</t>
  </si>
  <si>
    <t>否_x000D_
_x000D_
我无话可说了</t>
  </si>
  <si>
    <t>观点，认为社交媒体对青少年的心理健康没有不良影响是不负责任的！
理由，社交媒体内容吸引力强成瘾性高，使用社交媒体成瘾是一种心理问题</t>
  </si>
  <si>
    <t>一般_x000D_
_x000D_
社交媒体确实容易成瘾，但是需要和真正的网瘾区别开来哦。而且多人使用不代表集体成瘾。理由比较合理，但是存在明显逻辑漏洞</t>
  </si>
  <si>
    <t>非常有效_x000D_
_x000D_
还真是，观点挺正常，就是理由太唐了</t>
  </si>
  <si>
    <t>反对材料247</t>
  </si>
  <si>
    <t>否_x000D_
_x000D_
无语凝噎</t>
  </si>
  <si>
    <t>一般_x000D_
_x000D_
社交媒体普及和心理问题的比例升高，相关能得出因果关系？</t>
  </si>
  <si>
    <t>否_x000D_
_x000D_
没有价值的材料一</t>
  </si>
  <si>
    <t>一般_x000D_
_x000D_
证明苍白无力，只是提供了一个视角，但是指出了材料1逻辑漏洞</t>
  </si>
  <si>
    <t>基本无效_x000D_
_x000D_
材料2与材料1针锋相对，但是与主题，关系不大</t>
  </si>
  <si>
    <t>反驳了材料一的相关推论因果的问题</t>
  </si>
  <si>
    <t>否_x000D_
_x000D_
材料一和材料二抵消了</t>
  </si>
  <si>
    <t>一般_x000D_
_x000D_
提供了一个因果理论，但是理论并没有得到数据支持，完全有被证伪的可能性</t>
  </si>
  <si>
    <t>一般_x000D_
_x000D_
关系是密切的，理论是可以证伪的</t>
  </si>
  <si>
    <t>在已有材料上提出了一个新理论</t>
  </si>
  <si>
    <t>否_x000D_
_x000D_
这和我的一个观点不谋而合，即“比较文化”</t>
  </si>
  <si>
    <t>观点：使用社交媒体对心理健康不会产生负面影响
理由：比较文化随处都有，不只是社交媒体上才有。此外，大多数青少年对社交媒体的使用是适度的</t>
  </si>
  <si>
    <t>反驳了材料3，从比较文化的普遍性出发，和材料2有一定的联系</t>
  </si>
  <si>
    <t>否_x000D_
_x000D_
还是对材料3理论的证伪，没有进一步的论证，都在自己兜圈子</t>
  </si>
  <si>
    <t>观点：社交媒体对青少年的心理健康存在积极影响
理由：青少年可以在这里找到支持和理解自己的人。有记者采访了某社交媒体的5名青少年博主，他们表示，自己表达的观点和创作的作品获得了很多网友的鼓励和认可，感到自己被理解也更自信了</t>
  </si>
  <si>
    <t>一般_x000D_
_x000D_
理由只是针对部分人，能代表大部分人吗？存在疑问，只是个案罢了</t>
  </si>
  <si>
    <t>一般_x000D_
_x000D_
尚且合理</t>
  </si>
  <si>
    <t>反驳了前面的观点，认为有积极影响</t>
  </si>
  <si>
    <t>否_x000D_
_x000D_
拿统计数字才是有效论证，个案研究不能代表一切</t>
  </si>
  <si>
    <t>观点：积极影响的青少年的观点不能代表所有青少年
理由：接受采访的5名青少年肯定其中比较出众的，他们愿意分享自己的积极体验，但这是一种假象，还有在社交媒体上遭遇负面经历（比如网络欺凌）的青少年</t>
  </si>
  <si>
    <t>反驳了材料5，指出了个案研究的局限性</t>
  </si>
  <si>
    <t>否_x000D_
_x000D_
这一点反驳了反驳我的观点的材料，但是两个方面都有价值</t>
  </si>
  <si>
    <t>观点：社交媒体并不是导致青少年心理问题的真正原因，而只是“背锅”的对象
理由：虽然调查发现，每天使用社交媒体超过4小时的青少年具有更高的焦虑水平，但如果把他们的人际关系也考虑在内就会发现，这些青少年对自己的家庭关系和朋友关系质量的评价都比较低</t>
  </si>
  <si>
    <t>在已有材料的基础上，提出了一个新的因素--人际关系，补充完善了机制</t>
  </si>
  <si>
    <t>是_x000D_
_x000D_
5_x000D_
_x000D_
有点认可了加入一个因素的影响</t>
  </si>
  <si>
    <t>观点：社交媒体对青少年的心理健康产生了负面影响
理由：社交媒体上的很多内容像“电子鸦片”一样，具有极强的吸引力和成瘾性</t>
  </si>
  <si>
    <t>一般_x000D_
_x000D_
情感色彩很重，而且成瘾和心理健康的关系，或许并没有你说的那么严重</t>
  </si>
  <si>
    <t>基本无效_x000D_
_x000D_
情感色彩太重，可以去演讲</t>
  </si>
  <si>
    <t>垃圾</t>
  </si>
  <si>
    <t>否_x000D_
_x000D_
毫无价值</t>
  </si>
  <si>
    <t>一般_x000D_
_x000D_
两项研究都没有体现出对其它变量的控制。社交媒体的普及与青少年心理问题的比例只是相关关系，不能硬得出因果结论</t>
  </si>
  <si>
    <t>否_x000D_
_x000D_
理由不严谨，不足以说服我，但的确让我有点动摇</t>
  </si>
  <si>
    <t>一般_x000D_
_x000D_
能支持它观点的表述，但推理太主观</t>
  </si>
  <si>
    <t>非常有效_x000D_
_x000D_
和主题密切相关，从丰富观点视角的角度看非常有效</t>
  </si>
  <si>
    <t>否_x000D_
_x000D_
我觉得它很好地反驳了材料1，但对我的立场没影响</t>
  </si>
  <si>
    <t>一般_x000D_
_x000D_
有点以偏概全，太过主观，只是他的想象，不是真正的推理</t>
  </si>
  <si>
    <t>一般_x000D_
_x000D_
和主题密切相关，但不合理、存在偏见，这个必然关系太绝对了</t>
  </si>
  <si>
    <t>是对材料1激进的补充</t>
  </si>
  <si>
    <t>否_x000D_
_x000D_
我觉得他的推理无效</t>
  </si>
  <si>
    <t>反驳了材料3，支持了材料2</t>
  </si>
  <si>
    <t>是_x000D_
_x000D_
8_x000D_
_x000D_
说服了我，让我觉得社交媒体对青少年的负面影响几乎没有</t>
  </si>
  <si>
    <t>一般_x000D_
_x000D_
以偏概全，5名青少年博主并不能代表青少年的平均水平，但的确为存在积极影响提供了证据</t>
  </si>
  <si>
    <t>非常有效_x000D_
_x000D_
和主题密切相关，但也不能反对主题，因为有积极影响不代表没有负面影响</t>
  </si>
  <si>
    <t>新视角，关注了积极影响</t>
  </si>
  <si>
    <t>否_x000D_
_x000D_
我觉得它支持了我原本的观点</t>
  </si>
  <si>
    <t>观点：社交媒体确实为表达自我与艺术创作提供了自由的环境，但接受采访的5名青少年的观点不能代表所有青少年
理由：他们肯定其中比较出众的，他们愿意分享自己的积极体验，但这是一种假象。尤其不能代表是那些在社交媒体上遭遇负面经历（比如网络欺凌）的青少年。</t>
  </si>
  <si>
    <t>否_x000D_
_x000D_
它说出了我想说的话，没有影响我的立场</t>
  </si>
  <si>
    <t>补充并反驳了材料1，支持了材料2、4</t>
  </si>
  <si>
    <t>否_x000D_
_x000D_
我觉得它的推理没道理</t>
  </si>
  <si>
    <t>不能支持_x000D_
_x000D_
它的推理毫无道理，有吸引性人就会成瘾吗？都在使用就是集体成瘾吗？人们还每天都吃饭呢，难道我们都对饭集体成瘾了吗？</t>
  </si>
  <si>
    <t>基本无效_x000D_
_x000D_
和主题相关，但是“认为社交媒体对青少年的心理健康没有不良影响是不负责任的”没有对回答主题问题提供有效信息</t>
  </si>
  <si>
    <t>认为材料2、4是不负责任的</t>
  </si>
  <si>
    <t>否_x000D_
_x000D_
我觉得它的内容无效</t>
  </si>
  <si>
    <t>观点是社交媒体对青少年的心理健康有负面影响。理由是每天使用社交媒体超过4小时的青少年的焦虑水平比其它青少年更高。而且近10年的数据也显示，随着社交媒体的普及，存在心理问题的青少年比例也逐年增高。</t>
  </si>
  <si>
    <t>充分支持_x000D_
_x000D_
使用统计结果说明了社交媒体的普及与存在心理问题的青少年的正相关，有效支持了观点。</t>
  </si>
  <si>
    <t>否_x000D_
_x000D_
与我的观点一致。</t>
  </si>
  <si>
    <t>观点是青少年可能是因为感觉到焦虑才长时间呆在社交媒体上，而不是因为使用社交媒体才导致了焦虑等的心理健康问题。因为如果一个人在现实中和家人和朋友关系很好，他的心理问题能及时排解，又怎么会花4个小时在社交媒体上？</t>
  </si>
  <si>
    <t>一般_x000D_
_x000D_
存在逻辑漏洞，虽然他们确实可能存在人际关系问题，如果没有社交媒体的话他们将进行现实的社交等可以排解心理问题的活动，这种理由并不能为社交媒体开脱。</t>
  </si>
  <si>
    <t>非常有效_x000D_
_x000D_
青少年可能确实是感到焦虑才使用社交媒体。</t>
  </si>
  <si>
    <t>指出了材料1的问题，认为是青少年先焦虑才去沉迷的社交媒体</t>
  </si>
  <si>
    <t>否_x000D_
_x000D_
没有社交媒体，与人际关系不好的青少年可能会去弥补自己的人际关系，而不是沉溺在社交媒体上，所有该观点不能反驳我。</t>
  </si>
  <si>
    <t>观点是长时间使用社交媒体必然会导致青少年焦虑，理由是社交媒体上普遍存在“比较文化”，加上铺天盖地的“完美生活”的展示，会让青少年对自己的生活感到不满，降低幸福感和自尊心，导致社交退缩、自我怀疑，最终引发心理健康危机。</t>
  </si>
  <si>
    <t>一般_x000D_
_x000D_
以偏概全，社交媒体上不只有比较文化也有部分积极向上的鼓励内容。</t>
  </si>
  <si>
    <t>基本无效_x000D_
_x000D_
观点存在偏见，这个观点太绝对，使用了“必然”，事实证明不是所有青少年在长时间使用社交媒体后都焦虑。</t>
  </si>
  <si>
    <t>材料三支持材料一，为它提出了解释。</t>
  </si>
  <si>
    <t>否_x000D_
_x000D_
这个观点过于极端且论证不严谨。</t>
  </si>
  <si>
    <t>观点是对大多数青少年而言，使用社交媒体对心理健康不会产生负面影响。理由是比较文化随处都有，不只是社交媒体上才有。此外，大多数青少年对社交媒体的使用是适度的，那些每天使用超过4小时的人的心理健康可能本身存在一些问题。</t>
  </si>
  <si>
    <t>是_x000D_
_x000D_
2_x000D_
_x000D_
材料的观点不偏不倚，能够略微说服我对于社交媒体的偏见，但我仍然坚持认为社交媒体会对心理健康产生影响除非给与我更多例子与数据</t>
  </si>
  <si>
    <t>观点是社交媒体对青少年的心理健康存在积极影响理由是青少年可以在这里找到支持和理解自己的人。</t>
  </si>
  <si>
    <t>不能支持_x000D_
_x000D_
只有五名博主的采访不能说明任何问题，而且在面对记者采访时，表达的观点可能并非是实际体验，网络博主还极有可能会面对网络暴力。</t>
  </si>
  <si>
    <t>一般_x000D_
_x000D_
观点合理，媒体确实存在积极影响，只是消极影响远大于积极影响。</t>
  </si>
  <si>
    <t>反对材料3</t>
  </si>
  <si>
    <t>否_x000D_
_x000D_
理由不充分</t>
  </si>
  <si>
    <t>观点是5名青少年的积极体验是一种假象，他们观点不能代表所有青少年。理由是接受采访的5名青少年肯定其中比较出众的。</t>
  </si>
  <si>
    <t>否_x000D_
_x000D_
与我的观点相同。</t>
  </si>
  <si>
    <t>观点是社交媒体并不是导致青少年心理问题的真正原因，而只是“背锅”的对象。理由是这些青少年对自己的家庭关系和朋友关系质量的评价都比较低。</t>
  </si>
  <si>
    <t>反驳材料1支持材料2</t>
  </si>
  <si>
    <t>否_x000D_
_x000D_
论证不合理。</t>
  </si>
  <si>
    <t>观点是认为社交媒体对青少年的心理健康没有不良影响是不负责任的。理由是社交媒体上的很多内容像“电子鸦片”一样，具有极强的吸引力和成瘾性。</t>
  </si>
  <si>
    <t>充分支持_x000D_
_x000D_
集体成瘾是社交媒体不可逃避的责任</t>
  </si>
  <si>
    <t>非常有效_x000D_
_x000D_
没有偏见，确实大量青少年社交媒体成瘾，而说社交媒体没有影响就是不负责任的。</t>
  </si>
  <si>
    <t>在材料7的观点上提出了新的见解。</t>
  </si>
  <si>
    <t>否_x000D_
_x000D_
与我的立场符合。</t>
  </si>
  <si>
    <t>不能支持_x000D_
_x000D_
随着社交媒体的普及，存在心理问题的青少年比例也逐年增高，并不能做社交媒体对青少年的心理健康有负面影响的因果推论，随着时代发展，青少年学业压力加重，不能说明是社交媒体对青少年的心理健康有负面影响，这些研究只是相关研究，且存在大量难以控制的变量和未考虑的变量，不能做因果推论</t>
  </si>
  <si>
    <t>否_x000D_
_x000D_
理由难以支撑观点，缺乏说服力</t>
  </si>
  <si>
    <t>不能支持_x000D_
_x000D_
理由只是主观猜测，难以支持观点</t>
  </si>
  <si>
    <t>一般_x000D_
_x000D_
观点和主题紧密相关，但只是提出合理的猜测</t>
  </si>
  <si>
    <t>反驳了材料1，指出了材料1相关推论因果存在的问题，提出了相关结果可以得出的另一个可能</t>
  </si>
  <si>
    <t>否_x000D_
_x000D_
虽理由缺乏说服力，但观点与我立场一致</t>
  </si>
  <si>
    <t>不能支持_x000D_
_x000D_
存在这样的风气，并不意味着青少年一定会受其影响，做这样的推论只是一厢情愿的主观臆断</t>
  </si>
  <si>
    <t>一般_x000D_
_x000D_
观点和主题紧密相关，但过于绝对且缺乏有力证据，存在偏见</t>
  </si>
  <si>
    <t>支持了材料一，反驳了材料二</t>
  </si>
  <si>
    <t>否_x000D_
_x000D_
理由缺乏说服力，过于主观且缺乏逻辑，难以说服我</t>
  </si>
  <si>
    <t>反驳了材料1、3，支持了材料2</t>
  </si>
  <si>
    <t>否_x000D_
_x000D_
与我的立场相同</t>
  </si>
  <si>
    <t>一般_x000D_
_x000D_
理由举了真实的例子，有说服力，但是以偏概全，这5人是博主，可能是本身就比较优秀的人，他们的情况难以代表大多数人</t>
  </si>
  <si>
    <t>非常有效_x000D_
_x000D_
观点和主题紧密相关，陈述了一个真实情况，比较合理</t>
  </si>
  <si>
    <t>反驳了材料1、3
在材料2、4的基础上提出了新的观点，非但不认为社交媒体会有负面影响，还认为其有积极影响</t>
  </si>
  <si>
    <t>否_x000D_
_x000D_
观点相同，但理由不够有力</t>
  </si>
  <si>
    <t>反驳了材料2、4、5，支持了材料1、3</t>
  </si>
  <si>
    <t>否_x000D_
_x000D_
观点与论述均缺少说服力</t>
  </si>
  <si>
    <t>反驳了材料1、3、6
支持了材料2、4、5</t>
  </si>
  <si>
    <t>否_x000D_
_x000D_
观点与我相同</t>
  </si>
  <si>
    <t>不能支持_x000D_
_x000D_
没有数据支持，很难说“很多人”究竟是多少，且理由与观点“不负责任”没什么关系</t>
  </si>
  <si>
    <t>基本无效_x000D_
_x000D_
观点已偏离主题，只是在扣帽子，企图用“不负责”来指责对立观点的人，企图用道德压倒对方，但拿不出有力证据</t>
  </si>
  <si>
    <t>反驳了2、4、5、7
支持了1、3、6</t>
  </si>
  <si>
    <t>否_x000D_
_x000D_
理由观点均缺乏说服力</t>
  </si>
  <si>
    <t>观点：社交媒体对青少年的心理健康有负面影响。
理由：每天使用社交媒体超过4小时的青少年的焦虑水平比其它青少年更高；随着社交媒体的普及，存在心理问题的青少年比例也逐年增高</t>
  </si>
  <si>
    <t>一般_x000D_
_x000D_
社交媒体使用时长本来会受到其他因素，如父母教养和亲子相处时间或者本人性格等影响；年代变化中很多其他因素也在变化。总之不能凭借简单相关得出该结论</t>
  </si>
  <si>
    <t>否_x000D_
_x000D_
这个观点我没听进去，理由如题目2</t>
  </si>
  <si>
    <t>不能支持_x000D_
_x000D_
没有论证社会媒体使用时间和与亲朋关系的必要联系，如何说明此消彼长的互斥关系</t>
  </si>
  <si>
    <t>基本无效_x000D_
_x000D_
没有实际例证，完全个人臆断</t>
  </si>
  <si>
    <t>否_x000D_
_x000D_
焦虑到社交媒体使用时长的增长这个论证太薄弱了</t>
  </si>
  <si>
    <t>观点：长时间使用社交媒体必然会导致青少年焦虑
理由：，因为社交媒体上普遍存在“比较文化”，加上铺天盖地的“完美生活”的展示，会让青少年对自己的生活感到不满，降低幸福感和自尊心，导致社交退缩、自我怀疑，最终引发心理健康危机。</t>
  </si>
  <si>
    <t>一般_x000D_
_x000D_
仅从比较文化一个方面去解释，不够充分</t>
  </si>
  <si>
    <t>一般_x000D_
_x000D_
和主题比较相关，但是推理链路很长（链路节点之间的关系不完全顺承），且单一（就是比较带来的不满意会影响吗）；社会媒体上的其他文化就不会产生积极影响吗</t>
  </si>
  <si>
    <t>支持1</t>
  </si>
  <si>
    <t>否_x000D_
_x000D_
和我的观点比较像，但我觉得推理不够，没有实证太过绝对</t>
  </si>
  <si>
    <t>观点：对大多数青少年而言，使用社交媒体对心理健康不会产生负面影响。
理由：比较文化随处都有，不只是社交媒体上才有；大多数青少年对社交媒体的使用是适度的，那些每天使用超过4小时的人的心理健康可能本身存在一些问题</t>
  </si>
  <si>
    <t>反驳1、3，支持2</t>
  </si>
  <si>
    <t>否_x000D_
_x000D_
间接例证太弱，仅能作为补充</t>
  </si>
  <si>
    <t>观点：社交媒体对青少年的心理健康存在积极影响，
理由：青少年可以在这里找到支持和理解自己的人。</t>
  </si>
  <si>
    <t>不能支持_x000D_
_x000D_
采访群体太少太有特殊性；理由太单一</t>
  </si>
  <si>
    <t>基本无效_x000D_
_x000D_
存在积极影响和存在负面影响不冲突，只是要证明积极大于消极，要看青少年整体心理健康的表现</t>
  </si>
  <si>
    <t>否_x000D_
_x000D_
理由同题目3的回答</t>
  </si>
  <si>
    <t>观点：青少年在社交媒体上的积极体验是假象
理由：接受采访的5名青少年肯定其中比较出众的，他们愿意分享自己的积极体验，但这是一种假象，接受采访的5名青少年观点不能代表所有青少年</t>
  </si>
  <si>
    <t>反驳5+新观点</t>
  </si>
  <si>
    <t>否_x000D_
_x000D_
理由同23</t>
  </si>
  <si>
    <t>观点：社交媒体并不是导致青少年心理问题的真正原因，而只是“背锅”的对象。
理由：每天使用社交媒体超过4小时的青少年具有更高的焦虑水平，但如果把他们的人际关系也考虑在内就会发现，这些青少年对自己的家庭关系和朋友关系质量的评价都比较低。</t>
  </si>
  <si>
    <t>可能是新观点（这些青年性格特质导致了社交媒体使用时长，类似于2；这些青年因为关系不好所以心理健康低）</t>
  </si>
  <si>
    <t>否_x000D_
_x000D_
这些理由对我来说都很弱，不充分</t>
  </si>
  <si>
    <t>不能支持_x000D_
_x000D_
没有说明成瘾性为什么是心理问题，很多人使用为什么就是集体成瘾</t>
  </si>
  <si>
    <t>基本无效_x000D_
_x000D_
成瘾的概念提出和社交媒体内容判断都很武断</t>
  </si>
  <si>
    <t>否_x000D_
_x000D_
漏洞太多，无法提供有效证据</t>
  </si>
  <si>
    <t>那些每天使用社交媒体超过4小时的青少年的焦虑水平比其它青少年更高
近10年的数据也显示，随着社交媒体的普及，存在心理问题的青少年比例也逐年增高。这说明社交媒体对青少年的心理健康有负面影响</t>
  </si>
  <si>
    <t>不能支持_x000D_
_x000D_
青少年心理问题不一定是社交媒体导致的</t>
  </si>
  <si>
    <t>否_x000D_
_x000D_
社交媒体确实有负面影响</t>
  </si>
  <si>
    <t>青少年可能是因为感觉到焦虑才长时间呆在社交媒体上，而不是因为使用社交媒体才导致了焦虑等的心理健康问题
如果一个人在现实中和家人和朋友关系很好，他的心理问题能及时排解，又怎么会花4个小时在社交媒体上？</t>
  </si>
  <si>
    <t>一般_x000D_
_x000D_
有时候花时间在社交媒体上不一定是为了排解心理问题</t>
  </si>
  <si>
    <t>一般_x000D_
_x000D_
观点比较有说服力，但因果关系难以证明</t>
  </si>
  <si>
    <t>否_x000D_
_x000D_
该材料的观点比较有说服力，但是我的立场不变化</t>
  </si>
  <si>
    <t>长时间使用社交媒体必然会导致青少年焦虑
因为社交媒体上普遍存在“比较文化”，加上铺天盖地的“完美生活”的展示，会让青少年对自己的生活感到不满，降低幸福感和自尊心，导致社交退缩、自我怀疑，最终引发心理健康危机</t>
  </si>
  <si>
    <t>一般_x000D_
_x000D_
太绝对</t>
  </si>
  <si>
    <t>否_x000D_
_x000D_
虽然很绝对，但是有道理</t>
  </si>
  <si>
    <t xml:space="preserve">对大多数青少年而言，使用社交媒体对心理健康不会产生负面影响
比较文化随处都有，不只是社交媒体上才有。此外，大多数青少年对社交媒体的使用是适度的，那些每天使用超过4小时的人的心理健康可能本身存在一些问题
</t>
  </si>
  <si>
    <t>否_x000D_
_x000D_
对使用超过4小时的人先入为主了</t>
  </si>
  <si>
    <t>社交媒体对青少年的心理健康存在积极影响
因为青少年可以在这里找到支持和理解自己的人。有记者采访了某社交媒体的5名青少年博主，他们表示，自己表达的观点和创作的作品获得了很多网友的鼓励和认可，感到自己被理解也更自信了</t>
  </si>
  <si>
    <t>一般_x000D_
_x000D_
数据过小</t>
  </si>
  <si>
    <t>否_x000D_
_x000D_
这些博主在现实中说不定也是很优秀的人，不能适用于大多数</t>
  </si>
  <si>
    <t>他们观点不能代表所有青少年
在社交媒体上遭遇负面经历（比如网络欺凌）的青少年</t>
  </si>
  <si>
    <t>否_x000D_
_x000D_
该材料和我的想法差不多</t>
  </si>
  <si>
    <t>社交媒体并不是导致青少年心理问题的真正原因，而只是“背锅”的对象
虽然调查发现，每天使用社交媒体超过4小时的青少年具有更高的焦虑水平，但如果把他们的人际关系也考虑在内就会发现，这些青少年对自己的家庭关系和朋友关系质量的评价都比较低</t>
  </si>
  <si>
    <t>反驳了前面</t>
  </si>
  <si>
    <t>认为社交媒体对青少年的心理健康没有不良影响是不负责任的
社交媒体上的很多内容像“电子鸦片”一样，具有极强的吸引力和成瘾性。如果成瘾都不算心理问题，那什么才算？而且现在很多人都在使用社交媒体，所以这已经是一种集体成瘾了</t>
  </si>
  <si>
    <t>一般_x000D_
_x000D_
攻击性好强</t>
  </si>
  <si>
    <t>观点是社交媒体对青少年的心理健康有负面影响。
理由是有研究调查的结果，使用长时间社交媒体的青少年的焦虑水平会比其他青少年更高，以及有心理问题的青少年的比例也在增高。</t>
  </si>
  <si>
    <t>一般_x000D_
_x000D_
理由本身是调查结果应该可信，作为事实依据无可辩驳同时逻辑上与论点直接挂钩，但是逻辑上还是有以偏概全，一般4小时的社交媒体使用时间是否有些过于夸张，逻辑上的支持力度一般。</t>
  </si>
  <si>
    <t>否_x000D_
_x000D_
这些也仅仅是一些与我观点类似的事实。</t>
  </si>
  <si>
    <t>观点是材料1中的4小时社交媒体的青少年本身可能有焦虑水平过高的原因，所以之前的研究结果带来的结论并不可靠。
理由是4小时使用时长过于极端，可能存在相关与因果层面上的胡乱。</t>
  </si>
  <si>
    <t>充分支持_x000D_
_x000D_
理由支持了观点，4小时的极端情况确实难有说服力，并且理由也是一种假设并不绝对。</t>
  </si>
  <si>
    <t>一般_x000D_
_x000D_
观点紧跟着材料1，与主题关系其实一般，但观点本身作为一种质疑和反驳是合理的。但涉及有效性的话其实一般，因为这里反驳的仅仅是材料1的依据而非观点本身。</t>
  </si>
  <si>
    <t>反驳，指出了材料1中的论据问题。</t>
  </si>
  <si>
    <t>否_x000D_
_x000D_
这里的反驳也并没有抓住本质。</t>
  </si>
  <si>
    <t>观点是长时间使用社交媒体必定会导致青少年焦虑。
理由是青少年的比较思想会让自己日常生活与理想生活存在巨大差异，导致幸福感的降低等等。</t>
  </si>
  <si>
    <t>一般_x000D_
_x000D_
理由是有一定道理的，但还是存在没有事实论据，仅仅只是在理论层面上进行分析，同时过于绝对化。</t>
  </si>
  <si>
    <t>一般_x000D_
_x000D_
这个观点也是主题的一种表现，本身有些过于绝对，存在着忽略了青少年自身心理水平差异的情况，不一定会有焦虑的结果。</t>
  </si>
  <si>
    <t>某种程度上是材料1的补充，或者说是提出了一个更加绝对的观点。</t>
  </si>
  <si>
    <t>否_x000D_
_x000D_
这里论点虽然绝对但比较文化还是一定程度上</t>
  </si>
  <si>
    <t>观点是使用社交媒体不会对心理健康产生负面影响。
理由是比较文化日常生活中也有，同时青少年的使用时长是固定的。</t>
  </si>
  <si>
    <t>反驳了材料1，3，指出论据的不足。</t>
  </si>
  <si>
    <t>否_x000D_
_x000D_
论据无关痛痒。</t>
  </si>
  <si>
    <t>观点是社交媒体对青少年的心理健康存在积极影响。
理由是青少年可以在这里找到支持和理解自己的人，并且举出了5名博主的例子。</t>
  </si>
  <si>
    <t>不能支持_x000D_
_x000D_
这里明显存在以偏概全，5名博主的特例根本不存在论证的力量。</t>
  </si>
  <si>
    <t>一般_x000D_
_x000D_
观点也是主题的一种表达，和之前类似，本身也不存在什么合理与否。</t>
  </si>
  <si>
    <t>否_x000D_
_x000D_
论据没有逻辑，观点纯靠一张嘴。</t>
  </si>
  <si>
    <t>观点是材料5中的案例没有有效性。
理由是们5名博主的观点不能代表所有青少年。</t>
  </si>
  <si>
    <t>否_x000D_
_x000D_
就那么回事，无非是事实论据有效与否的论证。</t>
  </si>
  <si>
    <t>观点是社交媒体并不是导致青少年心理问题的真正原因，而只是“背锅”的对象。
理由是材料1中的4小时时长的使用青少年们对自己的家庭关系和朋友关系质量的评价都比较低。</t>
  </si>
  <si>
    <t>补充了材料1的观点，同时在材料1的基础上提出了新的观点。</t>
  </si>
  <si>
    <t>否_x000D_
_x000D_
背锅是背锅，但和我的思考逻辑没有相关之处。</t>
  </si>
  <si>
    <t>观点是社交媒体还是对青少年的心理健康有不良影响。
理由是大多数人都对社交媒体成瘾，成瘾本身应该也算心理问题。</t>
  </si>
  <si>
    <t>充分支持_x000D_
_x000D_
理由本身有一定合理性并且从成瘾这一普遍事实推导到心理问题很合理。</t>
  </si>
  <si>
    <t>非常有效_x000D_
_x000D_
观点本身是很有效的，因为这里都扩大了社交媒体的影响范围并且有理有据，指出了当下社交媒体造就的恐怖后果。</t>
  </si>
  <si>
    <t>反驳了大多数的支持社交媒体的观点。</t>
  </si>
  <si>
    <t>否_x000D_
_x000D_
有一定道理，但也没扣住核心。</t>
  </si>
  <si>
    <t>社交媒体对青少年的心理健康有负面影响
每天使用社交媒体超过4小时的青少年的焦虑水平更高；青少年的心理问题随着社交媒体普及变得更严重</t>
  </si>
  <si>
    <t>不能支持_x000D_
_x000D_
使用社交媒体时间更长可能并没有导致心理焦虑，相反，有可能本来就存在的心理焦虑使得青少年在社交媒体上寻求慰藉的时间更长，因果关系可能是相反的；
此外，近十年的数据并不能说明心理问题就是收到社交媒体发达而增多，两者的因果关系也存疑。</t>
  </si>
  <si>
    <t>社交媒体不是导致青少年焦虑的原因，反而可能是寻求帮助的对象。
青少年可能是因为感觉到焦虑才长时间呆在社交媒体上</t>
  </si>
  <si>
    <t>一般_x000D_
_x000D_
同意“心理问题能及时排解，又怎么会花4个小时在社交媒体上？”这句说法，但是不同意“如果一个人在现实中和家人和朋友关系很好，他的心理问题能及时排解”，可能焦虑感就是从身边的家人朋友身上来的。</t>
  </si>
  <si>
    <t>非常有效_x000D_
_x000D_
紧密相关，而且“因为感觉到焦虑才长时间呆在社交媒体上”是有道理的。</t>
  </si>
  <si>
    <t>反对了“社交媒体使用时间越长焦虑情况越严重”的观点，认为焦虑并不是社交的产物，而是相反</t>
  </si>
  <si>
    <t>否_x000D_
_x000D_
没有可以让我改变观点的证据</t>
  </si>
  <si>
    <t>长时间使用社交媒体必然会导致青少年焦虑
媒体上普遍存在“比较文化”“完美生活”会引发心理健康危机</t>
  </si>
  <si>
    <t>一般_x000D_
_x000D_
“比较文化”“完美生活”并不一定带来的是挫败感，青少年可能因此更向往高质量生活从而更加有动力，而且，并不是没有“比较文化”青少年就不会产生更多焦虑，来自身边人的期待和对自己的要求也都会。</t>
  </si>
  <si>
    <t>一般_x000D_
_x000D_
“必然”的说法太绝对，而且理由存在偏见</t>
  </si>
  <si>
    <t>支持“社交媒体对给青少年带来焦虑”，认为网络上的完美生活会让青少年在比较中降低幸福感和自尊心。</t>
  </si>
  <si>
    <t>否_x000D_
_x000D_
是会降低，但社交媒体上不止有完美生活，还有苦中作乐，及时行乐，积极面对生活的视频。</t>
  </si>
  <si>
    <t>社交媒体对心理健康不会产生负面影响
不止是网络上才会有比较文化；大多数青少年对社交媒体的使用是适度的。</t>
  </si>
  <si>
    <t>反对了社交媒体的比较论，认为比较无处不在，青少年有良好的使用习惯</t>
  </si>
  <si>
    <t>社交媒体对青少年的心理健康存在积极影响
青少年可以在这里找到支持和理解自己的人，作品获得鼓励和认可，自己更自信了</t>
  </si>
  <si>
    <t>充分支持_x000D_
_x000D_
充分证明了“存在积极影响”的说法</t>
  </si>
  <si>
    <t>非常有效_x000D_
_x000D_
“存在”一词就代表没有忽视社交带来的积极影响，并没有完全否定可能存在的消极影响</t>
  </si>
  <si>
    <t>反对“长时间使用社交媒体必然会导致青少年焦虑”这一观点，充分肯定了积极作用</t>
  </si>
  <si>
    <t>社交媒体除了积极影响，还有消极影响
愿意分享经验的是没有收到网络欺凌的人，网络也会带来网暴的伤害</t>
  </si>
  <si>
    <t>一定程度上否认了网络的积极作用，那些分享自己愉快经验的并不能掩盖网络为某些青少年带来欺凌的事实</t>
  </si>
  <si>
    <t>否_x000D_
_x000D_
存在积极，但是由于网络鱼龙混杂，没有自我保护意识的青少年往往会因为言语受到莫名其妙的攻击</t>
  </si>
  <si>
    <t>社交媒体并不是导致青少年心理问题的真正原因
每天使用社交媒体超过4小时的青少年对自己的家庭关系和朋友关系质量的评价都比较低，社交媒体只是“背锅”的对象</t>
  </si>
  <si>
    <t>否认了社交媒体肯定会导致焦虑的观点</t>
  </si>
  <si>
    <t>不能认为社交媒体对青少年没有影响
理由：“电子鸦片”已经造成了集体成瘾</t>
  </si>
  <si>
    <t>不能支持_x000D_
_x000D_
如果每个人仅仅是有在使用社交媒体就被称为“集体成瘾”，那每个人使用作业帮查不会的题目是不是也叫“学习成瘾”？使用即成瘾的定论是偏激的，不负责任的。</t>
  </si>
  <si>
    <t>一般_x000D_
_x000D_
确实存在“电子鸦片”会让人成瘾，但是“集体成瘾”的说法实在是不能苟同</t>
  </si>
  <si>
    <t>强烈支持社交媒体会让青少年成瘾，反对青少年使用社交媒体</t>
  </si>
  <si>
    <t>否_x000D_
_x000D_
不能因噎废食</t>
  </si>
  <si>
    <t>观点：社交媒体对青少年的心理健康有负面影响
理由：每天使用社交媒体超过4小时的青少年的焦虑水平比其它青少年更高。而且近10年的数据也显示，随着社交媒体的普及，存在心理问题的青少年比例也逐年增高</t>
  </si>
  <si>
    <t>不能支持_x000D_
_x000D_
材料有一定的支持性但不多，焦虑不一定是心理健康的负面影响，个体需要适当的焦虑，同时也无法说明焦虑与使用社交媒体时长的因果关系，可能存在其他变量进行影响。近十年以来的变化不只有社交媒体的普及，还有经济下行就业压力增加等，不能说明二者的因果关系</t>
  </si>
  <si>
    <t>否_x000D_
_x000D_
我认为不合理因而没有变化</t>
  </si>
  <si>
    <t>观点：青少年可能是因为感觉到焦虑才长时间呆在社交媒体上，而不是因为使用社交媒体才导致了焦虑等的心理健康问题
理由：如果个体能够及时排解焦虑，就不会长时间使用社交媒体</t>
  </si>
  <si>
    <t>一般_x000D_
_x000D_
理由可以支持观点，但是这些事臆断性观点，没有实际证据</t>
  </si>
  <si>
    <t>一般_x000D_
_x000D_
相较材料一更加合理，但是同样这也只是猜测，有效性无法保证</t>
  </si>
  <si>
    <t>反驳材料一的观点</t>
  </si>
  <si>
    <t>否_x000D_
_x000D_
已考虑到本材料提出的观点</t>
  </si>
  <si>
    <t>不能支持_x000D_
_x000D_
推论过于主观臆断，完美生活的展示为什么一定会让青少年感到不满、之后降低幸福河自尊心？
以及青少年为什么一定会去关注比较文化</t>
  </si>
  <si>
    <t>基本无效_x000D_
_x000D_
与主题密切相关，但并不合理</t>
  </si>
  <si>
    <t>否_x000D_
_x000D_
我不认可它的论证</t>
  </si>
  <si>
    <t>反驳材料三，提出新观点</t>
  </si>
  <si>
    <t>否_x000D_
_x000D_
材料内容已被纳入考虑</t>
  </si>
  <si>
    <t>观点：社交媒体对青少年的心理健康存在积极影响
理由:青少年可以在这里找到支持和理解自己的人。有记者采访了某社交媒体的5名青少年博主，他们表示，自己表达的观点和创作的作品获得了很多网友的鼓励和认可，感到自己被理解也更自信了</t>
  </si>
  <si>
    <t>一般_x000D_
_x000D_
理由支持观点，但是论据以偏概全。选择了已经成名的青少年博主进行采访，忽略了社交网络另一面的普通人</t>
  </si>
  <si>
    <t>一般_x000D_
_x000D_
观点与主题相关，但是没有全面考虑被采访群体</t>
  </si>
  <si>
    <t>是_x000D_
_x000D_
5_x000D_
_x000D_
仍然认为有一定负面影响，但是更多取决于青少年个人而非他人</t>
  </si>
  <si>
    <t>观点：社交媒体并不一定能为青少年带来积极影响
理由：社交媒体确实为表达自我与艺术创作提供了自由的环境，但接受采访的5名青少年肯定其中比较出众的，他们愿意分享自己的积极体验，但这是一种假象。他们观点不能代表所有青少年，尤其是那些在社交媒体上遭遇负面经历（比如网络欺凌）的青少年。</t>
  </si>
  <si>
    <t>观点：社交媒体并不是导致青少年心理问题的真正原因
理由：，每天使用社交媒体超过4小时的青少年具有更高的焦虑水平，但如果把他们的人际关系也考虑在内就会发现，这些青少年对自己的家庭关系和朋友关系质量的评价都比较低</t>
  </si>
  <si>
    <t>反驳材料一</t>
  </si>
  <si>
    <t>不能支持_x000D_
_x000D_
理由支持了观点，但是理由考虑的并不全面，同时逻辑存在漏洞。不能因为很多人都在使用社交媒体就说这是集体成瘾</t>
  </si>
  <si>
    <t>基本无效_x000D_
_x000D_
观点与主题相关，但存在偏见</t>
  </si>
  <si>
    <t>否_x000D_
_x000D_
我不认可这段材料的观点态度</t>
  </si>
  <si>
    <t>观点：社交媒体对青少年的心理健康有负面影响。
理由：研究发现每天使用社交媒体超过4小时的青少年的焦虑水平比其它青少年更高。而且近10年的数据也显示，随着社交媒体的普及，存在心理问题的青少年比例也逐年增高。</t>
  </si>
  <si>
    <t>不能支持_x000D_
_x000D_
逻辑漏洞：相关关系不能证明两者存在因果关系。</t>
  </si>
  <si>
    <t>否_x000D_
_x000D_
材料中的理由不能支持此观点。</t>
  </si>
  <si>
    <t>观点：青少年可能是因为焦虑而使用社交媒体。
理由：如果一个人在现实中和家人和朋友关系很好，他的心理问题能及时排解，又怎么会花4个小时在社交媒体上？</t>
  </si>
  <si>
    <t>一般_x000D_
_x000D_
理由不够充分，也存在一定漏洞：人际关系好为什么不会长时间使用社交媒体？社交媒体也可能是维持人际关系的一种策略。</t>
  </si>
  <si>
    <t>非常有效_x000D_
_x000D_
观点与材料密切相关，并且表述很严谨，并不绝对。</t>
  </si>
  <si>
    <t>反驳了材料1的观点。</t>
  </si>
  <si>
    <t>否_x000D_
_x000D_
我认为材料2观点是合理的。</t>
  </si>
  <si>
    <t>观点：长时间使用社交媒体必然会导致青少年焦虑。
理由：社交媒体上普遍存在“比较文化”，加上铺天盖地的“完美生活”的展示，会让青少年对自己的生活感到不满，降低幸福感和自尊心，导致社交退缩、自我怀疑，最终引发心理健康危机。</t>
  </si>
  <si>
    <t>不能支持_x000D_
_x000D_
存在逻辑漏洞：社交媒体和日常生活中都普遍存在“比较文化”，这无法避免，与社交媒体的使用无关。</t>
  </si>
  <si>
    <t>基本无效_x000D_
_x000D_
过于绝对。</t>
  </si>
  <si>
    <t>为材料1提供了支持。</t>
  </si>
  <si>
    <t>否_x000D_
_x000D_
本则材料的观点有问题。</t>
  </si>
  <si>
    <t>反驳了材料1和材料3的观点。</t>
  </si>
  <si>
    <t>否_x000D_
_x000D_
材料观点的推导过程存在问题。</t>
  </si>
  <si>
    <t>观点：社交媒体对青少年的心理健康存在积极影响。
理由：青少年可以在这里找到支持和理解自己的人。</t>
  </si>
  <si>
    <t>一般_x000D_
_x000D_
并不是所有青少年都可以找到支持和理解自己的人，即使找到了，这也可能会导致他们过分沉浸在虚拟世界的赞扬中，甚至反而难以正常面对现实生活的不如意，造成心理问题。</t>
  </si>
  <si>
    <t>一般_x000D_
_x000D_
观点还是基本合理的。</t>
  </si>
  <si>
    <t>反驳了材料1和3，支持了4.</t>
  </si>
  <si>
    <t>否_x000D_
_x000D_
基本认同此观点。</t>
  </si>
  <si>
    <t>观点：接受采访的5名青少年不能代表所有青少年。
理由：接受采访的5名青少年肯定其中比较出众的，他们愿意分享自己的积极体验，但这是一种假象，一些青少年在社交媒体上遭遇负面经历（比如网络欺凌）。</t>
  </si>
  <si>
    <t>否_x000D_
_x000D_
我认同材料的观点和理由。</t>
  </si>
  <si>
    <t>观点：社交媒体并不是导致青少年心理问题的真正原因，而只是“背锅”的对象。
理由：每天使用社交媒体超过4小时的青少年具有更高的焦虑水平，但是这些青少年对自己的家庭关系和朋友关系质量的评价都比较低。</t>
  </si>
  <si>
    <t>支持了材料2和材料4.</t>
  </si>
  <si>
    <t>否_x000D_
_x000D_
没有能改变我立场的观点和理由。</t>
  </si>
  <si>
    <t>观点：社交媒体对青少年的心理健康存在不良影响。
理由：社交媒体上的很多内容像“电子鸦片”一样，具有极强的吸引力和成瘾性，这就是心理问题。</t>
  </si>
  <si>
    <t>不能支持_x000D_
_x000D_
使用社交媒体并不意味着就会成瘾。</t>
  </si>
  <si>
    <t>基本无效_x000D_
_x000D_
观点存在偏见。</t>
  </si>
  <si>
    <t>反驳了材料6和7.</t>
  </si>
  <si>
    <t>观点：社交媒体对青少年的心理健康有负面影响。
理由：社交媒体使用时间长的青少年焦虑水平更高，随着社交媒体的普及，存在心理问题的青少年比例也逐年增高。</t>
  </si>
  <si>
    <t>一般_x000D_
_x000D_
理由支持了观点，但理由本身不够严谨，一系列后果是否只是社交媒体的影响？</t>
  </si>
  <si>
    <t>否_x000D_
_x000D_
没能说服我。</t>
  </si>
  <si>
    <t>观点：青少年焦虑不能归因于社交媒体，甚至可能是因为焦虑才使用社交媒体。
理由：一个人在现实中和家人和朋友关系很好，他的心理问题能及时排解，不会花4个小时在社交媒体上。</t>
  </si>
  <si>
    <t>一般_x000D_
_x000D_
理由有点以偏概全。</t>
  </si>
  <si>
    <t>非常有效_x000D_
_x000D_
观点合理，找出了材料1的漏洞。</t>
  </si>
  <si>
    <t>反驳了材料1 。</t>
  </si>
  <si>
    <t>否_x000D_
_x000D_
影响不大。</t>
  </si>
  <si>
    <t>观点：长时间使用社交媒体必然会导致青少年焦虑和一系列心理健康危机。
理由社交媒体上普遍存在“比较文化”，境地幸福感和自尊心。</t>
  </si>
  <si>
    <t>一般_x000D_
_x000D_
存在逻辑错误，比较文化不一定导致焦虑。</t>
  </si>
  <si>
    <t>基本无效_x000D_
_x000D_
观点的以因果推断有问题。</t>
  </si>
  <si>
    <t>观点：对大多数青少年而言，使用社交媒体对心理健康不会产生负面影响。
理由：比较文化不只是社交媒体上才有；大多数青少年对社交媒体的使用是适度的。</t>
  </si>
  <si>
    <t>反驳了材料3和2.</t>
  </si>
  <si>
    <t>否_x000D_
_x000D_
仍然认为影响不大。</t>
  </si>
  <si>
    <t>观点：社交媒体对青少年的心理健康存在积极影响。
理由：青少年子啊社交媒体上被支持被理解。</t>
  </si>
  <si>
    <t>一般_x000D_
_x000D_
以偏概全。</t>
  </si>
  <si>
    <t>非常有效_x000D_
_x000D_
提出社交媒体的正向影响。</t>
  </si>
  <si>
    <t>观点：不是所有青少年在社交媒体上都有积极经历。
理由：接受采访的5位青少年比较出众，青少年在社交媒体上也可能会经历网络欺凌。</t>
  </si>
  <si>
    <t>反驳了材料5，指出了其中抽样不够具有代表性的问题。</t>
  </si>
  <si>
    <t>否_x000D_
_x000D_
影响不大</t>
  </si>
  <si>
    <t>观点：社交媒体并不是导致青少年心理问题的真正原因。
理由：每天使用社交媒体超过4小时的青少年人际关系也存在一定的问题。</t>
  </si>
  <si>
    <t>观点：社交媒体上的很多内容容易成瘾，这本身就是一种不良影响。
理由：很多人都在使用社交媒体，集体成瘾。</t>
  </si>
  <si>
    <t>一般_x000D_
_x000D_
不太充分，大部分人还是能够很正常地生活工作，没有因为社交媒体影响现实生活。</t>
  </si>
  <si>
    <t>一般_x000D_
_x000D_
极强吸引力是真的，但不是有了社交媒体极强吸引力的内容就一定会上瘾，带来不良影响。</t>
  </si>
  <si>
    <t>否_x000D_
_x000D_
一直认为会有点影响但不多。</t>
  </si>
  <si>
    <t>社交媒体对青少年心理健康有害
使用社交媒体时间长的青少年更焦虑</t>
  </si>
  <si>
    <t>一般_x000D_
_x000D_
社交媒体的普及和青少年心理问题不一定存在必然性关联，可能有社会大环境的作用</t>
  </si>
  <si>
    <t>否_x000D_
_x000D_
赞同</t>
  </si>
  <si>
    <t>社交媒体危害不存在
实际生活中遇到问题的青少年才会花时间沉迷社交媒体</t>
  </si>
  <si>
    <t>不能支持_x000D_
_x000D_
有一些网友笔友的关系需要上网才能维持</t>
  </si>
  <si>
    <t>一般_x000D_
_x000D_
无法解释网暴</t>
  </si>
  <si>
    <t>提出了焦虑本身导致社交媒体滥用的可能性</t>
  </si>
  <si>
    <t>社交媒体导致青少年焦虑
“比较文化”使得青少年对自己的生活不满足，不自信</t>
  </si>
  <si>
    <t>充分支持_x000D_
_x000D_
也有一些搞笑博主会展示出生活不如意的地方，全看人看不看</t>
  </si>
  <si>
    <t>非常有效_x000D_
_x000D_
略显以偏概全，也有一些搞笑博主会展示出生活不如意的地方，全看人看不看</t>
  </si>
  <si>
    <t>提出了社交媒体提高青少年压力的可能方式</t>
  </si>
  <si>
    <t>否_x000D_
_x000D_
不算全面</t>
  </si>
  <si>
    <t>社交媒体对青少年不会产生影响
滥用社交媒体的青少年本身存在心理问题</t>
  </si>
  <si>
    <t>否_x000D_
_x000D_
不具有说服性</t>
  </si>
  <si>
    <t>社交媒体有积极影响
采访发现青少年博主通过社交媒体得到认可，更加自信</t>
  </si>
  <si>
    <t>一般_x000D_
_x000D_
以偏概全，大多数青少年不是博主</t>
  </si>
  <si>
    <t>基本无效_x000D_
_x000D_
只有5个人，结论不具有普遍性，比博主更多的是那些观看博主的人</t>
  </si>
  <si>
    <t>提出了社交媒体可能的积极影响</t>
  </si>
  <si>
    <t>否_x000D_
_x000D_
大多数青少年不是博主</t>
  </si>
  <si>
    <t>社交媒体不一定积极影响
五名博主是少数人群，不会遭遇网络霸凌</t>
  </si>
  <si>
    <t>指出网络媒体的影响不能只看显而易见的，大众化的青少年大多是在网络中比较获益</t>
  </si>
  <si>
    <t>社交媒体为青少年心理压力背锅
长时间使用社交媒体的青少年存在人际关系问题，从而寻求社交媒体</t>
  </si>
  <si>
    <t>提出了新变量，人际关系，在从中起到作用</t>
  </si>
  <si>
    <t>否_x000D_
_x000D_
社交媒体可能会带来人际关系问题</t>
  </si>
  <si>
    <t>社交媒体对青少年的心理健康有害
社交媒体滥用就是一种网络成瘾</t>
  </si>
  <si>
    <t>充分支持_x000D_
_x000D_
使用但不一定成瘾</t>
  </si>
  <si>
    <t>非常有效_x000D_
_x000D_
吸引力与成瘾是不同的，成瘾有害，但是吸引没有</t>
  </si>
  <si>
    <t>指出网络媒体的害处</t>
  </si>
  <si>
    <t>否_x000D_
_x000D_
不是所有人都会对社交媒体成瘾</t>
  </si>
  <si>
    <t>一般_x000D_
_x000D_
能支撑观点，但漏洞不少。一则仅是有研究那一项指标，可能有许多干扰因素，能部分支持不能做因果推论。二则仅是理由2仅能指出一种共变趋势，可能是由于时代等第三方因素影响，不能用来支持观点。</t>
  </si>
  <si>
    <t>否_x000D_
_x000D_
并不足以改变我的中立观点</t>
  </si>
  <si>
    <t>观点：青少年可能是因为感觉到焦虑才长时间呆在社交媒体上，而不是因为使用社交媒体才导致了焦虑等的心理健康问题
理由：青少年可能是因为感觉到焦虑才长时间呆在社交媒体上，而不是因为使用社交媒体才导致了焦虑等的心理健康问题；如果一个人在现实中和家人和朋友关系很好，他的心理问题能及时排解，又怎么会花4个小时在社交媒体上？</t>
  </si>
  <si>
    <t>一般_x000D_
_x000D_
观点本身是对材料一的有力回击，但是解释有点画蛇添足，反问的语气太过想当然了，给人留下话柄。</t>
  </si>
  <si>
    <t>一般_x000D_
_x000D_
观点合理，但理由有逻辑问题，要打折扣。</t>
  </si>
  <si>
    <t>否_x000D_
_x000D_
不足以改变我的中立观点</t>
  </si>
  <si>
    <t>一般_x000D_
_x000D_
理由引出了一种重要现象，能支撑观点，但存在问题。从比较文化到青少年产生不满的推论太想当然，观点绝对，给人留下话柄</t>
  </si>
  <si>
    <t>非常有效_x000D_
_x000D_
仅从观点角度考虑，此观点确实是社交媒体产生负面影响的重要问题。不提及论证的瑕疵的话，是很有力的一个观点</t>
  </si>
  <si>
    <t>否_x000D_
_x000D_
几乎所有材料内容都曾见过，不足以改变我的观点</t>
  </si>
  <si>
    <t>否_x000D_
_x000D_
论证有误，无法动摇我的观点。</t>
  </si>
  <si>
    <t>不能支持_x000D_
_x000D_
论据使用有歧义，“青少年”博主指的是目标人群还是博主本人。不明确歧义的讨论没有意义</t>
  </si>
  <si>
    <t>基本无效_x000D_
_x000D_
观点并不能直接反驳社交媒体存在负面影响。如需反驳，要指出这些正面影响广泛抵消了负面影响，可是材料并没有</t>
  </si>
  <si>
    <t>否_x000D_
_x000D_
论证有歧义，观点不能直接用于主题</t>
  </si>
  <si>
    <t>否_x000D_
_x000D_
不足以改变我的观点</t>
  </si>
  <si>
    <t>观点：社交媒体对青少年的心理健康有负面影响，影响其心理健康。
理由：发现那些每天使用社交媒体超过4小时的青少年的焦虑水平比其它青少年更高。而且近10年的数据也显示，随着社交媒体的普及，存在心理问题的青少年比例也逐年增高。</t>
  </si>
  <si>
    <t>不能支持_x000D_
_x000D_
焦虑与社交媒体使用时间并不存在因果关系，不能否认可能是焦虑的青少年会更多的使用社交媒体。并且社交媒体的普及与心理问题也不存在因果关系，可能是经济发展与生活条件的变化同时导致了社交媒体的发展与心理问题的增加。</t>
  </si>
  <si>
    <t>否_x000D_
_x000D_
推理存在问题，相关不能推向因果关系，论证无效。</t>
  </si>
  <si>
    <t>观点：青少年可能是因为焦虑而使用社交媒体，而非因为媒体而焦虑。
理由：如果一个人在现实中和家人和朋友关系很好，他的心理问题能及时排解，又怎么会花4个小时在社交媒体上？</t>
  </si>
  <si>
    <t>一般_x000D_
_x000D_
能够部分支持，但是不够充分，不够完全，现实生活中环境良好也可能会沉迷社交媒体。</t>
  </si>
  <si>
    <t>非常有效_x000D_
_x000D_
非常合理，说明相关不能推出因果关系，还存在其他的可能。</t>
  </si>
  <si>
    <t>反驳了材料1的逻辑漏洞。</t>
  </si>
  <si>
    <t>否_x000D_
_x000D_
与我观点一致。</t>
  </si>
  <si>
    <t>不能支持_x000D_
_x000D_
完全是设想，并且没有事实支持。互联网上有不好的文化现象，也有积极向上鼓励的内容，不能以偏概全。并且推论中的因果也没有事实支持，只是主观的猜想。</t>
  </si>
  <si>
    <t>基本无效_x000D_
_x000D_
过于武断且以偏概全，对积极的一面避而不谈，放大且主观的认为互联网有极大的弊端。</t>
  </si>
  <si>
    <t>支持材料1，但是推理混乱，论证无效。</t>
  </si>
  <si>
    <t>否_x000D_
_x000D_
没有事实支持、以偏概全，基本无效。</t>
  </si>
  <si>
    <t>观点：使用社交媒体对心理健康不会产生负面影响
理由：比较文化随处都有，不只是社交媒体上才有。此外，大多数青少年对社交媒体的使用是适度的，那些每天使用超过4小时的人的心理健康可能本身存在一些问题。</t>
  </si>
  <si>
    <t>反驳了材料1与材料3，支持材料2.</t>
  </si>
  <si>
    <t>否_x000D_
_x000D_
论据并不能支持论点。</t>
  </si>
  <si>
    <t>一般_x000D_
_x000D_
能够说明有青少年在社交媒体上获得了归属感与认同感。但毕竟青少年博主是少数，并不能够代表整个群体。</t>
  </si>
  <si>
    <t>非常有效_x000D_
_x000D_
观点合理，积极影响是存在的（当然消极影响也是存在的），互联网让更多的人可以产生链接，找到志同道合的朋友可以增加自己的归属感与幸福感。</t>
  </si>
  <si>
    <t>反驳了材料3，说明互联网存在积极影响。</t>
  </si>
  <si>
    <t>是_x000D_
_x000D_
7_x000D_
_x000D_
与我自身经历相似，互联网上能够有机会获得认同与支持。并且可以筛选，最终留下相处和谐的人。</t>
  </si>
  <si>
    <t>观点：青少年博主的积极体验是一种假象而非本质，实际上网络存在危害
理由：，但接受采访的5名青少年肯定其中比较出众的，他们愿意分享自己的积极体验，但这是一种假象。他们观点不能代表所有青少年，尤其是那些在社交媒体上遭遇负面经历（比如网络欺凌）的青少年。</t>
  </si>
  <si>
    <t>反驳了材料5，指出材料五的例子是一个极端，忽略了大多数与受到网络欺凌的另一个极端。</t>
  </si>
  <si>
    <t>是_x000D_
_x000D_
6_x000D_
_x000D_
与我的看法一致，都认为材料5中存在以偏概全的错误，并且指出了网络暴力。我认为网络暴力受到的伤害远大于积极体验者受到的支持。</t>
  </si>
  <si>
    <t>观点：社交媒体并不是导致青少年心理问题的真正原因
理由：每天使用社交媒体超过4小时的青少年具有更高的焦虑水平，但如果把他们的人际关系也考虑在内就会发现，这些青少年对自己的家庭关系和朋友关系质量的评价都比较低。</t>
  </si>
  <si>
    <t>反对了材料1与材料4，指出了其中存在的漏洞，补充完善了观点。</t>
  </si>
  <si>
    <t>否_x000D_
_x000D_
有理有据，但依旧不能完全排除社交媒体的影响。</t>
  </si>
  <si>
    <t xml:space="preserve">观点：社交媒体具有极强的成瘾性，对青少年的心理产生影响。
理由：社交媒体上的很多内容像“电子鸦片”一样，具有极强的吸引力和成瘾性。而且现在很多人都在使用社交媒体，所以这已经是一种集体成瘾了。
</t>
  </si>
  <si>
    <t>一般_x000D_
_x000D_
社交媒体上有许多有强成瘾性的内容是正确的。但是很多人使用社交媒体并不等于集体成瘾，不能把使用与成瘾混淆。</t>
  </si>
  <si>
    <t>非常有效_x000D_
_x000D_
社交媒体内容的成瘾性确实会很大程度影响青少年的心理健康。</t>
  </si>
  <si>
    <t>提出了新的角度，从成瘾性方面进行论证。</t>
  </si>
  <si>
    <t>否_x000D_
_x000D_
与我的考虑相似。并且该材料部分论证存在混淆概念的问题。</t>
  </si>
  <si>
    <t>理由：社交媒体对青少年的心理健康有负面影响。
证据：有研究调查了1000多名青少年，发现那些每天使用社交媒体超过4小时的青少年的焦虑水平比其它青少年更高。而且近10年的数据也显示，随着社交媒体的普及，存在心理问题的青少年比例也逐年增高。</t>
  </si>
  <si>
    <t>不能支持_x000D_
_x000D_
相关≠因果；有可能有第三个变量共同影响心理健康；有可能本身心理健康不佳的青少年才更会去沉迷社交软件</t>
  </si>
  <si>
    <t>否_x000D_
_x000D_
这个材料合理化后的观点是：社交媒体可能对青少年的心理健康产生负面影响，比如当一个堕落的催化剂什么的，当然也可能是深渊上方拯救的天使。我就是这么认为的</t>
  </si>
  <si>
    <t xml:space="preserve">观点：社交媒体不一定导致青少年焦虑
理由：青少年可能是因为感觉到焦虑才长时间呆在社交媒体上，而不是因为使用社交媒体才导致了焦虑等的心理健康问题。如果一个人在现实中和家人和朋友关系很好，他的心理问题能及时排解，又怎么会花4个小时在社交媒体上？
</t>
  </si>
  <si>
    <t>充分支持_x000D_
_x000D_
因为观点，理由都是比较弱的可能，所以还好。但是建议再推一层，花4个小时再社交媒体上，转移注意力这种，具体说明社交媒体有什么用，不然显得逻辑有点跳跃</t>
  </si>
  <si>
    <t>一般_x000D_
_x000D_
只说了焦虑，没说其他的。不过差不多，不算大事</t>
  </si>
  <si>
    <t>指出了材料1的问题，即相关不等于因果</t>
  </si>
  <si>
    <t>否_x000D_
_x000D_
和我的观点基本一致</t>
  </si>
  <si>
    <t>一般_x000D_
_x000D_
以偏概全，社交媒体上难道都是这样？</t>
  </si>
  <si>
    <t>基本无效_x000D_
_x000D_
绝对等于不对原则，这么绝对，也会怀疑有偏见</t>
  </si>
  <si>
    <t>与材料1有关，想要具体化社交媒体为什么会对人心理健康产生负面影响</t>
  </si>
  <si>
    <t>否_x000D_
_x000D_
材料3与我的立场相反，但是我可以反驳，见t2</t>
  </si>
  <si>
    <t>观点：对大多数青少年而言，使用社交媒体对心理健康不会产生负面影响
理由：①比较文化随处都有，不只是社交媒体上才有 ②大多数青少年对社交媒体的使用是适度的 ③那些每天使用超过4小时的人的心理健康可能本身存在一些问题</t>
  </si>
  <si>
    <t>与材料2的观点一致（第三个理由），想反驳材料3和材料1，反驳材料3更直接</t>
  </si>
  <si>
    <t>否_x000D_
_x000D_
材料4和我的立场相似，我指的是我合理化之后的观点“社交媒体对青少年的负面影响可能是适度的，也可能是基本没有的”</t>
  </si>
  <si>
    <t>一般_x000D_
_x000D_
那有的青少年博主的视频常年无人问津呢，他们中有的人可挫败了。只采访了5名博主，数量少，而且被采访的人本身可能有类似“publication bias”的，有名才更有可能被采访到</t>
  </si>
  <si>
    <t>一般_x000D_
_x000D_
合理，但是积极影响和消极影响是可以并存的，和主题的关系一般般</t>
  </si>
  <si>
    <t>在已有材料的基础上提出了一个和主题关系没有那么密切的新观点</t>
  </si>
  <si>
    <t>否_x000D_
_x000D_
材料5和我的观点类似，考虑了社交媒体对青少年的正面影响，但是我不确定这个是否可以算作一个有效的观点</t>
  </si>
  <si>
    <t>观点：材料5的观点不一定成立，社交媒体不一定会普遍的给青少年带来正面影响</t>
  </si>
  <si>
    <t>反对材料五的观点，最后一个理由和材料3有一点关联</t>
  </si>
  <si>
    <t>否_x000D_
_x000D_
材料6的观点和我的观点类似，因为我在同意材料5的时候已经对他用类似材料6的方式开了刀减少观点的强度了</t>
  </si>
  <si>
    <t>与材料2的观点和反驳方式类似，但是材料7的论证问题更明显。当然这两个材料都是想去反驳材料1</t>
  </si>
  <si>
    <t>否_x000D_
_x000D_
材料7的观点（没合理化的版本）和我的不一致，但是我可以反驳，见t2</t>
  </si>
  <si>
    <t>观点：认为社交媒体对青少年的心理健康没有不良影响是不负责任的（社交媒体肯定对青少年的心理健康有不良影响）
理由：社交媒体上的很多内容像“电子鸦片”一样，具有极强的吸引力和成瘾性。如果成瘾都不算心理问题，那什么才算？而且现在很多人都在使用社交媒体，所以这已经是一种集体成瘾了</t>
  </si>
  <si>
    <t>不能支持_x000D_
_x000D_
很多内容像，不一定能推出“只要使用，就是成瘾”，这里有点过分绝对，或者说是非黑即白
很多人也不一定是青少年，比如很多人可能都是老年人</t>
  </si>
  <si>
    <t>一般_x000D_
_x000D_
巨爵人身攻击！“那什么才算”，有点理所当然和自我中心</t>
  </si>
  <si>
    <t>反驳材料7和材料4的“没有不良影响”并顺便把材料4和材料7的作者骂了一下。提出了成瘾性的新视角。与支持社交媒体对青少年有不良影响的材料相关</t>
  </si>
  <si>
    <t>否_x000D_
_x000D_
巨爵人身攻击！材料8的观点和我的观点差不多，但他说的太绝对了，我决定不予太多考虑，把材料8的权值调的低低地</t>
  </si>
  <si>
    <t>反驳1和4，支持2</t>
  </si>
  <si>
    <t>观点：社交媒体确实为表达自我与艺术创作提供了自由的环境，但接受采访的5名青少年肯定其中比较出众的，他们愿意分享自己的积极体验，但这是一种假象。
理由：他们观点不能代表所有青少年，尤其是那些在社交媒体上遭遇负面经历（比如网络欺凌）的青少年。</t>
  </si>
  <si>
    <t>反驳1，支持2。</t>
  </si>
  <si>
    <t>观点：社交媒体对青少年的心理健康有负面影响。
理由：有研究调查的1000多名青年里，每天使用社交媒体超过4小时的青少年的焦虑水平比其它青少年更高。近10年的数据也显示，随着社交媒体的普及，存在心理问题的青少年比例也逐年增高。</t>
  </si>
  <si>
    <t>一般_x000D_
_x000D_
调查研究的样本范围是？十年里除了社交媒体的普及，还带来其他巨变，这些对青少年心理问题的影响呢？理由不充分。</t>
  </si>
  <si>
    <t>否_x000D_
_x000D_
我的立场所列举的理由比材料1充分，并且它也没有违背我的观点。</t>
  </si>
  <si>
    <t>观点：焦虑是青少年长时间使用社交媒体的原因而非结果。
理由：一个人在现实中和家人和朋友关系很好，他的心理问题能及时排解，是不会花4个小时在社交媒体上的。</t>
  </si>
  <si>
    <t>不能支持_x000D_
_x000D_
额。论述焦虑导致 长时间社交媒体使用的例子不具有统计效益，它只是轻飘飘地举出一个反问句，但是事实上无法解释心理健康良好的人也会长时间使用社交媒体。</t>
  </si>
  <si>
    <t>基本无效_x000D_
_x000D_
理由无效，所以观点立不住脚。</t>
  </si>
  <si>
    <t>充分支持_x000D_
_x000D_
理由较有逻辑性，能流畅说明比较文化对心理健康的影响。</t>
  </si>
  <si>
    <t>一般_x000D_
_x000D_
观点绝对化，带有偏见，并且只得到了一方面的论证（比较方面的弊端），欠缺其他考虑（比如社交媒体使用中的比较效应在青少年间存在不同程度的影响）</t>
  </si>
  <si>
    <t>支持了前两则材料</t>
  </si>
  <si>
    <t>否_x000D_
_x000D_
支持我的立场</t>
  </si>
  <si>
    <t>充分驳斥了材料3的心理环路说明，揭示上一则材料的理由的局限性。</t>
  </si>
  <si>
    <t>否_x000D_
_x000D_
观点的完备还需要更多的统计数据支持，不能否认社交媒体的负面影响，因为除了比较文化，还有其他不易察觉的方面会带来心理健康挑战。</t>
  </si>
  <si>
    <t>观点；社交媒体对青少年的心理健康存在积极影响
理由：青少年可以在这里找到支持和理解自己的人。</t>
  </si>
  <si>
    <t>一般_x000D_
_x000D_
理由以偏概全，从博主群体得出的结论不能推及到全体青少年。</t>
  </si>
  <si>
    <t>基本无效_x000D_
_x000D_
理由无法支持观点，更何况也有反例存在。</t>
  </si>
  <si>
    <t>试图驳斥材料1-3，并举出新观点：能找到知音。</t>
  </si>
  <si>
    <t>否_x000D_
_x000D_
找到支持和理解的人并不是社交媒体的显著特征。</t>
  </si>
  <si>
    <t>观点：接受采访的5名青少年的观点不能代表所有青少年
理由：接受采访的5名青少年肯定其中比较出众的，他们愿意分享自己的积极体验，但这是一种假象。他们的态度不能代表那些在社交媒体上遭遇负面经历（比如网络欺凌）的青少年</t>
  </si>
  <si>
    <t>反驳材料5，举出反例和材料5的论述问题：局部不能代表全体。</t>
  </si>
  <si>
    <t>否_x000D_
_x000D_
支持我的立场，和我想的相符</t>
  </si>
  <si>
    <t>提出新观点，认为青少年心理问题的原因还有评价较低的人际关系。</t>
  </si>
  <si>
    <t>否_x000D_
_x000D_
举出一个变量：人际关系质量，但是论述力较弱。</t>
  </si>
  <si>
    <t>观点：认为社交媒体对青少年的心理健康没有不良影响是不负责任的！
理由：社交媒体成瘾是一种严重的心理问题和集体现象。</t>
  </si>
  <si>
    <t>一般_x000D_
_x000D_
存在逻辑漏洞，假定理由成立，那么社交媒体的合理使用就可能不会给青少年心理健康带来不良影响。</t>
  </si>
  <si>
    <t>一般_x000D_
_x000D_
观点是合理的，毕竟社交媒体存在使用过度的风险，而这具有心理问题发生的条件。</t>
  </si>
  <si>
    <t xml:space="preserve">提出新观点，从社交媒体使用的极端来强烈立论 </t>
  </si>
  <si>
    <t>否_x000D_
_x000D_
观点支持我的立场</t>
  </si>
  <si>
    <t>一般_x000D_
_x000D_
理由充分支持观点，但理由二没有考虑到社会压力问题，不太全面</t>
  </si>
  <si>
    <t>否_x000D_
_x000D_
与我所认为的观点相同</t>
  </si>
  <si>
    <t>不能支持_x000D_
_x000D_
理由不全面支持观点。存在逻辑错误，假定因果关系并以该关系逻辑反推</t>
  </si>
  <si>
    <t>一般_x000D_
_x000D_
观点和主题紧密相关，但不合理，有逻辑错误</t>
  </si>
  <si>
    <t>反驳了材料1，指出材料1的因果不一定正确，提出了新的观点</t>
  </si>
  <si>
    <t>是_x000D_
_x000D_
4_x000D_
_x000D_
提出了新的观点</t>
  </si>
  <si>
    <t>一般_x000D_
_x000D_
理由有效地支持了观点，但不充分。引发健康危机不只有这一个途径，同时网上也存在悲惨生活的展示</t>
  </si>
  <si>
    <t>一般_x000D_
_x000D_
观点和主题紧密相关，观点不合理，理由中引发健康危机的方式太片面</t>
  </si>
  <si>
    <t>反驳了材料2，提出了一个新观点</t>
  </si>
  <si>
    <t>否_x000D_
_x000D_
片面</t>
  </si>
  <si>
    <t>反驳了材料3，指出了材料3中对比较文化的认知错误。在已有材料的基础上提出了⼀个新的观点</t>
  </si>
  <si>
    <t>否_x000D_
_x000D_
材料描述了一个可能性，但绝不是只有这一个可能性，且材料中“大多数青少年对社交媒体的使用是适度的”这句话我不认可</t>
  </si>
  <si>
    <t>一般_x000D_
_x000D_
理由有效支持了观点，但不充分。采访的随机性也没有表现出来，会以偏概全</t>
  </si>
  <si>
    <t>一般_x000D_
_x000D_
观点和主题相关且合理</t>
  </si>
  <si>
    <t>否_x000D_
_x000D_
存在积极影响不等于不存在消极影响或积极影响大于消极影响</t>
  </si>
  <si>
    <t>观点：社交媒体确实为表达自我与艺术创作提供了自由的环境，但接受采访的5名青少年观点不能代表所有青少年，尤其是那些在社交媒体上遭遇负面经历（比如网络欺凌）的青少年。
理由：接受采访的5名青少年肯定其中比较出众的，他们愿意分享自己的积极体验，但这是一种假象，他们观点不能代表所有青少年</t>
  </si>
  <si>
    <t>反驳了材料5，指出记着采访的样本代表性不高</t>
  </si>
  <si>
    <t>否_x000D_
_x000D_
言之有理</t>
  </si>
  <si>
    <t>支持了材料2，反驳了材料1的因果关系</t>
  </si>
  <si>
    <t>否_x000D_
_x000D_
太绝对了，虽然提出了可能性</t>
  </si>
  <si>
    <t>观点：认为社交媒体对青少年的心理健康没有不良影响是不负责任的
理由：社交媒体上的很多内容像“电子鸦片”一样，具有极强的吸引力和成瘾性。而且现在很多人都在使用社交媒体，所以这已经是一种集体成瘾了</t>
  </si>
  <si>
    <t>一般_x000D_
_x000D_
没有有效支持观点。存在逻辑错误，社交媒体有成瘾内容不代表使用的人成瘾。因果错误</t>
  </si>
  <si>
    <t>一般_x000D_
_x000D_
观点和主题紧密相关，但观点本身不合理，存在强拉因果</t>
  </si>
  <si>
    <t>反驳了材料2，指出了成瘾也是心理问题</t>
  </si>
  <si>
    <t>否_x000D_
_x000D_
材料本身观点同意但理由不充分</t>
  </si>
  <si>
    <t>1.社交媒体对青少年的心理健康有负面影响。
2.有研究调查了1000多名青少年，发现那些每天使用社交媒体超过4小时的青少年的焦虑水平比其它青少年更高。而且近10年的数据也显示，随着社交媒体的普及，存在心理问题的青少年比例也逐年增高。</t>
  </si>
  <si>
    <t>不能支持_x000D_
_x000D_
用超过4小时代替所有社交媒体以偏概全。随着社交媒体的普及，存在心理问题的青少年比例也逐年增高只是相关，不能说明因果。</t>
  </si>
  <si>
    <t>否_x000D_
_x000D_
论证有问题。</t>
  </si>
  <si>
    <t>1.青少年可能是因为感觉到焦虑才长时间呆在社交媒体上，而不是因为使用社交媒体才导致了焦虑等的心理健康问题。
2.如果一个人在现实中和家人和朋友关系很好，他的心理问题能及时排解，又怎么会花4个小时在社交媒体上？</t>
  </si>
  <si>
    <t>一般_x000D_
_x000D_
否命题无法论证。</t>
  </si>
  <si>
    <t>一般_x000D_
_x000D_
反驳上一条观点很有力，但理由不够。</t>
  </si>
  <si>
    <t>反驳材料2.</t>
  </si>
  <si>
    <t>否_x000D_
_x000D_
理由不充分。</t>
  </si>
  <si>
    <t>1.长时间使用社交媒体必然会导致青少年焦虑。
2.因为社交媒体上普遍存在“比较文化”，加上铺天盖地的“完美生活”的展示，会让青少年对自己的生活感到不满，降低幸福感和自尊心，导致社交退缩、自我怀疑，最终引发心理健康危机。</t>
  </si>
  <si>
    <t>不能支持_x000D_
_x000D_
铺天盖地为主观。网络上有各种内容，其放大了比较一方面，后半段为滑坡。</t>
  </si>
  <si>
    <t>基本无效_x000D_
_x000D_
观点妄下结论。</t>
  </si>
  <si>
    <t>否_x000D_
_x000D_
观点理由都不充分。</t>
  </si>
  <si>
    <t>1.对大多数青少年而言，使用社交媒体对心理健康不会产生负面影响。
2.比较文化随处都有，不只是社交媒体上才有。此外，大多数青少年对社交媒体的使用是适度的，那些每天使用超过4小时的人的心理健康可能本身存在一些问题。</t>
  </si>
  <si>
    <t>反驳了材料1,2。</t>
  </si>
  <si>
    <t>否_x000D_
_x000D_
立论无影响，驳论也就无影响。</t>
  </si>
  <si>
    <t>1.社交媒体对青少年的心理健康存在积极影响，因为青少年可以在这里找到支持和理解自己的人。
2.有记者采访了某社交媒体的5名青少年博主，他们表示，自己表达的观点和创作的作品获得了很多网友的鼓励和认可，感到自己被理解也更自信了。</t>
  </si>
  <si>
    <t>一般_x000D_
_x000D_
个案，还是博主，幸存者偏差。</t>
  </si>
  <si>
    <t>非常有效_x000D_
_x000D_
与主题紧密相关，青少年可以在这里找到支持和理解自己的人提出新角度。</t>
  </si>
  <si>
    <t>否_x000D_
_x000D_
已经考虑过</t>
  </si>
  <si>
    <t>1.接受采访的5名青少年不能代表所有青少年。
2.接受采访的5名青少年肯定其中比较出众的，他们愿意分享自己的积极体验，但这是一种假象。他们观点不能代表所有青少年，尤其是那些在社交媒体上遭遇负面经历（比如网络欺凌）的青少年。</t>
  </si>
  <si>
    <t>反驳材料6，提出新角度。</t>
  </si>
  <si>
    <t>否_x000D_
_x000D_
考虑到。</t>
  </si>
  <si>
    <t>1.社交媒体并不是导致青少年心理问题的真正原因，而只是“背锅”的对象。
2.每天使用社交媒体超过4小时的青少年具有更高的焦虑水平，但如果把他们的人际关系也考虑在内就会发现，这些青少年对自己的家庭关系和朋友关系质量的评价都比较低。</t>
  </si>
  <si>
    <t>否_x000D_
_x000D_
相关不能代表因果。</t>
  </si>
  <si>
    <t>1.社交媒体上的很多内容像“电子鸦片”一样，具有极强的吸引力和成瘾性。社交媒体对青少年的心理健康有不良影响。
2.如果成瘾都不算心理问题，那什么才算？而且现在很多人都在使用社交媒体，所以这已经是一种集体成瘾了。</t>
  </si>
  <si>
    <t>一般_x000D_
_x000D_
社交媒体可能导致成瘾，成瘾可能导致问题，可能性没有论证，所以并不有力。
现在很多人都在使用社交媒体，所以这已经是一种集体成瘾了。——因果错误。</t>
  </si>
  <si>
    <t>一般_x000D_
_x000D_
提出新问题成瘾性，但只是“很多内容”，存在以偏概全可能。</t>
  </si>
  <si>
    <t>否_x000D_
_x000D_
考虑过了，该材料理由也不充分。</t>
  </si>
  <si>
    <t>社交媒体对青少年的心理健康有负面影响
理由：调查了1000多名青少年，发现那些每天使用社交媒体超过4小时的青少年的焦虑水平比其它青少年更高。而且近10年的数据也显示，随着社交媒体的普及，存在心理问题的青少年比例也逐年增高。</t>
  </si>
  <si>
    <t>一般_x000D_
_x000D_
可能是常看社交媒体的人本身有某种特质。除此之外还行</t>
  </si>
  <si>
    <t>青少年可能是因为感觉到焦虑才长时间呆在社交媒体上
：如果一个人在现实中和家人和朋友关系很好，他的心理问题能及时排解，又怎么会花4个小时在社交媒体上？</t>
  </si>
  <si>
    <t>一般_x000D_
_x000D_
社交媒体已经有量变引起质变了，和传统社交并不一致，而且理由不成立</t>
  </si>
  <si>
    <t>基本无效_x000D_
_x000D_
没道理</t>
  </si>
  <si>
    <t>试图驳斥1</t>
  </si>
  <si>
    <t>否_x000D_
_x000D_
和我说的差不多</t>
  </si>
  <si>
    <t>长时间使用社交媒体必然会导致青少年焦虑
：因为社交媒体上普遍存在“比较文化”，加上铺天盖地的“完美生活”的展示，会让青少年对自己的生活感到不满，降低幸福感和自尊心，导致社交退缩、自我怀疑，最终引发心理健康危机。</t>
  </si>
  <si>
    <t>不能支持_x000D_
_x000D_
必然？存在是有多少？</t>
  </si>
  <si>
    <t>基本无效_x000D_
_x000D_
太绝对</t>
  </si>
  <si>
    <t>试图支持1</t>
  </si>
  <si>
    <t>使用社交媒体对心理健康不会产生负面影响。
：比较文化随处都有，不只是社交媒体上才有。此外，大多数青少年对社交媒体的使用是适度的，那些每天使用超过4小时的人的心理健康可能本身存在一些问题。所以，对大多数青少年而言</t>
  </si>
  <si>
    <t>否_x000D_
_x000D_
支持我</t>
  </si>
  <si>
    <t>社交媒体对青少年的心理健康存在积极影响
：因为青少年可以在这里找到支持和理解自己的人。有记者采访了某社交媒体的5名青少年博主，他们表示，自己表达的观点和创作的作品获得了很多网友的鼓励和认可，感到自己被理解也更自信了。</t>
  </si>
  <si>
    <t>充分支持_x000D_
_x000D_
完全正确</t>
  </si>
  <si>
    <t>一般_x000D_
_x000D_
有多少？</t>
  </si>
  <si>
    <t>反驳1,3</t>
  </si>
  <si>
    <t>他们观点不能代表所有青少年
：社交媒体确实为表达自我与艺术创作提供了自由的环境，但接受采访的5名青少年肯定其中比较出众的</t>
  </si>
  <si>
    <t>就是想驳斥5</t>
  </si>
  <si>
    <t>社交媒体并不是导致青少年心理问题的真正原因，而只是“背锅”的对象
：虽然调查发现，每天使用社交媒体超过4小时的青少年具有更高的焦虑水平，但如果把他们的人际关系也考虑在内就会发现，这些青少年对自己的家庭关系和朋友关系质量的评价都比较低。</t>
  </si>
  <si>
    <t>狠狠反驳社交媒体有罪论口牙</t>
  </si>
  <si>
    <t>社交媒体对青少年的心理健康有不良影响
：社交媒体上的很多内容像“电子鸦片”一样，具有极强的吸引力和成瘾性。是心理问题，这已经是一种集体成瘾了</t>
  </si>
  <si>
    <t>一般_x000D_
_x000D_
支持了观点，但强加因果，并且没有充分理解讨论的问题是社交媒体相比别的更有害这一隐含话题或是偷换概念，并且以偏概全</t>
  </si>
  <si>
    <t>基本无效_x000D_
_x000D_
如上</t>
  </si>
  <si>
    <t>试图驳斥</t>
  </si>
  <si>
    <t>一般_x000D_
_x000D_
相关不能证因果，每天使用社交媒体的时间/社交媒体的普及程度和焦虑水平可能受第三变量的作用。</t>
  </si>
  <si>
    <t>否_x000D_
_x000D_
提供的数据相关不能证因果，可能是焦虑水平高的青少年导致其更经常上社交平台。本材料的观点并不一定可靠。</t>
  </si>
  <si>
    <t>一般_x000D_
_x000D_
本材料的理由只是一种逻辑推断，其逻辑有一定的合理性，但是没有数据结果证明该理由是否正确。</t>
  </si>
  <si>
    <t>否_x000D_
_x000D_
本材料的观点与我完全一致，但理由不充分。</t>
  </si>
  <si>
    <t>一般_x000D_
_x000D_
存在逻辑漏洞，应当先论证青少年容易受社交媒体影响。否则要是青少年不容易受影响，社交媒体上发生的事也很难影响青少年。</t>
  </si>
  <si>
    <t>支持材料1，反驳材料2</t>
  </si>
  <si>
    <t>否_x000D_
_x000D_
材料存在逻辑漏洞，我只能将其作为参考。</t>
  </si>
  <si>
    <t>反驳材料1/3，支持材料2</t>
  </si>
  <si>
    <t>是_x000D_
_x000D_
7_x000D_
_x000D_
该材料逻辑严密，证明社交平台上的“乱象”其实在日常生活也存在，社交平台并不是影响心理健康的直接原因。</t>
  </si>
  <si>
    <t>不能支持_x000D_
_x000D_
样本量太小</t>
  </si>
  <si>
    <t>反驳材料1/3，支持材料2/4</t>
  </si>
  <si>
    <t>否_x000D_
_x000D_
材料的样本量太小，存在较大误差。</t>
  </si>
  <si>
    <t>观点：接受采访的5名青少年观点不能代表所有青少年，尤其是那些在社交媒体上遭遇负面经历（比如网络欺凌）的青少年。
理由：社交媒体确实为表达自我与艺术创作提供了自由的环境，但接受采访的5名青少年肯定其中比较出众的，他们愿意分享自己的积极体验，但这是一种假象。</t>
  </si>
  <si>
    <t>支持材料1/3，反驳材料2/4、5</t>
  </si>
  <si>
    <t>否_x000D_
_x000D_
未证明接受采访的5名青少年肯定其中比较出众的，存在逻辑漏洞。</t>
  </si>
  <si>
    <t>反驳材料1/3</t>
  </si>
  <si>
    <t>否_x000D_
_x000D_
本材料跟我质疑材料1的理由完全一致。</t>
  </si>
  <si>
    <t>一般_x000D_
_x000D_
存在逻辑漏洞，用观点证明观点。</t>
  </si>
  <si>
    <t>基本无效_x000D_
_x000D_
观点是关于说“社交媒体对青少年的心理健康没有不良影响”的人是否负责任，与主题无关。</t>
  </si>
  <si>
    <t>支持材料2/4/6，反驳材料1/3/5/7</t>
  </si>
  <si>
    <t>否_x000D_
_x000D_
存在逻辑漏洞</t>
  </si>
  <si>
    <t>观点是社交媒体对青少年的心理健康有负面影响，理由是这些数据</t>
  </si>
  <si>
    <t>不能支持_x000D_
_x000D_
相关不等于因果，可以很轻松的举出反例，比如也许是焦虑水平高的青少年更喜欢使用社交媒体，而造成他们焦虑的是其它原因</t>
  </si>
  <si>
    <t>否_x000D_
_x000D_
反对该观点</t>
  </si>
  <si>
    <t>观点是并不是使用社交媒体才导致了焦虑等的心理健康问题，青少年可能是因为感觉到焦虑才长时间呆在社交媒体上，理由是如果一个人在现实中和家人和朋友关系很好，他的心理问题能及时排解，又怎么会花4个小时在社交媒体上？</t>
  </si>
  <si>
    <t>一般_x000D_
_x000D_
观点的逻辑没问题，毕竟我上一个材料就是这么说的，但是理由有问题，一个人没有心理问题就不能花4个小时在社交媒体上吗？可见还是将社交媒体作为一个负面的东西来看待的</t>
  </si>
  <si>
    <t>一般_x000D_
_x000D_
主要还是反驳了上一则材料的观点，而对于主题的论述采用了很主观的说法（即如果一个人在现实中和家人和朋友关系很好，他的心理问题能及时排解，又怎么会花4个小时在社交媒体上？）</t>
  </si>
  <si>
    <t>反驳了材料二，指出了相关不等于因果的问题</t>
  </si>
  <si>
    <t>否_x000D_
_x000D_
我提出自己的观点时也考虑到了</t>
  </si>
  <si>
    <t>观点是长时间使用社交媒体必然会导致青少年焦虑，理由是因为社交媒体上普遍存在“比较文化”，加上铺天盖地的“完美生活”的展示，会让青少年对自己的生活感到不满，降低幸福感和自尊心，导致社交退缩、自我怀疑，最终引发心理健康危机</t>
  </si>
  <si>
    <t>不能支持_x000D_
_x000D_
普遍存在不意味着“必然”，同时，存在比较文化也并不意味着青少年会因此而引发心理健康危机，毕竟社交媒体是及其多元化的，存在“比较文化”，同样也存在“反比较文化”，有人在制造焦虑，同时也有人在帮助人们减少焦虑</t>
  </si>
  <si>
    <t>基本无效_x000D_
_x000D_
跟主题密切相关，但是观点本身有问题</t>
  </si>
  <si>
    <t>为材料一的观点提出了理论性的证据，为材料二的“相关不等于因果”的说法提供了存在因果关系的理由</t>
  </si>
  <si>
    <t>观点是对大多数青少年而言，使用社交媒体对心理健康不会产生负面影响，理由是大多数青少年对社交媒体的使用是适度的，那些每天使用超过4小时的人的心理健康可能本身存在一些问题</t>
  </si>
  <si>
    <t>反驳了材料二，指出了材料二中的问题</t>
  </si>
  <si>
    <t>否_x000D_
_x000D_
更坚持了我的观点，因为材料看到现在发现基本全是主观看法之间的辩论，互联网的特点就是太大了，你的社交媒体和我的社交媒体的内容都是不一样的，自然就会出现分歧，所以要对此有一个“普适”的观点是很难的，需要仔细审慎的研究，但是互联网还有一个特点是太快了，等你审慎地研究过后已经变了，所以我选择站在中间的立场</t>
  </si>
  <si>
    <t>观点是社交媒体对青少年的心理健康存在积极影响，理由是青少年可以在这里找到支持和理解自己的人，并举了一个例子</t>
  </si>
  <si>
    <t>充分支持_x000D_
_x000D_
非常支持，因为都是在阐述事实，没什么好辩驳的</t>
  </si>
  <si>
    <t>非常有效_x000D_
_x000D_
实际上并没有对于负面影响做出反驳，而是提到了积极影响的部分，完善了思考的角度</t>
  </si>
  <si>
    <t>否_x000D_
_x000D_
考虑到了这个观点</t>
  </si>
  <si>
    <t>观点是接受采访的五名青少年的观点不能代表所有青少年尤其是那些在社交媒体上遭遇负面经历（比如网络欺凌）的青少年。理由是他们肯定是青少年中比较出众的，他们愿意分享自己的积极体验</t>
  </si>
  <si>
    <t>反驳了材料五，指出了材料五中以偏概全的问题，但实际上材料五并没有“概全”</t>
  </si>
  <si>
    <t>否_x000D_
_x000D_
上题考虑到了</t>
  </si>
  <si>
    <t>观点是社交媒体并不是导致青少年心理问题的真正原因，而只是“背锅”的对象，理由是这些青少年对自己的家庭关系和朋友关系质量的评价都比较低</t>
  </si>
  <si>
    <t>为材料二的观点“如果一个人在现实中和家人和朋友关系很好，他的心理问题能及时排解，又怎么会花4个小时在社交媒体上？”提供⽀持和解释</t>
  </si>
  <si>
    <t>否_x000D_
_x000D_
该观点存在问题</t>
  </si>
  <si>
    <t>观点是认为社交媒体对青少年的心理健康没有不良影响是不负责任的，理由是社交媒体上的很多内容像“电子鸦片”一样，具有极强的吸引力和成瘾性</t>
  </si>
  <si>
    <t>一般_x000D_
_x000D_
成瘾性确实是一种严重的不良影响，但是是否产生了负面影响是相对的，也就是和原来相比怎么样，如果没有社交媒体的话，那我们就不会对什么别的东西成瘾吗？</t>
  </si>
  <si>
    <t>一般_x000D_
_x000D_
观点本身存在一定问题</t>
  </si>
  <si>
    <t>是_x000D_
_x000D_
4_x000D_
_x000D_
没考虑到成瘾性的问题，从这个角度来看好像负面影响会多一点，但我没时间细说了</t>
  </si>
  <si>
    <t>观点：社交媒体对青少年的心理健康有负面影响
理由：有研究调查了1000多名青少年，发现那些每天使用社交媒体超过4小时的青少年的焦虑水平比其它青少年更高。而且近10年的数据也显示，随着社交媒体的普及，存在心理问题的青少年比例也逐年增高。</t>
  </si>
  <si>
    <t>一般_x000D_
_x000D_
逻辑存在漏洞，虽然近10年的数据也显示，随着社交媒体的普及，存在心理问题的青少年比例逐年增高，但这可能是由于其他原因所引起的，比如学业负担加重等等。</t>
  </si>
  <si>
    <t>否_x000D_
_x000D_
我认为观点逻辑有漏洞，不可信。</t>
  </si>
  <si>
    <t>观点：青少年可能是因为感觉到焦虑才长时间呆在社交媒体上，而不是因为使用社交媒体才导致了焦虑等的心理健康问题。
理由：如果一个人在现实中和家人和朋友关系很好，他的心理问题能及时排解，又怎么会花4个小时在社交媒体上？</t>
  </si>
  <si>
    <t>一般_x000D_
_x000D_
理由没有事实和科学依据支撑。</t>
  </si>
  <si>
    <t>一般_x000D_
_x000D_
观点合理，青少年心理健康问题和社交媒体使用时间存在相关性而非因果。</t>
  </si>
  <si>
    <t>反驳了材料一，青少年可能是因为感觉到焦虑才长时间呆在社交媒体上，而不是因为使用社交媒体才导致了焦虑等的心理健康问题。</t>
  </si>
  <si>
    <t>否_x000D_
_x000D_
青少年心理健康问题和社交媒体使用时间存在相关性而非因果</t>
  </si>
  <si>
    <t>一般_x000D_
_x000D_
逻辑虽然合理但没有科学依据。</t>
  </si>
  <si>
    <t>一般_x000D_
_x000D_
观点存在偏见，青少年焦虑的原因可能是多方面的，并不能将焦虑的原因直接怪罪到社交媒体上。</t>
  </si>
  <si>
    <t>支持了材料一。</t>
  </si>
  <si>
    <t>否_x000D_
_x000D_
观点存在偏见，青少年焦虑的原因可能是多方面的，并不能将焦虑的原因直接怪罪到社交媒体上。</t>
  </si>
  <si>
    <t>观点：大多数青少年对社交媒体的使用是适度的，使用社交媒体对心理健康不会产生负面影响。
理由：那些每天使用超过4小时的人的心理健康可能本身存在一些问题。</t>
  </si>
  <si>
    <t xml:space="preserve">支持了材料二
</t>
  </si>
  <si>
    <t>否_x000D_
_x000D_
理由没有直接对观点进行证明，存在推理的错误。</t>
  </si>
  <si>
    <t>观点：社交媒体对青少年的心理健康存在积极影响
理由：青少年可以在这里找到支持和理解自己的人</t>
  </si>
  <si>
    <t>非常有效_x000D_
_x000D_
观点与主题关系密切</t>
  </si>
  <si>
    <t>否_x000D_
_x000D_
材料和我的观点立场相符合</t>
  </si>
  <si>
    <t>观点：接受采访的5名青少年肯定其中比较出众的，他们愿意分享自己的积极体验，但这是一种假象
理由：他们观点不能代表所有青少年，尤其是那些在社交媒体上遭遇负面经历（比如网络欺凌）的青少年。</t>
  </si>
  <si>
    <t>否
并没有直接证据说明社交媒体对青少年的心理健康有着负面的影响。</t>
  </si>
  <si>
    <t>观点：社交媒体并不是导致青少年心理问题的真正原因，而只是“背锅”的对象。
理由：虽然调查发现，每天使用社交媒体超过4小时的青少年具有更高的焦虑水平，但如果把他们的人际关系也考虑在内就会发现，这些青少年对自己的家庭关系和朋友关系质量的评价都比较低。</t>
  </si>
  <si>
    <t>为材料二提供了解释和支持。</t>
  </si>
  <si>
    <t>否_x000D_
_x000D_
观点与立场一致</t>
  </si>
  <si>
    <t>观点：认为社交媒体对青少年的心理健康没有不良影响是不负责任的
理由：社交媒体上的很多内容像“电子鸦片”一样，具有极强的吸引力和成瘾性。如果成瘾都不算心理问题，那什么才算？而且现在很多人都在使用社交媒体，所以这已经是一种集体成瘾了</t>
  </si>
  <si>
    <t>不能支持_x000D_
_x000D_
理由并没有用到科学依据。</t>
  </si>
  <si>
    <t>基本无效_x000D_
_x000D_
观点主观性强烈，有着明显的偏见。</t>
  </si>
  <si>
    <t>支持了材料一</t>
  </si>
  <si>
    <t>充分支持_x000D_
_x000D_
这段材料确实通过数据说明了社交媒体使用与焦虑水平的关系。</t>
  </si>
  <si>
    <t>否_x000D_
_x000D_
这个东西我之前看过，基本差不多。</t>
  </si>
  <si>
    <t>一般_x000D_
_x000D_
使用社交媒体很可能是一种趋势，与心理健康本身可能无关。需要理清楚因果关系。</t>
  </si>
  <si>
    <t>一般_x000D_
_x000D_
观点看起来是合理的，但是需要进一步检验。</t>
  </si>
  <si>
    <t>反驳了材料1的因果关系。</t>
  </si>
  <si>
    <t>否_x000D_
_x000D_
我觉得使用时间与常人有异才有可能能说明问题。</t>
  </si>
  <si>
    <t>一般_x000D_
_x000D_
长时间使用社交媒体“不必然”会导致青少年焦虑。</t>
  </si>
  <si>
    <t>一般_x000D_
_x000D_
观点和主题是紧密相关的，社会比较理论也能支持这个论点，但是这段材料依旧不能说明社交媒体使用与青少年焦虑之间的因果关系。</t>
  </si>
  <si>
    <t>反驳了材料2，支持了材料1的因果关系。</t>
  </si>
  <si>
    <t>否_x000D_
_x000D_
长时间使用社交媒体“不必然”会导致青少年焦虑。</t>
  </si>
  <si>
    <t>观点：所以，对大多数青少年而言，使用社交媒体对心理健康不会产生负面影响。
理由：比较文化随处都有，不只是社交媒体上才有。此外，大多数青少年对社交媒体的使用是适度的，那些每天使用超过4小时的人的心理健康可能本身存在一些问题。</t>
  </si>
  <si>
    <t>反驳了材料3的比较文化，同时还提出了“时长超过四小时”与心理问题的联系的新观点。</t>
  </si>
  <si>
    <t>否_x000D_
_x000D_
并没有改变我的看法。</t>
  </si>
  <si>
    <t>不能支持_x000D_
_x000D_
这种积极影响可能是少数人才能够获得的，或者是偶然的。</t>
  </si>
  <si>
    <t>基本无效_x000D_
_x000D_
观点基本与主题相关，但是并不能说明社交媒体存在大量的积极影响。</t>
  </si>
  <si>
    <t>反驳了材料1 2 3 4的观点，即社交媒体使用能带来积极影响。</t>
  </si>
  <si>
    <t>否_x000D_
_x000D_
材料太以偏概全了。</t>
  </si>
  <si>
    <t>反驳材料5的内容，同时提出了网络欺凌的观点。</t>
  </si>
  <si>
    <t>否_x000D_
_x000D_
本材料理由和材料5同样不具有说服力。</t>
  </si>
  <si>
    <t>反驳了材料1，说明了“背锅”现象。</t>
  </si>
  <si>
    <t>否_x000D_
_x000D_
这段材料并不能有效的说明问题，但是又和自己的观点有相关。</t>
  </si>
  <si>
    <t>不能支持_x000D_
_x000D_
成瘾是有严格的定义的，使用社交媒体不代表对社交媒体成瘾，应该还是得从使用时长和心理健康本身来做分析。</t>
  </si>
  <si>
    <t>基本无效_x000D_
_x000D_
观点和主题本身并没有太大的关联，“成瘾”和“心理健康”并不属于同一范畴。</t>
  </si>
  <si>
    <t>反驳了材料5，同时提出了社交媒体可能具有成瘾性的问题。</t>
  </si>
  <si>
    <t>否_x000D_
_x000D_
过于以偏概全了。</t>
  </si>
  <si>
    <t>一般_x000D_
_x000D_
不能充分支持。有漏洞。因果关系不太对。也有可能是本身焦虑水平高的青少年使用社交媒体超过4h，而不是因为4h使用所以焦虑水平更高。</t>
  </si>
  <si>
    <t>否_x000D_
_x000D_
不足以证明有负面影响。</t>
  </si>
  <si>
    <t>一般_x000D_
_x000D_
不够充分支持。无法说明使用时长和焦虑等心理健康问题之间的因果关系。</t>
  </si>
  <si>
    <t>一般_x000D_
_x000D_
相关，但无法说明因果关系，所以无法判断谁是因谁是果。</t>
  </si>
  <si>
    <t>否_x000D_
_x000D_
材料1时考虑到了该情况。</t>
  </si>
  <si>
    <t>一般_x000D_
_x000D_
不能充分支持。无法说明是必然情况。也可能会因这些展示而促进积极心理，积极心态，促进个人发展。</t>
  </si>
  <si>
    <t>一般_x000D_
_x000D_
相关，但说法太绝对，有偏见。这些展示如果使用恰当，本身也有积极作用。</t>
  </si>
  <si>
    <t>否_x000D_
_x000D_
具体情况需要具体分析，既有积极意义也有负面影响，它因使用者的不同而又不一样的效果。</t>
  </si>
  <si>
    <t>观点：对大多数青少年而言，使用社交媒体对心理健康不会产生负面影响。比较文化随处都有，不只是社交媒体上才有。大多数青少年对社交媒体的使用是适度的。
理由：比较文化随处都有，不只是社交媒体上才有。大多数青少年对社交媒体的使用是适度的。那些每天使用超过4小时的人的心理健康可能本身存在一些问题。</t>
  </si>
  <si>
    <t>否_x000D_
_x000D_
具体情况具体分析，时间适度不代表内容没问题。</t>
  </si>
  <si>
    <t>一般_x000D_
_x000D_
不够充分，因为有可能这5名青少年博主本身就是能量很好，内心很强大的人。所以他们吸引到的也是鼓励和认可他们的人们。但不代表每个人都能在网上找到支持和理解自己的人。</t>
  </si>
  <si>
    <t>一般_x000D_
_x000D_
有关，但存在问题。不是每个青少年都能在这里找到支持和理解自己的人，也有网暴情况出现。如果有这样的情况，则会更加伤害他们。</t>
  </si>
  <si>
    <t>否_x000D_
_x000D_
没有变化，具体情况具体分析。不同情况带来的影响不同。</t>
  </si>
  <si>
    <t>观点：社交媒体确实为表达自我与艺术创作提供了自由的环境。他们观点不能代表所有青少年。尤其是那些在社交媒体上遭遇负面经历（比如网络欺凌）的青少年。
理由：受采访的5名青少年肯定其中比较出众的，他们愿意分享自己的积极体验，但这是一种假象。</t>
  </si>
  <si>
    <t>否_x000D_
_x000D_
在材料5时考虑到了该情况。</t>
  </si>
  <si>
    <t>反驳材料1。</t>
  </si>
  <si>
    <t>否_x000D_
_x000D_
材料2时有提到该情况。</t>
  </si>
  <si>
    <t>一般_x000D_
_x000D_
不够充分。究竟是否对每个人来说是电子鸦片这点有待考证。说法过于绝对。成瘾也不代表一定是心理问题。有点混淆概念。</t>
  </si>
  <si>
    <t>一般_x000D_
_x000D_
相关。但有偏见。社交媒体对心理健康有影响，但是否是不良还是积极的都需要根据不同人来不同分析。</t>
  </si>
  <si>
    <t>反驳材料7。</t>
  </si>
  <si>
    <t>否_x000D_
_x000D_
该材料说法过于绝对。</t>
  </si>
  <si>
    <t>观点：社交媒体对青少年的心理健康有负面影响
理由：1.有研究调查了1000多名青少年，发现那些每天使用社交媒体超过4小时的青少年的焦虑水平比其它青少年更高 2.且近10年的数据也显示，随着社交媒体的普及，存在心理问题的青少年比例也逐年增高</t>
  </si>
  <si>
    <t>不能支持_x000D_
_x000D_
这两个理由均指出了其相关性，没有表明其因果性，所以不能妄下结论。</t>
  </si>
  <si>
    <t>否_x000D_
_x000D_
本材料说服性低，不具有参考价值。</t>
  </si>
  <si>
    <t>不能支持_x000D_
_x000D_
本反问只是逻辑上的推理，不具有说服力。</t>
  </si>
  <si>
    <t>一般_x000D_
_x000D_
从相关性不能代表因果性的角度反驳了支持观点</t>
  </si>
  <si>
    <t>反驳了材料1，但未能给出有力论证。</t>
  </si>
  <si>
    <t>否_x000D_
_x000D_
论证不够有力。</t>
  </si>
  <si>
    <t>一般_x000D_
_x000D_
阐释了导致青少年心理焦虑的具体路劲和机制</t>
  </si>
  <si>
    <t>基本无效_x000D_
_x000D_
观点太过绝对和偏激，让人很难信服</t>
  </si>
  <si>
    <t>本材料为支持产生负面影响提出了新观点，即阐述其具体的作用机制。</t>
  </si>
  <si>
    <t>否_x000D_
_x000D_
与我的立场相符，但观点偏激。</t>
  </si>
  <si>
    <t>观点：对大多数青少年而言，使用社交媒体对心理健康不会产生负面影响.
理由：比较文化随处都有，不只是社交媒体上才有。此外，大多数青少年对社交媒体的使用是适度的，那些每天使用超过4小时的人的心理健康可能本身存在一些问题。</t>
  </si>
  <si>
    <t>本材料反驳了材料3，并指出其中“比较文化”存在的问题。</t>
  </si>
  <si>
    <t>否_x000D_
_x000D_
论证没有说服力，缺乏现实数据支持。</t>
  </si>
  <si>
    <t>社交媒体对青少年的心理健康存在积极影响，因为青少年可以在这里找到支持和理解自己的人</t>
  </si>
  <si>
    <t>不能支持_x000D_
_x000D_
新闻报道不是科学研究，存在个案见证和选择性报道偏差，以偏概全，不具有说服力。</t>
  </si>
  <si>
    <t>基本无效_x000D_
_x000D_
观点与主题密切相关，并具有现实基础，但偏离本论点，存在正面影响不代表负面影响就不存在。</t>
  </si>
  <si>
    <t>在已有材料的基础上提出了⼀个新的观点，即社交媒体对青少年的心理健康存在积极影响，因为青少年可以在这里找到支持和理解自己的人。</t>
  </si>
  <si>
    <t>否_x000D_
_x000D_
没有反驳负面影响，论证不够有力。</t>
  </si>
  <si>
    <t>观点：他们观点不能代表所有青少年，尤其是那些在社交媒体上遭遇负面经历（比如网络欺凌）的青少年
理由：接受采访的5名青少年肯定其中比较出众的，他们愿意分享自己的积极体验</t>
  </si>
  <si>
    <t>反驳了材料5，指出了其选择性报道和幸存者偏差的问题。</t>
  </si>
  <si>
    <t>否_x000D_
_x000D_
不具有参考价值。</t>
  </si>
  <si>
    <t>支持了材料4的观点，并提出了调查结果来支持材料4</t>
  </si>
  <si>
    <t>否_x000D_
_x000D_
论证无效</t>
  </si>
  <si>
    <t>观点：社交媒体对青少年的心理健康有不良影响
理由：社交媒体上的很多内容像“电子鸦片”一样，具有极强的吸引力和成瘾性，很多人都在使用社交媒体，所以这已经是一种集体成瘾</t>
  </si>
  <si>
    <t>不能支持_x000D_
_x000D_
类比错误，不具有有效性，过于主观和集体价值声讨，是无效论证。</t>
  </si>
  <si>
    <t>基本无效_x000D_
_x000D_
个人情感色彩太重，主观性太强，完全偏离主题</t>
  </si>
  <si>
    <t>没有关系</t>
  </si>
  <si>
    <t>否_x000D_
_x000D_
个人情感和价值声讨不具有参考意义。</t>
  </si>
  <si>
    <t>观点是社交媒体对青少年的心理健康有负面影响；理论是有研究调查了1000多名青少年，发现那些每天使用社交媒体超过4小时的青少年的焦虑水平比其它青少年更高。而且近10年的数据也显示，随着社交媒体的普及，存在心理问题的青少年比例也逐年增高。</t>
  </si>
  <si>
    <t>一般_x000D_
_x000D_
理由说明青少年的焦虑水平和心理问题随着社交媒体的使用和普及而上升，但不好排除是对于电子设备本身的使用或是网络化还是社交媒体本省引起的焦虑或心理问题</t>
  </si>
  <si>
    <t>否_x000D_
_x000D_
材料说明了研究显示的过度使用社交媒体的青少年的问题，但忽视了少量使用社交媒体可能带来的正向影响</t>
  </si>
  <si>
    <t>观点是青少年可能是因为感觉到焦虑才长时间呆在社交媒体上，而不是因为使用社交媒体才导致了焦虑等的心理健康问题；理由是如果一个人在现实中和家人和朋友关系很好，他的心理问题能及时排解，又怎么会花4个小时在社交媒体上？</t>
  </si>
  <si>
    <t>一般_x000D_
_x000D_
逻辑有漏洞，并不是只有焦虑才会有人愿意花时间在社交媒体上，在现实中充实的人同样愿意使用社交媒体</t>
  </si>
  <si>
    <t>非常有效_x000D_
_x000D_
观点反驳了材料1认为的使用社交媒体引起的焦虑，认为可能具有相反的因果关系</t>
  </si>
  <si>
    <t>否_x000D_
_x000D_
其反驳了材料一，但也只是提出了一种可能性，不能说明社交媒体的使用和心理疾病之间的因果关系</t>
  </si>
  <si>
    <t>观点是长时间使用社交媒体必然会导致青少年焦虑；理由是因为社交媒体上普遍存在“比较文化”，加上铺天盖地的“完美生活”的展示，会让青少年对自己的生活感到不满，降低幸福感和自尊心，导致社交退缩、自我怀疑，最终引发心理健康危机。</t>
  </si>
  <si>
    <t>一般_x000D_
_x000D_
社交媒体上普遍存在的“比较文化”不是只能带来生活不满的结果，也可能是一种青少年的电子动力，使得青少年在成功后得到正反馈导致高自尊</t>
  </si>
  <si>
    <t>一般_x000D_
_x000D_
观点与主题紧密相关，但存在偏见，并不是长时间的使用就会带来负面效果</t>
  </si>
  <si>
    <t>否_x000D_
_x000D_
观点支持我的立场，但理由不充分</t>
  </si>
  <si>
    <t>观点是对大多数青少年而言，使用社交媒体对心理健康不会产生负面影响。；理由是比较文化随处都有，不只是社交媒体上才有。此外，大多数青少年对社交媒体的使用是适度的，那些每天使用超过4小时的人的心理健康可能本身存在一些问题。</t>
  </si>
  <si>
    <t>是_x000D_
_x000D_
5_x000D_
_x000D_
社交媒体的适度使用本身并不具有负面的影响，但过度使用与心理疾病的因果关系并不能界定完全</t>
  </si>
  <si>
    <t>观点是社交媒体对青少年的心理健康存在积极影响；理由是因为青少年可以在这里找到支持和理解自己的人。有记者采访了某社交媒体的5名青少年博主，他们表示，自己表达的观点和创作的作品获得了很多网友的鼓励和认可，感到自己被理解也更自信了。</t>
  </si>
  <si>
    <t>一般_x000D_
_x000D_
存在一些青少年在社交媒体的使用过程中得到理解和自信，但不能说明大多数的人们都得到了正面的影响</t>
  </si>
  <si>
    <t>非常有效_x000D_
_x000D_
通过对社交媒体带来的正面影响，反驳其对心理健康就一定产生负面影响</t>
  </si>
  <si>
    <t>否_x000D_
_x000D_
体现了社交媒体的正向影响的存在，但难以说明负面影响就不存在了</t>
  </si>
  <si>
    <t>观点是他们观点不能代表所有青少年，尤其是那些在社交媒体上遭遇负面经历（比如网络欺凌）的青少年；理由是社交媒体确实为表达自我与艺术创作提供了自由的环境，但接受采访的5名青少年肯定其中比较出众的，他们愿意分享自己的积极体验，但这是一种假象</t>
  </si>
  <si>
    <t>否_x000D_
_x000D_
说明负面影响可能才是社交媒体的常态，而正面例子稀少</t>
  </si>
  <si>
    <t>观点是社交媒体并不是导致青少年心理问题的真正原因，而只是“背锅”的对象；理由是虽然调查发现，每天使用社交媒体超过4小时的青少年具有更高的焦虑水平，但如果把他们的人际关系也考虑在内就会发现，这些青少年对自己的家庭关系和朋友关系质量的评价都比较低。</t>
  </si>
  <si>
    <t>否_x000D_
_x000D_
观点和理由不够充分</t>
  </si>
  <si>
    <t>观点是认为社交媒体对青少年的心理健康没有不良影响是不负责任的；理由是社交媒体上的很多内容像“电子鸦片”一样，具有极强的吸引力和成瘾性。如果成瘾都不算心理问题，那什么才算？而且现在很多人都在使用社交媒体，所以这已经是一种集体成瘾了。</t>
  </si>
  <si>
    <t>充分支持_x000D_
_x000D_
说明社交媒体的现状是一种“电子鸦片”而这种内容的呈现必然就会带来一定的对于心理健康的影响</t>
  </si>
  <si>
    <t>非常有效_x000D_
_x000D_
观点合理，对于社交媒体的过分乐观是不可取的</t>
  </si>
  <si>
    <t>是_x000D_
_x000D_
4_x000D_
_x000D_
社交媒体对于青少年的影响是潜移默化的，并不能一下子定义为无法带来持久性的伤害</t>
  </si>
  <si>
    <t>观点：社交媒体对青少年心理健康存在负面的影响
理由；每天使用社交媒体超过4小时的青少年的焦虑水平比其它青少年更高</t>
  </si>
  <si>
    <t>一般_x000D_
_x000D_
“随着社交媒体的普及，存在心理问题的青少年比例也逐年增高”只有相关关系，而无因果关系</t>
  </si>
  <si>
    <t>否_x000D_
_x000D_
无法说明社交媒体时长与焦虑水平之间的因果关系</t>
  </si>
  <si>
    <t>观点：社交媒体对青少年的心理健康无负面影响
理由：青少年可能是因为感觉到焦虑才长时间呆在社交媒体上</t>
  </si>
  <si>
    <t>一般_x000D_
_x000D_
没有说明社交媒体对青少年的心理健康的具体影响。</t>
  </si>
  <si>
    <t>一般_x000D_
_x000D_
如果青少年的心理问题能及时排解，不一定就不会花4个小时在社交媒体上</t>
  </si>
  <si>
    <t>反驳了材料1，认为青少年可能是因为感觉到焦虑才长时间呆在社交媒体上</t>
  </si>
  <si>
    <t>否_x000D_
_x000D_
社交媒体时长增加不一定导致焦虑水平提高。</t>
  </si>
  <si>
    <t>观点：社交媒体对青少年的心理健康有负面影响
理由：社交媒体上普遍存在“比较文化”</t>
  </si>
  <si>
    <t>不能支持_x000D_
_x000D_
以偏概全，社交媒体上不只有“完美生活”的展示</t>
  </si>
  <si>
    <t>基本无效_x000D_
_x000D_
对于青少年的价值观存在偏见</t>
  </si>
  <si>
    <t>在已有材料的基础上提出了⼀个新的观点，社交媒体上普遍存在“比较文化”，造成了青少年的心理健康水平下降</t>
  </si>
  <si>
    <t>否_x000D_
_x000D_
无实际证据</t>
  </si>
  <si>
    <t>观点：社交媒体对青少年的心理健康无负面影响
理由；对大多数青少年而言，对社交媒体的使用是适度的，对心理健康不会产生负面影响。</t>
  </si>
  <si>
    <t>反驳了材料3，认为比较文化随处都有</t>
  </si>
  <si>
    <t>否_x000D_
_x000D_
该材料反驳了材料3</t>
  </si>
  <si>
    <t>观点：社交媒体对青少年的心理健康无负面影响</t>
  </si>
  <si>
    <t>一般_x000D_
_x000D_
采访了某社交媒体的5名青少年博主，不适用于大多数普通青少年</t>
  </si>
  <si>
    <t>一般_x000D_
_x000D_
采访被试数少，无法得出具体结论</t>
  </si>
  <si>
    <t>在已有材料的基础上提出了⼀个新的观点，社交媒体对青少年的心理健康存在积极影响</t>
  </si>
  <si>
    <t>否_x000D_
_x000D_
社交媒体对青少年的心理健康存在一定的积极影响</t>
  </si>
  <si>
    <t>观点：社交媒体对青少年的心理健康有负面影响
理由：在社交媒体上遭遇负面经历的青少年不愿分享自己的体验</t>
  </si>
  <si>
    <t>反驳了材料5，认为采访的5名青少年的观点不能代表所有青少年</t>
  </si>
  <si>
    <t>观点：社交媒体对青少年的心理健康无负面影响
理由：人际关系是导致青少年心理问题的真正原因</t>
  </si>
  <si>
    <t>反驳了材料1，支持了材料2</t>
  </si>
  <si>
    <t>否_x000D_
_x000D_
说明焦虑水平提高不一定是由社交媒体造成的</t>
  </si>
  <si>
    <t>观点：社交媒体对青少年的心理健康有负面影响
理由：社交媒体具有极强的吸引力和成瘾性</t>
  </si>
  <si>
    <t>不能支持_x000D_
_x000D_
社交媒体上也有许多有益内容。并不是许多人使用就是集体成瘾。</t>
  </si>
  <si>
    <t>基本无效_x000D_
_x000D_
对社交媒体上的内容存在偏见，对于“成瘾”的定义不清晰。</t>
  </si>
  <si>
    <t>在已有材料的基础上提出了⼀个新的观点：社交媒体具有极强的吸引力和成瘾性</t>
  </si>
  <si>
    <t>否_x000D_
_x000D_
定义不清晰，无有效结论。</t>
  </si>
  <si>
    <t>充分支持_x000D_
_x000D_
理由充分且有效，无逻辑漏洞。</t>
  </si>
  <si>
    <t>否_x000D_
_x000D_
支持我的立场。</t>
  </si>
  <si>
    <t>不能支持_x000D_
_x000D_
理由不能有效支持观点，难道没有心理问题的青少年就不能花四个小时在社交媒体上了?</t>
  </si>
  <si>
    <t>一般_x000D_
_x000D_
观点倒打一耙，但毫无根据。</t>
  </si>
  <si>
    <t>反驳了上面的材料。</t>
  </si>
  <si>
    <t>否_x000D_
_x000D_
还是坚定我的立场，因为这个材料毫无价值。</t>
  </si>
  <si>
    <t>为材料一提供支持与解释。</t>
  </si>
  <si>
    <t>否_x000D_
_x000D_
材料和我的观点一致。</t>
  </si>
  <si>
    <t>反驳了材料三，指出了其中比较文化的问题。</t>
  </si>
  <si>
    <t>是_x000D_
_x000D_
5_x000D_
_x000D_
说的很合理，对支持社交媒体对青少年的心理健康产生了负面影响的程度小了一些。</t>
  </si>
  <si>
    <t>不能支持_x000D_
_x000D_
以偏概全，青少年博主不能代表全部青少年。</t>
  </si>
  <si>
    <t>非常有效_x000D_
_x000D_
观点有效，与主题相关，但不合理。</t>
  </si>
  <si>
    <t>否_x000D_
_x000D_
材料理由完全不合理。</t>
  </si>
  <si>
    <t>接受采访的五名青少年不能代表所有青少年，尤其是那些在社交媒体上遭遇负面经历（比如网络欺凌）的青少年。</t>
  </si>
  <si>
    <t>反驳了材料五，指出了材料五中的问题。</t>
  </si>
  <si>
    <t>否_x000D_
_x000D_
材料合理。</t>
  </si>
  <si>
    <t>是_x000D_
_x000D_
6_x000D_
_x000D_
说服我了。</t>
  </si>
  <si>
    <t>充分支持_x000D_
_x000D_
充分支持。</t>
  </si>
  <si>
    <t>非常有效_x000D_
_x000D_
合理，和主题紧密相关。</t>
  </si>
  <si>
    <t>反驳了支持社交媒体对青少年的心理健康没有不良影响的材料</t>
  </si>
  <si>
    <t>否_x000D_
_x000D_
措辞激动，情绪化，不具说服力。</t>
  </si>
  <si>
    <t>观点：社交媒体导致青少年焦虑水平升高，心理问题增多
理由：调查研究和近十年的数据</t>
  </si>
  <si>
    <t>不能支持_x000D_
_x000D_
第一个理由样本量够，但是没有说明使用的是什么社交媒体，以偏概全了——不是所有社交媒体都有害，也不是所有的都有利
第二个理由完全没用：在近十年中，随着社交媒体的发展，有许多东西同样在发展：家庭经济条件、学业压力……青少年的心理问题很有可能是这些其他问题导致的，相关不能表示因果</t>
  </si>
  <si>
    <t>否_x000D_
_x000D_
论证有问题</t>
  </si>
  <si>
    <t>观点：是焦虑的青少年更多地使用社交媒体，而不是更多的社交媒体时间导致焦虑
理由；如果一个人在现实中和家人和朋友关系很好，他的心理问题能及时排解，就不会在社交媒体上划分很多时间</t>
  </si>
  <si>
    <t>一般_x000D_
_x000D_
只是想象，没有实证研究的证据</t>
  </si>
  <si>
    <t>非常有效_x000D_
_x000D_
观点和主题紧密相关，合理</t>
  </si>
  <si>
    <t>反驳了材料1：材料1认为社交媒体导致了青少年的心理问题，而材料2认为这种关系是反过来的
从另一个角度为青少年心理问题提供了解释</t>
  </si>
  <si>
    <t>否_x000D_
_x000D_
观点很好，但理由不充足</t>
  </si>
  <si>
    <t>观点：长时间使用社交媒体必然会导致青少年焦虑
理由：社交媒体上的比较文化和完美生活会引发青少年的心理问题</t>
  </si>
  <si>
    <t>不能支持_x000D_
_x000D_
首先，不是所有社交媒体上都普遍存在“比较文化”，和“完美生活”；其次，即使如此，也不一定会造成焦虑的影响</t>
  </si>
  <si>
    <t>一般_x000D_
_x000D_
观点和主题紧密相关，但过于绝对</t>
  </si>
  <si>
    <t>在材料1的基础上进一步论证社交媒体使青少年焦虑的原因</t>
  </si>
  <si>
    <t>是_x000D_
_x000D_
5_x000D_
_x000D_
尽管逻辑并不正确，但这和我的生活相似</t>
  </si>
  <si>
    <t>观点：使用社交媒体对心理健康不会产生负面影响。
理由：不只是社交媒体上才有比较文化；使用社交媒体时间过长的人本身就有问题，大部分不会用那么长时间</t>
  </si>
  <si>
    <t>反驳了材料3，进一步在材料2的基础上进行了论证</t>
  </si>
  <si>
    <t>否_x000D_
_x000D_
与我的预期相符</t>
  </si>
  <si>
    <t>观点：社交媒体对青少年的心理健康存在积极影响
理由：某社交媒体的5名青少年博主感到鼓励和认可</t>
  </si>
  <si>
    <t>一般_x000D_
_x000D_
5个人太少了
只针对一个平台，没有代表性，可能还存在其他对青少年有害的平台</t>
  </si>
  <si>
    <t>一般_x000D_
_x000D_
与主题紧密相关，但坑你会以偏概全</t>
  </si>
  <si>
    <t>反驳了材料1、3，提出了新的观点：社交媒体对青少年的心理健康存在积极影响</t>
  </si>
  <si>
    <t>否_x000D_
_x000D_
小样本代表性差</t>
  </si>
  <si>
    <t>观点：社交媒体对青少年的积极作用是假象
理由：接受采访的5名青少年肯定其中比较出众的，他们观点不能代表所有青少年，尤其是那些在社交媒体上遭遇负面经历（比如网络欺凌）的青少年。</t>
  </si>
  <si>
    <t>观点：社交媒体对青少年的心理健康产生了负面影响
理由：社交媒使青少年成瘾，而成瘾是心理问题</t>
  </si>
  <si>
    <t>不能支持_x000D_
_x000D_
很多人都在使用社交媒体不能说是集体成瘾：如果所有人每天都用一分钟，那也不是成瘾</t>
  </si>
  <si>
    <t>一般_x000D_
_x000D_
通过论证成瘾是心理问题——社交媒体上的东西让人成瘾、很多人用社交媒体——社交媒体导致心理问题来与主题相关，但这个逻辑链并不一定成立
坑你对社交媒体存在偏见</t>
  </si>
  <si>
    <t>提出了新观点：成瘾</t>
  </si>
  <si>
    <t>否_x000D_
_x000D_
对我没有影响</t>
  </si>
  <si>
    <t>社交媒体对青少年的心理健康有负面影响。有研究调查了1000多名青少年，发现那些每天使用社交媒体超过4小时的青少年的焦虑水平比其它青少年更高。而且近10年的数据也显示，随着社交媒体的普及，</t>
  </si>
  <si>
    <t>一般_x000D_
_x000D_
相关不能确定因果</t>
  </si>
  <si>
    <t>不能支持_x000D_
_x000D_
相关不能说明因果</t>
  </si>
  <si>
    <t>一般_x000D_
_x000D_
不是很有效</t>
  </si>
  <si>
    <t>长时间使用社交媒体必然会导致青少年焦虑</t>
  </si>
  <si>
    <t>不能支持_x000D_
_x000D_
没有必然导致</t>
  </si>
  <si>
    <t>充分支持_x000D_
_x000D_
高度支持</t>
  </si>
  <si>
    <t>社交媒体确实为表达自我与艺术创作提供了自由的环境，但接受采访的5名青少年肯定其中比较出众的，他们愿意分享自己的积极体验，但这是一种假象。他们观点不能代表所有青少年，尤其是那些在社交媒体上遭遇负面经历（比如网络欺凌）的青少年。</t>
  </si>
  <si>
    <t>虽然调查发现，每天使用社交媒体超过4小时的青少年具有更高的焦虑水平，但如果把他们的人际关系也考虑在内就会发现，这些青少年对自己的家庭关系和朋友关系质量的评价都比较低。因此，社交媒体并不是导致青少年心理问题的真正原因，而只是“背锅”的对象</t>
  </si>
  <si>
    <t>社交媒体上的很多内容像“电子鸦片”一样，具有极强的吸引力和成瘾性。如果成瘾都不算心理问题，那什么才算？而且现在很多人都在使用社交媒体，所以这已经是一种集体成瘾了。因此，认为社交媒体对青少年的心理健康没有不良影响是不负责任的！</t>
  </si>
  <si>
    <t>充分支持_x000D_
_x000D_
有理有据</t>
  </si>
  <si>
    <t>观点：社交媒体对青少年的心理健康有负面影响。
理由；有研究调查了1000多名青少年，发现那些每天使用社交媒体超过4小时的青少年的焦虑水平比其它青少年更高。而且近10年的数据也显示，随着社交媒体的普及，存在心理问题的青少年比例也逐年增高。</t>
  </si>
  <si>
    <t>一般_x000D_
_x000D_
理由仅是相关研究，不能做出因果推断</t>
  </si>
  <si>
    <t>否_x000D_
_x000D_
理由没有说服力</t>
  </si>
  <si>
    <t>一般_x000D_
_x000D_
理由直接做出臆断</t>
  </si>
  <si>
    <t>非常有效_x000D_
_x000D_
观点说明了相关研究的缺点，可能是存在心理问题的孩子更容易选择社交媒体</t>
  </si>
  <si>
    <t>充分支持_x000D_
_x000D_
在比较文化的背景下，青少年将自己的生活与完美生活比较，感到不满引发焦虑，理由的逻辑很充分</t>
  </si>
  <si>
    <t>非常有效_x000D_
_x000D_
长时间使用社交媒体必然会导致青少年焦虑说明了社交媒体对青少年的心理健康产生了负面影响</t>
  </si>
  <si>
    <t>是_x000D_
_x000D_
2_x000D_
_x000D_
比较文化、完美生活确实会导致青少年焦虑</t>
  </si>
  <si>
    <t>观点：社交媒体对青少年的心理健康存在积极影响
理由：青少年可以在这里找到支持和理解自己的人</t>
  </si>
  <si>
    <t>充分支持_x000D_
_x000D_
通过社交媒体获得支持和理解确实可以说明其积极影响</t>
  </si>
  <si>
    <t>基本无效_x000D_
_x000D_
存在积极影响不能说明没有消极影响</t>
  </si>
  <si>
    <t>观点：社交媒体上青少年的经历具有多样性
理由：接受采访的5名青少年肯定其中比较出众的，他们愿意分享自己的积极体验，但这是一种假象。他们观点不能代表所有青少年，尤其是那些在社交媒体上遭遇负面经历（比如网络欺凌）的青少年。</t>
  </si>
  <si>
    <t>否_x000D_
_x000D_
缺乏说服力</t>
  </si>
  <si>
    <t>不能支持_x000D_
_x000D_
社交媒体社交媒体上的内容具有成瘾性没有事实依据；很多人使用社交媒体不能证明其具有成瘾性</t>
  </si>
  <si>
    <t>基本无效_x000D_
_x000D_
该观点不够合理，社交媒体的不良影响尚待证明，该观点将其作为事实</t>
  </si>
  <si>
    <t>有负面影响；
有研究表明每天使用社交媒体超过4小时的青少年的焦虑水平比其它青少年更高，且随着社交媒体的普及，存在心理问题的青少年比例也逐年增高</t>
  </si>
  <si>
    <t>一般_x000D_
_x000D_
只讨论了“焦虑水平”这一维度</t>
  </si>
  <si>
    <t>否_x000D_
_x000D_
和我的看法关系不大</t>
  </si>
  <si>
    <t>没有负面影响；
焦虑和使用社交媒体之间的关系是不清楚的</t>
  </si>
  <si>
    <t>一般_x000D_
_x000D_
一般有效，提出了焦虑和使用社交媒体关系上的问题，但“如果一个人在现实中和家人和朋友关系很好，他的心理问题能及时排解，又怎么会花4个小时在社交媒体上？”这一论证有待考量，没有心理问题就不能花时间在社交媒体上吗？</t>
  </si>
  <si>
    <t>一般_x000D_
_x000D_
但确实会有现实生活充实的人也花时间在社交媒体上，可能是为了追赶网络潮流等？</t>
  </si>
  <si>
    <t>反驳了1</t>
  </si>
  <si>
    <t>否_x000D_
_x000D_
和我的观点相同</t>
  </si>
  <si>
    <t>有负面影响；
“比较文化”会让青少年对自己的生活感到不满，降低幸福感和自尊心，导致社交退缩、自我怀疑，最终引发心理健康危机。</t>
  </si>
  <si>
    <t>一般_x000D_
_x000D_
道理上是对的，没有事实依据啊</t>
  </si>
  <si>
    <t>一般_x000D_
_x000D_
这个“必然”会导致焦虑有点扯，有些青少年可能只是图一乐，压根没想着比呢？</t>
  </si>
  <si>
    <t>支持2，反对1</t>
  </si>
  <si>
    <t>否_x000D_
_x000D_
论证不大行</t>
  </si>
  <si>
    <t>没负面影响；
比较文化哪里都有，和心理健康之间的因果关系有待考量</t>
  </si>
  <si>
    <t>支持2，反对1、3</t>
  </si>
  <si>
    <t>有积极影响；
有记者采访了某社交媒体的5名青少年博主，他们表示，自己表达的观点和创作的作品获得了很多网友的鼓励和认可，感到自己被理解也更自信了。</t>
  </si>
  <si>
    <t>基本无效_x000D_
_x000D_
太扯了</t>
  </si>
  <si>
    <t>提出了“积极影响”的新观点</t>
  </si>
  <si>
    <t>否_x000D_
_x000D_
太扯了</t>
  </si>
  <si>
    <t>负面影响；
说前一个材料以偏概全，还有那些在社交媒体上遭遇负面经历（比如网络欺凌）的青少年</t>
  </si>
  <si>
    <t>反驳了上一条</t>
  </si>
  <si>
    <t>否_x000D_
_x000D_
挺好的</t>
  </si>
  <si>
    <t>没负面影响；
如果把他们的人际关系也考虑在内就会发现，这些青少年对自己的家庭关系和朋友关系质量的评价都比较低。因此，社交媒体并不是导致青少年心理问题的真正原因，而只是“背锅”的对象。</t>
  </si>
  <si>
    <t>参与了材料1/2的讨论，提出了新的观点</t>
  </si>
  <si>
    <t>有负面影响；
成瘾就是负面影响</t>
  </si>
  <si>
    <t>不能支持_x000D_
_x000D_
只是使用，不算成瘾</t>
  </si>
  <si>
    <t>一般_x000D_
_x000D_
确实指出了关于成瘾的社会现象</t>
  </si>
  <si>
    <t>反驳了7</t>
  </si>
  <si>
    <t>否_x000D_
_x000D_
不够充分</t>
  </si>
  <si>
    <t>一般_x000D_
_x000D_
前半句支持程度较高，但后半句忽视了可能存在的其他社会因素的影响</t>
  </si>
  <si>
    <t>否_x000D_
_x000D_
材料只能证明有影响，但影响程度感觉并不是很高</t>
  </si>
  <si>
    <t>不能支持_x000D_
_x000D_
理由和观点没有绝对性的关系</t>
  </si>
  <si>
    <t>一般_x000D_
_x000D_
提出了可能的新的逻辑链条，但没有直接证据</t>
  </si>
  <si>
    <t>反驳了材料1中研究的观点导向</t>
  </si>
  <si>
    <t>否_x000D_
_x000D_
虽然提出了新的思路，但没有给出证据</t>
  </si>
  <si>
    <t>充分支持_x000D_
_x000D_
给出了比较完整的逻辑链支持了观点</t>
  </si>
  <si>
    <t>一般_x000D_
_x000D_
观点过于绝对，没有论证“必然”</t>
  </si>
  <si>
    <t>反驳了材料2中的观点</t>
  </si>
  <si>
    <t>否_x000D_
_x000D_
论证过于绝对，也没有给出有效的证据</t>
  </si>
  <si>
    <t>反驳了材料3，并且进一步支持了材料2</t>
  </si>
  <si>
    <t>否_x000D_
_x000D_
与材料3的观点中和了</t>
  </si>
  <si>
    <t>观点：社交媒体对青少年的心理健康存在积极影响
理由：因为青少年可以在这里找到支持和理解自己的人。有记者采访了某社交媒体的5名青少年博主，他们表示，自己表达的观点和创作的作品获得了很多网友的鼓励和认可，感到自己被理解也更自信了</t>
  </si>
  <si>
    <t>一般_x000D_
_x000D_
给的例子是非典型的青少年博主，不能代表普遍的青少年</t>
  </si>
  <si>
    <t>一般_x000D_
_x000D_
试图从反向论证主题，但力度不够</t>
  </si>
  <si>
    <t>否_x000D_
_x000D_
证据太不典型</t>
  </si>
  <si>
    <t>观点：接受采访的青少年的观点不能代表所有青少年，尤其是那些在社交媒体上遭遇负面经历（比如网络欺凌）的青少年
理由：接受采访的5名青少年肯定其中比较出众的，他们愿意分享自己的积极体验，但这是一种假象</t>
  </si>
  <si>
    <t>反驳了材料5，指出其证据的不合理性</t>
  </si>
  <si>
    <t>否_x000D_
_x000D_
在材料5时已经考虑过该问题</t>
  </si>
  <si>
    <t>反驳了材料3，支持并解释了材料4</t>
  </si>
  <si>
    <t>否_x000D_
_x000D_
虽然一定程度上把社交媒体的影响扯开了，但不能确保社交媒体没有起到催化作用</t>
  </si>
  <si>
    <t>不能支持_x000D_
_x000D_
没有针对青少年群体，且对于集体成瘾的定义不合理</t>
  </si>
  <si>
    <t>一般_x000D_
_x000D_
观点与主题相关，但论证毫无依据</t>
  </si>
  <si>
    <t>否_x000D_
_x000D_
类比不合理且未提供有效证据</t>
  </si>
  <si>
    <t>社交媒体对青少年的心理健康有负面影响。有研究调查了1000多名青少年，发现那些每天使用社交媒体超过4小时的青少年的焦虑水平比其它青少年更高。而且近10年的数据也显示，随着社交媒体的普及，存在心理问题的青少年比例也逐年增高。</t>
  </si>
  <si>
    <t>一般_x000D_
_x000D_
研究仅调查了1000多名青少年，远远不及青少年的总人数，统计结果的有效性可能不够。其次，导致近些年青少年心理问题的比例逐渐升高的原因也可能是其他因素，并不一定是社交媒体的普及。</t>
  </si>
  <si>
    <t>否_x000D_
_x000D_
该观点认为社交媒体对青少年的心理健康有负面影响，与我的观点基本一致。</t>
  </si>
  <si>
    <t>青少年的心理问题不是由于社交媒体的广泛使用导致的。青少年可能是因为感觉到焦虑才长时间呆在社交媒体上，而不是因为使用社交媒体才导致了焦虑等的心理健康问题</t>
  </si>
  <si>
    <t>不能支持_x000D_
_x000D_
该理由只是猜想，没有统计数据表明。</t>
  </si>
  <si>
    <t>一般_x000D_
_x000D_
观点与主题联系较为紧密，但存在一定的偏见。一个在现实中与周围人关系都保持很好的一个人仍有可能去通过社交媒体来收获娱乐。</t>
  </si>
  <si>
    <t>否_x000D_
_x000D_
材料2与我的观点相反，但论证不充分，不足以改变我的立场。</t>
  </si>
  <si>
    <t>长时间使用社交媒体必然会导致青少年焦虑。社交媒体上普遍存在“比较文化”，加上铺天盖地的“完美生活”的展示，会让青少年对自己的生活感到不满，降低幸福感和自尊心，导致社交退缩、自我怀疑，最终引发心理健康危机。</t>
  </si>
  <si>
    <t>一般_x000D_
_x000D_
理由不能充分有效地支持该观点。“比较文化”只可能存在于部分青少年当中，是否会发生比较，注意那些完美生活还与个人的一些特质有关，这种比较也可能会激发青少年用功读书来过上更好的生活。</t>
  </si>
  <si>
    <t>基本无效_x000D_
_x000D_
观点基本无效。观点存在很大的偏见，再该观点中，青少年运用社交媒体只会关注那些“完美生活”的展示。但实际上，某些青少年会利用社交媒体获取很多同伴支持，社交媒体并非完全有害。</t>
  </si>
  <si>
    <t>为材料1提供支持和解释。</t>
  </si>
  <si>
    <t>否_x000D_
_x000D_
我仍然保持较为中立的观点，认为社交媒体对青少年的影响很大程度上取决于他们个人的一些特质。</t>
  </si>
  <si>
    <t>使用社交媒体对心理健康不会产生负面影响。比较文化随处都有，不只是社交媒体上才有。此外，大多数青少年对社交媒体的使用是适度的，那些每天使用超过4小时的人的心理健康可能本身存在一些问题。</t>
  </si>
  <si>
    <t>为材料2提供支持和解释，反驳了材料3。</t>
  </si>
  <si>
    <t>否_x000D_
_x000D_
符合我较为中立的观点。</t>
  </si>
  <si>
    <t>社交媒体对青少年的心理健康存在积极影响，因为青少年可以在这里找到支持和理解自己的人。有记者采访了某社交媒体的5名青少年博主，他们表示，自己表达的观点和创作的作品获得了很多网友的鼓励和认可，感到自己被理解也更自信了。</t>
  </si>
  <si>
    <t>一般_x000D_
_x000D_
从五名青少年身上得出结论，缺乏大量数据支撑。</t>
  </si>
  <si>
    <t>非常有效_x000D_
_x000D_
合理，与主题紧密相连。</t>
  </si>
  <si>
    <t>支持材料2.</t>
  </si>
  <si>
    <t>否_x000D_
_x000D_
该观点反映了部分青少年，符合为较为中立的观点。</t>
  </si>
  <si>
    <t>社交媒体会对青少年心里健康产生负面影响。</t>
  </si>
  <si>
    <t>否_x000D_
_x000D_
该观点反应了部分青少年的现状，与我的中立观点较为符合。</t>
  </si>
  <si>
    <t>社交媒体并不是导致青少年心理问题的真正原因，而只是“背锅”的对象。虽然调查发现，每天使用社交媒体超过4小时的青少年具有更高的焦虑水平，但如果把他们的人际关系也考虑在内就会发现，这些青少年对自己的家庭关系和朋友关系质量的评价都比较低。</t>
  </si>
  <si>
    <t>在材料2基础上提出新观点。</t>
  </si>
  <si>
    <t>否_x000D_
_x000D_
仍保持较为中立态度。</t>
  </si>
  <si>
    <t>认为社交媒体对青少年的心理健康没有不良影响是不负责任的。社交媒体上的很多内容像“电子鸦片”一样，具有极强的吸引力和成瘾性。如果成瘾都不算心理问题，那什么才算？而且现在很多人都在使用社交媒体，所以这已经是一种集体成瘾了。</t>
  </si>
  <si>
    <t>充分支持_x000D_
_x000D_
运用成瘾观点有效论证了社交媒体会给青少年带来心理健康问题。</t>
  </si>
  <si>
    <t>非常有效_x000D_
_x000D_
观点与主题紧密相连且合理，从成瘾角度论述，也不存在任何偏见。</t>
  </si>
  <si>
    <t>支持材料1.</t>
  </si>
  <si>
    <t>否_x000D_
_x000D_
该观点与我观点相符合，因此没有改变立场。</t>
  </si>
  <si>
    <t>不能支持_x000D_
_x000D_
归因谬误.怎么得出的因果关系？只能是相关，而且有没有存在心里问题是因为社会压力大而不是社交媒体的原因呢？</t>
  </si>
  <si>
    <t>否_x000D_
_x000D_
完全是在胡说八道吧</t>
  </si>
  <si>
    <t>不能支持_x000D_
_x000D_
再说一遍我只是单纯爱上网，能不能不要给我赛博诊断</t>
  </si>
  <si>
    <t>一般_x000D_
_x000D_
观点挺好的，符合我的想法</t>
  </si>
  <si>
    <t>反驳了材料一，指出了某材料中的某⼀问题</t>
  </si>
  <si>
    <t>否_x000D_
_x000D_
挺好的只是理由在乱说，有冒犯到我</t>
  </si>
  <si>
    <t>不能支持_x000D_
_x000D_
？我不明白，内卷还只是和周围人比较呢更导致人抑郁焦虑，有没有可能是你使用过程中自己关注点+心理问题，而不是社交媒体的问题呢？我还是这个观点，是使用工具的人存在问题，而不是工具本身存在问题</t>
  </si>
  <si>
    <t>基本无效_x000D_
_x000D_
紧密相连但不合理</t>
  </si>
  <si>
    <t>在已有材料的基础上提出了⼀个新的观</t>
  </si>
  <si>
    <t>否_x000D_
_x000D_
我已经把这个问题整合到个人价值观里面，至少证明我有认真思考过</t>
  </si>
  <si>
    <t>不能支持_x000D_
_x000D_
不是，你去采访利用网络成功的人问他们对网络的看法，你为什么不去采访经受网络暴力的人呢</t>
  </si>
  <si>
    <t>观点：他们观点不能代表所有青少年，尤其是那些在社交媒体上遭遇负面经历（比如网络欺凌）的青少年。
理由：接受采访的5名青少年肯定其中比较出众的，他们愿意分享自己的积极体验，但这是一种假象。</t>
  </si>
  <si>
    <t>否_x000D_
_x000D_
都想到了</t>
  </si>
  <si>
    <t>观点：认为社交媒体对青少年的心理健康没有不良影响是不负责任的
结论：社交媒体上的很多内容像“电子鸦片”一样，具有极强的吸引力和成瘾性。如果成瘾都不算心理问题，那什么才算？而且现在很多人都在使用社交媒体，所以这已经是一种集体成瘾了</t>
  </si>
  <si>
    <t>不能支持_x000D_
_x000D_
大家都在睡觉，我认为睡觉也是一种集体成瘾，还是那句话是使用工具的人存在问题，而不是工具本身存在问题，这种说法本身就是在推卸自己的责任</t>
  </si>
  <si>
    <t>基本无效_x000D_
_x000D_
感情用事，胡说八道</t>
  </si>
  <si>
    <t>观点：社交媒体对青少年的心理健康有负面影响
理由：每天使用社交媒体超过4小时的青少年的焦虑水平比其它青少年更高，随着社交媒体的普及，存在心理问题的青少年比例也逐年增高</t>
  </si>
  <si>
    <t>一般_x000D_
_x000D_
调查人数较少，不能充分支持观点，且忽略社会发展等其他影响因素</t>
  </si>
  <si>
    <t>否_x000D_
_x000D_
支持了我的立场，不动摇</t>
  </si>
  <si>
    <t>不能支持_x000D_
_x000D_
逻辑存在漏洞，只是提出了一种可能的情况，不能有效支持观点</t>
  </si>
  <si>
    <t>一般_x000D_
_x000D_
观点和主题相关，但较为片面</t>
  </si>
  <si>
    <t>反驳材料一，提出新的观点</t>
  </si>
  <si>
    <t>否_x000D_
_x000D_
理由不充分，观点片面，不能动摇立场</t>
  </si>
  <si>
    <t>一般_x000D_
_x000D_
推理不够全面，仅说明了一种可能的路径，没考虑其他可能，不能充分支持观点</t>
  </si>
  <si>
    <t>一般_x000D_
_x000D_
观点和主题密切相关，但仅提供了一个方面的证据支持</t>
  </si>
  <si>
    <t>为材料一提供支持</t>
  </si>
  <si>
    <t>否_x000D_
_x000D_
与我的立场相同，不能改变我的立场</t>
  </si>
  <si>
    <t>反驳材料三，为材料二提供支持和解释</t>
  </si>
  <si>
    <t>否_x000D_
_x000D_
虽与我的立场不一致，但在考虑范围内，不能影响我的立场</t>
  </si>
  <si>
    <t>观点：社交媒体对青少年的心理健康存在积极影响
理由：青少年可以在社交媒体找到支持和理解自己的人。有记者采访了某社交媒体的5名青少年博主，他们表示，自己表达的观点和创作的作品获得了很多网友的鼓励和认可，感到自己被理解也更自信了。</t>
  </si>
  <si>
    <t>一般_x000D_
_x000D_
观点较为片面，只看到了一个方面</t>
  </si>
  <si>
    <t>否_x000D_
_x000D_
观点较为片面，不能改变我的立场</t>
  </si>
  <si>
    <t>观点：社交媒体会对青少年心理健康产生负面影响
理由：接受采访的5名青少年肯定其中比较出众的，他们愿意分享自己的积极体验，但这是一种假象。他们观点不能代表所有青少年，尤其是那些在社交媒体上遭遇负面经历（比如网络欺凌）的青少年</t>
  </si>
  <si>
    <t>否_x000D_
_x000D_
支持我的立场，不改变</t>
  </si>
  <si>
    <t>观点：社交媒体并不是导致青少年心理问题的真正原因
理由：虽然调查发现，每天使用社交媒体超过4小时的青少年具有更高的焦虑水平，但如果把他们的人际关系也考虑在内就会发现，这些青少年对自己的家庭关系和朋友关系质量的评价都比较低</t>
  </si>
  <si>
    <t>反驳材料一，为材料二提供支持和解释</t>
  </si>
  <si>
    <t>否_x000D_
_x000D_
观点不能有力改变我的立场</t>
  </si>
  <si>
    <t>观点：社交媒体对青少年的心理健康有不良影响
理由：社交媒体上的很多内容像“电子鸦片”一样，具有极强的吸引力和成瘾性。如果成瘾都不算心理问题，那什么才算？而且现在很多人都在使用社交媒体，所以这已经是一种集体成瘾了。</t>
  </si>
  <si>
    <t>一般_x000D_
_x000D_
观点和主题有关，但存在较大偏见</t>
  </si>
  <si>
    <t>否_x000D_
_x000D_
观点存在偏见，对我的立场影响较小</t>
  </si>
  <si>
    <t>一般_x000D_
_x000D_
样本量太小了，而且证据不充分、不具体。</t>
  </si>
  <si>
    <t>否_x000D_
_x000D_
虽然提出了理由，但是理由并不充分，所以我的立场不变。</t>
  </si>
  <si>
    <t>不能支持_x000D_
_x000D_
推理错误，推理过于果断、坚决，而且不合理</t>
  </si>
  <si>
    <t>一般_x000D_
_x000D_
和主题有一定关联性，但是又不完全相关；观点也并非十分合理，因为证据不足。</t>
  </si>
  <si>
    <t>否_x000D_
_x000D_
该材料的观点有效性不高，不能动摇我的立场。</t>
  </si>
  <si>
    <t>充分支持_x000D_
_x000D_
观点和理由可以对应好，理由可以充分地推理出观点。</t>
  </si>
  <si>
    <t>一般_x000D_
_x000D_
观点和主题密切相关，但是观点本身太绝对化，不合理。</t>
  </si>
  <si>
    <t>否_x000D_
_x000D_
原本我在做判断的时候有将这种因素纳入考量，所以我的立场依然不变。</t>
  </si>
  <si>
    <t>反驳材料3.</t>
  </si>
  <si>
    <t>否_x000D_
_x000D_
未变化。</t>
  </si>
  <si>
    <t>观点：社交媒体对青少年的心理健康存在积极影响
理由：青少年可以在这里找到支持和理解自己的人。</t>
  </si>
  <si>
    <t>一般_x000D_
_x000D_
有例子，并且理由和观点的推导合理，但是理由只有五个人，样本太少，不具有推广性。</t>
  </si>
  <si>
    <t>基本无效_x000D_
_x000D_
主题讲的是“社交媒体”对青年人的心理有负面影响，但是该材料在说积极影响，所以材料和主题并不相关。</t>
  </si>
  <si>
    <t>否_x000D_
_x000D_
该材料的有效性较差，对我的观点影响不大。</t>
  </si>
  <si>
    <t>观点：他们观点不能代表所有青少年，尤其是那些在社交媒体上遭遇负面经历（比如网络欺凌）的青少年。
理由：接受采访的5名青少年肯定其中比较出众的，他们愿意分享自己的积极体验，但这是一种假象</t>
  </si>
  <si>
    <t>否_x000D_
_x000D_
观点有效性较差，对于我的判断没有很大的影响。、</t>
  </si>
  <si>
    <t>为材料2提供了进一步的支撑</t>
  </si>
  <si>
    <t>观点：认为社交媒体对青少年的心理健康没有不良影响是不负责任的。
理由：社交媒体上的很多内容像“电子鸦片”一样，具有极强的吸引力和成瘾性。而且现在很多人都在使用社交媒体，所以这已经是一种集体成瘾了。</t>
  </si>
  <si>
    <t>一般_x000D_
_x000D_
成瘾的概念界定不清，有夸大事实、断章取义之嫌。</t>
  </si>
  <si>
    <t>非常有效_x000D_
_x000D_
紧扣主题，观点合理</t>
  </si>
  <si>
    <t>否_x000D_
_x000D_
成瘾也是心理问题的一部分，这个是被我考虑到的，所以我的立场不变。</t>
  </si>
  <si>
    <t>产生了负面影响；
每天使用社交媒体超过4小时的青少年的焦虑水平比其它青少年更高，随着社交媒体的普及，存在心理问题的青少年比例也逐年增高</t>
  </si>
  <si>
    <t>不能支持_x000D_
_x000D_
相关不等于因果</t>
  </si>
  <si>
    <t>否_x000D_
_x000D_
论证无逻辑可言</t>
  </si>
  <si>
    <t>不产生负面影响
青少年可能是因为感觉到焦虑才长时间呆在社交媒体上，而不是因为使用社交媒体才导致了焦虑等的心理健康问题</t>
  </si>
  <si>
    <t>一般_x000D_
_x000D_
存在逻辑漏洞，可能是以社交媒体为兼职或是其他需求</t>
  </si>
  <si>
    <t>一般_x000D_
_x000D_
心理健康不仅仅包含焦虑</t>
  </si>
  <si>
    <t>否_x000D_
_x000D_
和我想的一样</t>
  </si>
  <si>
    <t>产生了负面影响；
社交媒体上普遍存在“比较文化”，加上铺天盖地的“完美生活”的展示，会让青少年对自己的生活感到不满，降低幸福感和自尊心，导致社交退缩、自我怀疑，最终引发心理健康危机</t>
  </si>
  <si>
    <t>不能支持_x000D_
_x000D_
社交媒体的这些现象不一定会导致后面所说的那些结果，没有考虑青少年自身特质的影响</t>
  </si>
  <si>
    <t>基本无效_x000D_
_x000D_
必然的说法过于武断</t>
  </si>
  <si>
    <t>否_x000D_
_x000D_
什么垃圾材料</t>
  </si>
  <si>
    <t>对大多数青少年而言，使用社交媒体对心理健康不会产生负面影响
比较文化随处都有，不只是社交媒体上才有。此外，大多数青少年对社交媒体的使用是适度的</t>
  </si>
  <si>
    <t>是_x000D_
_x000D_
6_x000D_
_x000D_
还是要考虑大多数</t>
  </si>
  <si>
    <t>社交媒体对青少年的心理健康存在积极影响；
青少年可以在这里找到支持和理解自己的人</t>
  </si>
  <si>
    <t>不能支持_x000D_
_x000D_
逻辑漏洞，还可能会招来网暴等骂声</t>
  </si>
  <si>
    <t>否_x000D_
_x000D_
论据不充分</t>
  </si>
  <si>
    <t>社交媒体对青少年的心理健康产生的影响因人而异；
社交媒体确实为表达自我与艺术创作提供了自由的环境，但接受采访的5名青少年肯定其中比较出众的，他们观点不能代表所有青少年</t>
  </si>
  <si>
    <t>否_x000D_
_x000D_
和自己观点相同</t>
  </si>
  <si>
    <t>社交媒体并不是导致青少年心理问题的真正原因，而只是“背锅”的对象；
每天使用社交媒体超过4小时的青少年对自己的家庭关系和朋友关系质量的评价都比较低</t>
  </si>
  <si>
    <t>社交媒体对青少年的心理健康产生了负面影响；
社交媒体上的很多内容像“电子鸦片”一样，具有极强的吸引力和成瘾性。而且现在很多人都在使用社交媒体，所以这已经是一种集体成瘾了。</t>
  </si>
  <si>
    <t>不能支持_x000D_
_x000D_
很多人在用就是集体成瘾吗？</t>
  </si>
  <si>
    <t>一般_x000D_
_x000D_
有些武断</t>
  </si>
  <si>
    <t>观点：社交媒体对青少年的心理健康有负面影响。
理由：研究发现每天使用社交媒体超过4小时的青少年的焦虑水平比其它青少年更高；随着社交媒体的普及，存在心理问题的青少年比例也逐年增高。</t>
  </si>
  <si>
    <t>不能支持_x000D_
_x000D_
证据2存在推理错误：只是相关，不能推至因果，可能存在多种原因，如近年经济文化的发展共同作用于心理健康和社交媒体普及。
证据1同理。</t>
  </si>
  <si>
    <t>否_x000D_
_x000D_
是我已经考虑到的方面，即使证据并不能支持观点，但不代表没有支持观点的证据。</t>
  </si>
  <si>
    <t>观点：青少年可能是因为感觉到焦虑才长时间呆在社交媒体上。
理由：现实中的和家人朋友关系好的人能够及时排解心理问题，不会在社交媒体上花费过多时间。</t>
  </si>
  <si>
    <t>不能支持_x000D_
_x000D_
逻辑漏洞：预先假设了在社交媒体上花费时间是为了寻求排解心理问题的可能。然而社交媒体只是一种生活方式，其使用与否与心理问题多少没有因果关系。
没有正面阐述观点。
没有实证证据。</t>
  </si>
  <si>
    <t>一般_x000D_
_x000D_
观点和主题有一定关联，但存在问题：就算观点正确，也可能社交媒体会对心理健康有负面影响，即有一个负反馈循环。</t>
  </si>
  <si>
    <t>否_x000D_
_x000D_
材料有逻辑漏洞，且没有实证证据，不值得作为参考。</t>
  </si>
  <si>
    <t>观点：长时间使用社交媒体必然会导致青少年焦虑
理由:社交媒体上的攀比与高阶层使得青少年对自己的生活不满，从而引发心理健康问题。</t>
  </si>
  <si>
    <t xml:space="preserve">一般_x000D_
_x000D_
漏洞：忽略掉的因素太多，比如，可能存在跨人群的差异：高幸福感者能够在比较中找到自己的位置，面对比较也不会焦虑，甚至可能有正面影响；低幸福感者面临负反馈循环，可能引发危机。
</t>
  </si>
  <si>
    <t>一般_x000D_
_x000D_
“必然”太过绝对；观点和主题紧密相关；存在偏见，未考虑到不同SES、性格、生活环境等变量的作用</t>
  </si>
  <si>
    <t>支持材料1；反驳材料2的一部分观点</t>
  </si>
  <si>
    <t>是_x000D_
_x000D_
4_x000D_
_x000D_
是我考虑片面的一个方面。我当时没有想到可能不同人群会有差异。</t>
  </si>
  <si>
    <t>观点：对大多数青少年而言，使用社交媒体对心理健康不会产生负面影响。
理由：比较文化随处都有；大多数青少年对社交媒体的使用是适度的，那些每天使用超过4小时的人的心理健康可能本身存在一些问题。</t>
  </si>
  <si>
    <t>反对材料1、3；和材料2共同反驳了材料1、3的观点（或许可以算是补充说明），一定程度支持了材料2</t>
  </si>
  <si>
    <t>否_x000D_
_x000D_
材料论证存在问题。</t>
  </si>
  <si>
    <t>充分支持_x000D_
_x000D_
支持该观点。虽然选取的人群不能有效代表使用社交媒体的青少年的平均水平，代表性存在问题，但论证“存在积极影响”足矣。</t>
  </si>
  <si>
    <t>非常有效_x000D_
_x000D_
紧密相关，且观点合理谨慎。</t>
  </si>
  <si>
    <t>因为论述的只是存在积极影响，所以其实和前面的材料没什么关系。前面说的都是普适性的论断。一定程度上反驳了材料2、材料1</t>
  </si>
  <si>
    <t>否_x000D_
_x000D_
“存在”的解释力太弱了。</t>
  </si>
  <si>
    <t>观点：材料5的受访者的体验是一种假象，不能代表所有青少年。
理由：接受采访的5名青少年肯定其中比较出众的；不能代表不同遭遇者，如那些在社交媒体上遭遇负面经历（比如网络欺凌）的青少年。</t>
  </si>
  <si>
    <t>反对材料5，反对材料2（虽然5和2之间也不对付）</t>
  </si>
  <si>
    <t>否_x000D_
_x000D_
已经考虑到该情况，且论证存在问题。</t>
  </si>
  <si>
    <t>观点：社交媒体并不是导致青少年心理问题的真正原因，青少年家庭关系和人际关系才是。
理由：每天使用社交媒体超过4小时的青少年对自己的家庭关系和朋友关系质量的评价都比较低。</t>
  </si>
  <si>
    <t>反驳材料1，支持材料2，一定程度支持材料4</t>
  </si>
  <si>
    <t>否_x000D_
_x000D_
材料观点的推定有问题。</t>
  </si>
  <si>
    <t>观点：使用社交媒体是集体成瘾现象，因此社交媒体确实对青少年的心理健康存在不良影响。
理由：社交媒体内容具有极强的吸引力和成瘾性；使用社交媒体的广泛性；成瘾是心理问题。</t>
  </si>
  <si>
    <t>不能支持_x000D_
_x000D_
社交媒体内容具有成瘾性，不代表使用它的人成瘾，这是两个不同的概念，材料将二者混淆了。而且，没有强调青少年的群体。且感情上过于感性。</t>
  </si>
  <si>
    <t>基本无效_x000D_
_x000D_
不能从集体成瘾推出青少年的网络成瘾。</t>
  </si>
  <si>
    <t>反驳2、4、5、7，补充材料1</t>
  </si>
  <si>
    <t>否_x000D_
_x000D_
证据无效，观点无效</t>
  </si>
  <si>
    <t>社交媒体对青少年的心理健康有负面影响。
理由：有研究调查了1000多名青少年，发现那些每天使用社交媒体超过4小时的青少年的焦虑水平比其它青少年更高。
理由：随着社交媒体的普及，存在心理问题的青少年比例也逐年增高</t>
  </si>
  <si>
    <t>不能支持_x000D_
_x000D_
理由不能有效充分的支持观点，近十年的数据，虽然是社交媒体普及，同时也伴随着社会资源的紧缺，内卷越来越严重等其他因素和社会现象，不能说明只是社交媒体对青少年心理健康有负面影响。且不一定是社交媒体的使用时间长导致焦虑水平更高，因果可能相反，比如青少年因为焦虑水平更高，所以使用社交媒体的时间更长。</t>
  </si>
  <si>
    <t>否_x000D_
_x000D_
因为他的理由并不充分。</t>
  </si>
  <si>
    <t>青少年可能是因为感觉到焦虑才长时间呆在社交媒体上，而不是因为使用社交媒体才导致了焦虑等的心理健康问题。
理由：如果一个人在现实中和家人和朋友关系很好，他的心理问题能及时排解，又怎么会花4个小时在社交媒体上？</t>
  </si>
  <si>
    <t>一般_x000D_
_x000D_
理由一定程度上支持了观点，但是能及时排解心理问题的青少年可能会因为成瘾或者有志同道合的朋友在社交媒体上，且理由只是猜测，也没有得到证实。</t>
  </si>
  <si>
    <t>一般_x000D_
_x000D_
观点与主题并不太紧密相关，且虽然合理，但是片面。</t>
  </si>
  <si>
    <t>反驳了材料1，指出了因果关系的问题</t>
  </si>
  <si>
    <t>否_x000D_
_x000D_
社交媒体的使用时间与焦虑水平仅仅是相关关系，无法推断出因果关系，不能说明对心理健康的负面影响。</t>
  </si>
  <si>
    <t>长时间使用社交媒体必然会导致青少年焦虑
理由：社交媒体上普遍存在“比较文化”，加上铺天盖地的“完美生活”的展示，会让青少年对自己的生活感到不满，降低幸福感和自尊心，导致社交退缩、自我怀疑，最终引发心理健康危机。</t>
  </si>
  <si>
    <t>一般_x000D_
_x000D_
理由有效的支持了观点，但是“比较文化”与“完美生活展示”并不一定会使青少年对自己生活感到不满，这取决于青少年的认知，推理过程存在漏洞。</t>
  </si>
  <si>
    <t>基本无效_x000D_
_x000D_
观点与主题相关，但是存在偏见，否认了其他社会因素对青少年的影响以及青少年自我认知的发展。</t>
  </si>
  <si>
    <t>否_x000D_
_x000D_
理由较为片面。</t>
  </si>
  <si>
    <t>对大多数青少年而言，使用社交媒体对心理健康不会产生负面影响。
理由：比较文化随处都有，不只是社交媒体上才有。
理由：大多数青少年对社交媒体的使用是适度的，那些每天使用超过4小时的人的心理健康可能本身存在一些问题。</t>
  </si>
  <si>
    <t>反驳了材料3，指出比较文化随处都有，不只是社交媒体上才有。</t>
  </si>
  <si>
    <t>否_x000D_
_x000D_
理由不够充分，不能够说明他的观点。</t>
  </si>
  <si>
    <t>社交媒体对青少年的心理健康存在积极影响。
理由：因为青少年可以在这里找到支持和理解自己的人。</t>
  </si>
  <si>
    <t>不能支持_x000D_
_x000D_
理由不能充分有效支持观点，因为他们采访的是博主，而非社交媒体浏览用户，群体较为特殊，且5位样本量较少，比较片面，个案，不够有效不能充分反映统计意义上的。</t>
  </si>
  <si>
    <t>一般_x000D_
_x000D_
观点与主题紧密相关，但是理由较为片面且不够有效充分支持他们的观点，同样忽略了青少年自身的认知发展状况。且观点是“存在”，而不是表示整体趋势，所以与主题有一些区别。</t>
  </si>
  <si>
    <t>否_x000D_
_x000D_
理由较为片面，不够有效。</t>
  </si>
  <si>
    <t>接受采访的5名青少年的观点不能代表所有青少年，尤其是那些在社交媒体上遭遇负面经历（比如网络欺凌）的青少年。
理由：接受采访的5名青少年肯定其中比较出众的，他们愿意分享自己的积极体验，但这是一种假象。</t>
  </si>
  <si>
    <t>反驳了材料5，指出了采访的5名青少年的特殊性。</t>
  </si>
  <si>
    <t>否_x000D_
_x000D_
他的观点与主题的关系并不大。</t>
  </si>
  <si>
    <t>社交媒体并不是导致青少年心理问题的真正原因，而只是“背锅”的对象。
理由：每天使用社交媒体超过4小时的青少年具有更高的焦虑水平，但如果把他们的人际关系也考虑在内就会发现，这些青少年对自己的家庭关系和朋友关系质量的评价都比较低。</t>
  </si>
  <si>
    <t>反驳了材料1，提供了新的解释。</t>
  </si>
  <si>
    <t>否_x000D_
_x000D_
不能因为家庭朋友关系质量因素的出现就忽略了社交媒体的作用，没有充分证据证明。</t>
  </si>
  <si>
    <t>认为社交媒体对青少年的心理健康没有不良影响是不负责任的！
理由：社交媒体上的很多内容像“电子鸦片”一样，具有极强的吸引力和成瘾性。如果成瘾都不算心理问题，那什么才算？而且现在很多人都在使用社交媒体，所以这已经是一种集体成瘾了。</t>
  </si>
  <si>
    <t>不能支持_x000D_
_x000D_
理由不能有效支持观点。首先，大部分青少年使用社交媒体的时长是合理的，从时间长度来看不算成瘾，其次，很多人使用不代表集体成瘾。</t>
  </si>
  <si>
    <t>一般_x000D_
_x000D_
观点与主题相关，但存在偏见，社交媒体的内容同样存在很多积极正能量的，且大部分都经过了网络审核。从统计意义上来看，大部分青少年也没有达到成瘾的时长。</t>
  </si>
  <si>
    <t>否_x000D_
_x000D_
理由不够有效合理。</t>
  </si>
  <si>
    <t>不能支持_x000D_
_x000D_
相关推因果谁教你的</t>
  </si>
  <si>
    <t>否_x000D_
_x000D_
没有参考价值</t>
  </si>
  <si>
    <t>充分支持_x000D_
_x000D_
有效支持，对因果关系谁因谁果的问题有必要探讨</t>
  </si>
  <si>
    <t>非常有效_x000D_
_x000D_
联系紧密其合理质疑</t>
  </si>
  <si>
    <t>反驳了材料一，指出了材料一中因果关系不明确的问题</t>
  </si>
  <si>
    <t>否_x000D_
_x000D_
社交媒体和青少年心理健康之间的关系是非常复杂的，可能存在多种影响及反馈方式</t>
  </si>
  <si>
    <t>观点：长时间使用社交媒体必然会导致青少年焦虑，
理由：因为社交媒体上普遍存在“比较文化”，加上铺天盖地的“完美生活”的展示，会让青少年对自己的生活感到不满，降低幸福感和自尊心，导致社交退缩、自我怀疑，最终引发心理健康危机。</t>
  </si>
  <si>
    <t>不能支持_x000D_
_x000D_
你数据呢？别的不说你怎么就能确定只有向上比较没有向下比较？再说了向上比较还有同化和相对两条途径你怎么知道大家都是越比较越自卑还是越比较越受激励？</t>
  </si>
  <si>
    <t>基本无效_x000D_
_x000D_
因果推出没有数据支撑，主观臆断</t>
  </si>
  <si>
    <t>为材料一提供了支持和解释</t>
  </si>
  <si>
    <t>否_x000D_
_x000D_
社交媒体的影响是多维度多方向的，材料中只看到了单一的一种可能就以偏概全过于武断</t>
  </si>
  <si>
    <t>反驳了材料三，指出了材料三中的以偏概全</t>
  </si>
  <si>
    <t>否_x000D_
_x000D_
他说的有道理</t>
  </si>
  <si>
    <t>一般_x000D_
_x000D_
也有点以偏概全</t>
  </si>
  <si>
    <t>一般_x000D_
_x000D_
采样数量不够</t>
  </si>
  <si>
    <t>反驳了材料三，指出社交媒体也有积极作用</t>
  </si>
  <si>
    <t>否_x000D_
_x000D_
综合前面的材料证明社交媒体的影响有好有坏</t>
  </si>
  <si>
    <t>观点：他们观点不能代表所有青少年
理由：社交媒体确实为表达自我与艺术创作提供了自由的环境，但接受采访的5名青少年肯定其中比较出众的，他们愿意分享自己的积极体验</t>
  </si>
  <si>
    <t>反驳了材料五，指出了取样偏差问题</t>
  </si>
  <si>
    <t>否_x000D_
_x000D_
比较合理，多样化看待</t>
  </si>
  <si>
    <t>反驳了材料一，为材料二提供支持和解释</t>
  </si>
  <si>
    <t>否_x000D_
_x000D_
材料合理</t>
  </si>
  <si>
    <t>不能支持_x000D_
_x000D_
？你要不要看看自己在说什么，一串话里有一个因果关系的推论是符合逻辑的吗，你妈没教你说话要有根据吗。每个人都吃饭那吃饭是集体成瘾吗</t>
  </si>
  <si>
    <t>基本无效_x000D_
_x000D_
胡言乱语</t>
  </si>
  <si>
    <t>在已有材料的基础上提出了一个纯粹情绪输出而非理性辩证的观点</t>
  </si>
  <si>
    <t>否_x000D_
_x000D_
更加坚定了</t>
  </si>
  <si>
    <t>观点：社交媒体对青少年的心理健康有负面影响。理由：有研究调查了1000多名青少年，发现那些每天使用社交媒体超过4小时的青少年的焦虑水平比其它青少年更高。而且近10年的数据也显示，随着社交媒体的普及，存在心理问题的青少年比例也逐年增高</t>
  </si>
  <si>
    <t>一般_x000D_
_x000D_
数据显示社交媒体使用多的焦虑高，一般来说可能觉得社交媒体有负面影响。但有没有可能是这个社会发展变化快了，间接导致一部分人压力更大，然后他们使用社交媒体的时长才会升高呢？因果关系推得不够严谨。</t>
  </si>
  <si>
    <t>否_x000D_
_x000D_
这个材料说服力一般，而且也没明显影响我给出观点的理由</t>
  </si>
  <si>
    <t>青少年可能是因为感觉到焦虑才长时间呆在社交媒体上，而不是因为使用社交媒体才导致了焦虑等的心理健康问题。理由：如果一个人在现实中和家人和朋友关系很好，他的心理问题能及时排解，又怎么会花4个小时在社交媒体上？</t>
  </si>
  <si>
    <t>不能支持_x000D_
_x000D_
反问句毫无说服力因为以偏概全想法错误。难道没健康人爱玩社交媒体啦？而且你不可能天天和家长朋友待在一起，所以社交媒体使用还可能和家人朋友远程聊天有关。</t>
  </si>
  <si>
    <t>非常有效_x000D_
_x000D_
紧密相关。观点并没下绝对判断，给出了一种可能性并且在人群中确实存在这样的可能。</t>
  </si>
  <si>
    <t>指出了材料一在论证社交媒体对青少年心理健康有负面影响时的不足：相关不能推出确定方向的因果。</t>
  </si>
  <si>
    <t>否_x000D_
_x000D_
材料观点说的有道理，虽然论据奇奇怪怪，但我本来也觉得有可能是孩子们在通过社交媒体排解自己的心理问题。</t>
  </si>
  <si>
    <t>观点：长时间使用社交媒体必然会导致青少年焦虑；理由：因为社交媒体上普遍存在“比较文化”，加上铺天盖地的“完美生活”的展示，会让青少年对自己的生活感到不满，降低幸福感和自尊心，导致社交退缩、自我怀疑，最终引发心理健康危机。</t>
  </si>
  <si>
    <t>一般_x000D_
_x000D_
以偏概全，首先看到完美不一定是不满而是追求更好；其次现实也存在比较文化。</t>
  </si>
  <si>
    <t>一般_x000D_
_x000D_
相关高；不太合理，长时间使用也要看用来干嘛了，不能说长时间使用就一定会导致焦虑吧，我就聊聊天可能不会有这么多烦恼。</t>
  </si>
  <si>
    <t>支持材料1 反对2</t>
  </si>
  <si>
    <t>观点：对大多数青少年而言，大多数青少年对社交媒体的使用是适度的，使用社交媒体对心理健康不会产生负面影响；理由：比较文化随处都有，不只是社交媒体上才有。此外，大多数青少年对社交媒体的使用是适度的，那些每天使用超过4小时的人的心理健康可能本身存在一些问题。</t>
  </si>
  <si>
    <t>反驳材料3，支持材料2</t>
  </si>
  <si>
    <t>是_x000D_
_x000D_
6_x000D_
_x000D_
我觉得控制使用能降低社交媒体的影响，材料提示我适度使用可能让社交媒体使用变得更多利。</t>
  </si>
  <si>
    <t>观点：社交媒体对青少年的心理健康存在积极影响；理由：因为青少年可以在这里找到支持和理解自己的人。有记者采访了某社交媒体的5名青少年博主，他们表示，自己表达的观点和创作的作品获得了很多网友的鼓励和认可，感到自己被理解也更自信了。</t>
  </si>
  <si>
    <t>一般_x000D_
_x000D_
支持，但一部分例子，正面上支持了，但好像在以点代面</t>
  </si>
  <si>
    <t>非常有效_x000D_
_x000D_
紧密相关；合理没偏见</t>
  </si>
  <si>
    <t>反驳材料1 3</t>
  </si>
  <si>
    <t>否_x000D_
_x000D_
说得很好，没影响</t>
  </si>
  <si>
    <t>交媒体确实为表达自我与艺术创作提供了自由的环境，但接受采访的5名青少年肯定其中比较出众的，他们愿意分享自己的积极体验，但这是一种假象。他们观点不能代表所有青少年，尤其是那些在社交媒体上遭遇负面经历（比如网络欺凌）的青少年。理由：接受采访的5名青少年肯定其中比较出众的，他们愿意分享自己的积极体验他们观点不能代表所有青少年，尤其是那些在社交媒体上遭遇负面经历（比如网络欺凌）的青少年</t>
  </si>
  <si>
    <t>否_x000D_
_x000D_
没影响</t>
  </si>
  <si>
    <t>社交媒体并不是导致青少年心理问题的真正原因，而只是“背锅”的对象。；理由：虽然调查发现，每天使用社交媒体超过4小时的青少年具有更高的焦虑水平，但如果把他们的人际关系也考虑在内就会发现，这些青少年对自己的家庭关系和朋友关系质量的评价都比较低</t>
  </si>
  <si>
    <t>观点：认为社交媒体对青少年的心理健康没有不良影响是不负责任的！理由：社交媒体上的很多内容像“电子鸦片”一样，具有极强的吸引力和成瘾性。如果成瘾都不算心理问题，那什么才算？而且现在很多人都在使用社交媒体，所以这已经是一种集体成瘾了。</t>
  </si>
  <si>
    <t>不能支持_x000D_
_x000D_
类比错误。情绪很激动，使用吸引力强的东西不一定会上瘾且不能直接说集体成瘾</t>
  </si>
  <si>
    <t>一般_x000D_
_x000D_
观点其实就是支持社交媒体会对心理健康有影响。但是存在偏见，</t>
  </si>
  <si>
    <t>反驳了材料7,5，2</t>
  </si>
  <si>
    <t>否_x000D_
_x000D_
这段话说完让我有一种道德绑架的感觉。其实我还是觉得社交媒体对心理健康的影响有一些，但并不是元凶，也不是背锅侠。</t>
  </si>
  <si>
    <t>不能支持_x000D_
_x000D_
有逻辑漏洞，这只是一个相关研究，万一是焦虑水平高的青少年更喜欢使用社交媒体而不是社交媒体导致了他们焦虑呢？</t>
  </si>
  <si>
    <t>否_x000D_
_x000D_
不能说服我。</t>
  </si>
  <si>
    <t>充分支持_x000D_
_x000D_
没有逻辑错误，支持了观点。</t>
  </si>
  <si>
    <t>一般_x000D_
_x000D_
这段材料也只是提出了一个关于焦虑和使用社交媒体关系的猜测，并不能成为完整的证据。</t>
  </si>
  <si>
    <t>反驳了材料1，指出了它的逻辑错误。</t>
  </si>
  <si>
    <t>否_x000D_
_x000D_
我本来也是这么想的。</t>
  </si>
  <si>
    <t>一般_x000D_
_x000D_
观点很绝对，理由却只是逻辑推理，没有拿出实际数据。</t>
  </si>
  <si>
    <t>一般_x000D_
_x000D_
观点比较绝对。</t>
  </si>
  <si>
    <t>反驳了材料2，指出了使用社交媒体和焦虑的关系必然是因果，且使用社交媒体是因。</t>
  </si>
  <si>
    <t>否_x000D_
_x000D_
逻辑推理还可以，但是需要事实说话，这段材料的理由都是自己想的，没有文献佐证。</t>
  </si>
  <si>
    <t>反驳了材料3，指出了材料3中关于“比较文化”的逻辑漏洞。</t>
  </si>
  <si>
    <t>否_x000D_
_x000D_
材料3对我的观点没有影响，因此批判它的材料4也对我没有影响。</t>
  </si>
  <si>
    <t>一般_x000D_
_x000D_
说明了社交媒体是如何积极影响青少年心理健康的，但有以偏概全的嫌疑，使用青少年博主的例子，对普通青少年没有适用性。</t>
  </si>
  <si>
    <t>非常有效_x000D_
_x000D_
观点相关合理。</t>
  </si>
  <si>
    <t>提出了新观点，说明了积极影响。</t>
  </si>
  <si>
    <t>否_x000D_
_x000D_
虽然材料支持我的观点，但给出的理由以偏概全，没有影响我的态度。</t>
  </si>
  <si>
    <t>反驳了材料5，指出了其以偏概全的问题。</t>
  </si>
  <si>
    <t>否_x000D_
_x000D_
本身我就看出了材料5的逻辑错误，因此针对它提出的反驳也不会影响到我的观点。</t>
  </si>
  <si>
    <t>反驳了材料1，指出了材料1的因果错误。</t>
  </si>
  <si>
    <t>是_x000D_
_x000D_
9_x000D_
_x000D_
加深了我的观点。</t>
  </si>
  <si>
    <t>不能支持_x000D_
_x000D_
好炸裂的理由推理。我知道你很急但你先别急。理由里没有给出成瘾的定义也没有摆数据，也没有说有多少青少年有成瘾的行为，直接就说认为没有不良影响是不负责任的，我只能说你开心就好。</t>
  </si>
  <si>
    <t>基本无效_x000D_
_x000D_
个人情感太强烈，对不负责任这一说法的阐述也不到位。</t>
  </si>
  <si>
    <t>提出了“不负责任”的新观点。</t>
  </si>
  <si>
    <t>否_x000D_
_x000D_
它的理由无法说服我。</t>
  </si>
  <si>
    <t>一般_x000D_
_x000D_
理由确实论述了社媒对青少年可能具有的危害，但近10年来发展的不仅是社媒，会如此沉迷社媒的青少年也可能本身有较差的心理健康，理由的支持度值得商榷。</t>
  </si>
  <si>
    <t>否_x000D_
_x000D_
材料与我的立场基本相符。</t>
  </si>
  <si>
    <t>一般_x000D_
_x000D_
理由有些绝对化，即使是花4个小时在社媒上的人，也不一定就有心理问题。</t>
  </si>
  <si>
    <t>非常有效_x000D_
_x000D_
观点讨论了心理健康问题的具体成因，符合主题上对是否归因于社媒的论述。</t>
  </si>
  <si>
    <t>否_x000D_
_x000D_
我本身也有该材料指出的思路，但我并不认为这一理由就能否认社交媒体的负面影响。</t>
  </si>
  <si>
    <t>不能支持_x000D_
_x000D_
该理由完全只是揪住了社媒的一部分影响去做过度化推理，逻辑不明且片面，无法支持观点。</t>
  </si>
  <si>
    <t>基本无效_x000D_
_x000D_
该观点过于绝对化，存在对社媒明显的偏见。</t>
  </si>
  <si>
    <t>否_x000D_
_x000D_
尽管它符合我的立场，但该材料毫无说服力。</t>
  </si>
  <si>
    <t>引用了材料2的观点，反驳了材料3的观点和材料1的理由</t>
  </si>
  <si>
    <t>否_x000D_
_x000D_
该材料所使用的论据无法支撑观点，并未深刻剖析社媒与心理健康间的影响路径。</t>
  </si>
  <si>
    <t>观点：社交媒体对青少年的心理健康存在积极影响。
理由：青少年可以在这里找到支持和理解自己的人。有记者采访了某社交媒体的5名青少年博主，他们表示，自己表达的观点和创作的作品获得了很多网友的鼓励和认可，感到自己被理解也更自信了。</t>
  </si>
  <si>
    <t>一般_x000D_
_x000D_
该理由仅仅是一个个例，即使与观点密切相关，论证效力也很有限。</t>
  </si>
  <si>
    <t>一般_x000D_
_x000D_
社媒存在积极影响和社媒可能存在消极影响这两件事毫无必然联系。</t>
  </si>
  <si>
    <t>否_x000D_
_x000D_
该材料观点与主题关联不大，理由论证效力低。</t>
  </si>
  <si>
    <t>观点：优秀青少年的观点不能代表所有青少年，不能说明社媒的影响正面还是负面。
理由：接受采访的5名青少年肯定其中比较出众的，他们愿意分享自己的积极体验，但这是一种假象。一些青少年社交媒体上遭遇负面经历（比如网络欺凌）。</t>
  </si>
  <si>
    <t>否_x000D_
_x000D_
该材料的论述合理，但观点并不具有太大的力量。</t>
  </si>
  <si>
    <t>否_x000D_
_x000D_
该材料的理由并不充分，有不止一种理解方式，且缺乏对社媒普遍影响究竟为何与心理健康负面影响无关的论述。</t>
  </si>
  <si>
    <t>一般_x000D_
_x000D_
理由一定程度上指出了社媒的一些不良影响，但其对于成瘾的作用机理的解释是缺失的，对集体成瘾的推论是缺乏逻辑支撑且极端的。</t>
  </si>
  <si>
    <t>一般_x000D_
_x000D_
观点非常切合主题，但该观点透着对反对者的人身攻击意味与偏见。</t>
  </si>
  <si>
    <t>在已有材料的基础上提出了⼀个新的观点，反驳了材料7的背锅论</t>
  </si>
  <si>
    <t>否_x000D_
_x000D_
该材料一定程度上解释了社媒的一些危害，但观点和理由均带有偏激的刻板印象。</t>
  </si>
  <si>
    <t>社交媒体使用时间越长，焦虑水平越高；且心理问题的青少年比例逐年升高</t>
  </si>
  <si>
    <t>不能支持_x000D_
_x000D_
没有明确的观点，只是两个研究的结论而已。</t>
  </si>
  <si>
    <t>否_x000D_
_x000D_
材料1论证薄弱，虽然支持我的观点，但是不予考虑</t>
  </si>
  <si>
    <t>青少年长时间使用社交媒体是由于无法在现实中舒缓自己的情绪</t>
  </si>
  <si>
    <t>一般_x000D_
_x000D_
材料只是进行了道理推理，没有科学性的证据支持，所以支持程度很弱</t>
  </si>
  <si>
    <t>一般_x000D_
_x000D_
材料考虑了因果的方向性问题，是比较创新性的发现</t>
  </si>
  <si>
    <t>探讨了青少年长时间使用社交媒体的原因，和主题之间的联系比较弱。主题是探讨使用社交媒体的危害</t>
  </si>
  <si>
    <t>否_x000D_
_x000D_
材料内容和我的立场之间关联不大</t>
  </si>
  <si>
    <t>一般_x000D_
_x000D_
理由较为合理，但是理由没有研究支持，且只关注了社交媒体的一方面——“比较文化”，并没有关注到社交媒体的其他方面或者正面作用。所以结论的得出是片面的，且“必然”这个词用的很蠢</t>
  </si>
  <si>
    <t>一般_x000D_
_x000D_
没有实证研究</t>
  </si>
  <si>
    <t>支持主题，但是主题中似乎没有提到“长时间”</t>
  </si>
  <si>
    <t>否_x000D_
_x000D_
材料从“比较文化”的角度论证长时间使用社交媒体的危害</t>
  </si>
  <si>
    <t>比较文化并不是社交媒体特有的，使用社交媒体对心理健康不会产生负面影响</t>
  </si>
  <si>
    <t>驳斥上一则材料</t>
  </si>
  <si>
    <t>否_x000D_
_x000D_
比较文化随处都有，但是社交媒体上的特别集中且突出</t>
  </si>
  <si>
    <t>社交媒体对青少年的心理健康存在积极影响</t>
  </si>
  <si>
    <t>不能支持_x000D_
_x000D_
只采访了5名青少年，还是“博主”。样本量太少而且取样有偏差，只采访“成功人士”有什么说服力？</t>
  </si>
  <si>
    <t>基本无效_x000D_
_x000D_
只是少数成功人的观点罢了</t>
  </si>
  <si>
    <t>另外开启了一个话题，论证社交媒体对心理健康有积极影响，和主题不是特别相关</t>
  </si>
  <si>
    <t>采访的5名青少年是无效的</t>
  </si>
  <si>
    <t>社交媒体不是导致青少年心理问题的真正原因，只是“背锅侠”</t>
  </si>
  <si>
    <t>和材料2/3形成对比论证</t>
  </si>
  <si>
    <t>社交媒体对青少年的心理健康有严重影响</t>
  </si>
  <si>
    <t>一般_x000D_
_x000D_
论证语言口语化，没有实际研究结果支持，只是凭借观点进行论证。且只考虑了“电子鸦片”这一个后果，不具有代表性</t>
  </si>
  <si>
    <t>一般_x000D_
_x000D_
没有实证研究结果支持</t>
  </si>
  <si>
    <t>另起话题，论述社交媒体的成瘾现象</t>
  </si>
  <si>
    <t>不能支持_x000D_
_x000D_
理由只是说明了心理问题和使用社交媒体时长存在正相关，但并不能论证是社交媒体导致了心理问题，相反，可能是有心理问题的青少年更愿意在社交媒体上花时间，也可能是社会快速发展平行的导致了青少年的心理问题和社交媒体的发展。</t>
  </si>
  <si>
    <t>否_x000D_
_x000D_
论证不合理，不影响我的立场。</t>
  </si>
  <si>
    <t>观点：青少年可能是因为感觉到焦虑才长时间呆在社交媒体上，而不是因为使用社交媒体才导致了焦虑等的心理健康问题。
理由：如果一个人在现实中和家人和朋友关系很好，他的心理问题能及时排解，不会花4个小时在社交媒体上。</t>
  </si>
  <si>
    <t>一般_x000D_
_x000D_
理由说心理问题能得到及时排解的人不会长时间使用社交媒体，倒是一点论证都没有，但是理由确实支撑观点的。</t>
  </si>
  <si>
    <t>非常有效_x000D_
_x000D_
说明了社交软件和心理问题客观上呈现的高相关或许另有其他原因，有效反驳了对方的主要论据。</t>
  </si>
  <si>
    <t>否_x000D_
_x000D_
它和我对于“社交软件和心理问题客观上呈现的高相关”的观点相符，不改变我的立场。</t>
  </si>
  <si>
    <t>充分支持_x000D_
_x000D_
理由具体解释了观点所说的社交媒体的长时间使用是如何导致青少年焦虑的，有效支持观点。存在滑坡论证的错误，认为“比较文化”必然导致降低自尊心的糟糕结果，认为降低自尊心必然导致心理健康危机的负面结果，实际上，在任何一环中都有别的可能。</t>
  </si>
  <si>
    <t>非常有效_x000D_
_x000D_
观点说必然焦虑，和主题相关。但是不太合理，因为滑坡论证，实际上，部分青少年可能在比较文化中有更强的进取心，也有部分青少年可能在自我怀疑过后更加坚定自己的目标，不是必然导致焦虑。</t>
  </si>
  <si>
    <t>否_x000D_
_x000D_
这条太绝对了，并不合理。</t>
  </si>
  <si>
    <t>否_x000D_
_x000D_
它的论证回避了正常青少年过度使用和异常青少年过度使用的后果。</t>
  </si>
  <si>
    <t>一般_x000D_
_x000D_
理由是支持观点的。但是论证以偏概全，记者采访的都是成功的内容创作者，材料没有讨论那些在互联网上不发言的青少年、发言被冷落的青少年、发言引来负面评价的青少年。</t>
  </si>
  <si>
    <t>一般_x000D_
_x000D_
被理解是一种积极影响，这是契合主题的。但是并不合理，被理解不一定是积极影响，如果一个青少年的消极念头也和网友产生了共鸣，可能加重他的消极观念，这就是负面影响。</t>
  </si>
  <si>
    <t>提出新的观点。</t>
  </si>
  <si>
    <t>否_x000D_
_x000D_
这条材料依然是只看到事情的一个方面，不影响我的立场。</t>
  </si>
  <si>
    <t>这段材料反驳了材料5，提出了另一种可能。</t>
  </si>
  <si>
    <t>否_x000D_
_x000D_
说得挺对的，但是从一个极端转向了另一个极端，应当积极消极两面都要看到。不影响我的判断。</t>
  </si>
  <si>
    <t>在反驳材料2，补充丰富了材料4。</t>
  </si>
  <si>
    <t>否_x000D_
_x000D_
提出了青少年心理问题与社交媒体使用时长高相关的另一种可能解释。但诚然，社交媒体或许不是青少年心理问题的根本原因，但不能回避了让这些心理有问题的青少年进一步接触社交媒体究竟是利是弊。</t>
  </si>
  <si>
    <t>观点：社交媒体具有极强的吸引力和成瘾性，对青少年心理健康有负面影响。
理由：社交媒体上的很多内容像“电子鸦片”一样，具有极强的吸引力和成瘾性。如果成瘾都不算心理问题，那什么才算？而且现在很多人都在使用社交媒体，所以这已经是一种集体成瘾了。因此</t>
  </si>
  <si>
    <t>不能支持_x000D_
_x000D_
看得多并不代表成瘾，成瘾是离开社交媒体活不了，不能支持观点，不合理。</t>
  </si>
  <si>
    <t>基本无效_x000D_
_x000D_
青少年连续不断使用社交媒体并不构成负面影响，还可能是社交媒体的环境缓解了青少年的心理压力。很多人都在用也不是负面影响。无效，不合理。</t>
  </si>
  <si>
    <t>否_x000D_
_x000D_
不知所云，不影响立场。</t>
  </si>
  <si>
    <t>一般_x000D_
_x000D_
数据支持</t>
  </si>
  <si>
    <t>否_x000D_
_x000D_
肯定事情都是良莠不齐的啊，哪有绝对的好、坏。</t>
  </si>
  <si>
    <t xml:space="preserve">观点：青少年可能是因为感觉到焦虑才长时间呆在社交媒体上，而不是因为使用社交媒体才导致了焦虑等的心理健康问题。
理由：如果一个人在现实中和家人和朋友关系很好，他的心理问题能及时排解，又怎么会花4个小时在社交媒体上？
</t>
  </si>
  <si>
    <t>一般_x000D_
_x000D_
缺少反例</t>
  </si>
  <si>
    <t>一般_x000D_
_x000D_
只说了一方</t>
  </si>
  <si>
    <t>进一步说明</t>
  </si>
  <si>
    <t>充分支持_x000D_
_x000D_
说了反例</t>
  </si>
  <si>
    <t>非常有效_x000D_
_x000D_
有效推翻之前，好坏都说了</t>
  </si>
  <si>
    <t>双向论证</t>
  </si>
  <si>
    <t>观点：比较文化随处都有，不只是社交媒体上才有。
理由：此外，大多数青少年对社交媒体的使用是适度的，那些每天使用超过4小时的人的心理健康可能本身存在一些问题。所以，对大多数青少年而言，使用社交媒体对心理健康不会产生负面影响。</t>
  </si>
  <si>
    <t>否_x000D_
_x000D_
进一步论证</t>
  </si>
  <si>
    <t>观点：社交媒体对青少年的心理健康存在积极影响，
材料：因为青少年可以在这里找到支持和理解自己的人。有记者采访了某社交媒体的5名青少年博主，他们表示，自己表达的观点和创作的作品获得了很多网友的鼓励和认可，感到自己被理解也更自信了。</t>
  </si>
  <si>
    <t>一般_x000D_
_x000D_
同意</t>
  </si>
  <si>
    <t>一般_x000D_
_x000D_
进一步论证</t>
  </si>
  <si>
    <t>观点：社交媒体确实为表达自我与艺术创作提供了自由的环境
材料：但接受采访的5名青少年肯定其中比较出众的，他们愿意分享自己的积极体验，但这是一种假象。他们观点不能代表所有青少年，尤其是那些在社交媒体上遭遇负面经历（比如网络欺凌）的青少年。</t>
  </si>
  <si>
    <t>理由：社交媒体上的很多内容像“电子鸦片”一样，具有极强的吸引力和成瘾性。如果成瘾都不算心理问题，那什么才算？而且现在很多人都在使用社交媒体，所以这已经是一种集体成瘾了
观点：认为社交媒体对青少年的心理健康没有不良影响是不负责任的！</t>
  </si>
  <si>
    <t>同意</t>
  </si>
  <si>
    <t>不能支持_x000D_
_x000D_
这个理由并不能表明是社交媒体导致了青少年的心理问题严重化，没有考虑其他的因素，没有严格的因果性，推理错误</t>
  </si>
  <si>
    <t>否_x000D_
_x000D_
社交媒体的积极方面在材料中没有被提及。</t>
  </si>
  <si>
    <t>一般_x000D_
_x000D_
使用社交媒体确实可能是因为自身本身就有心理问题，但是没有考虑其他方面的影响。</t>
  </si>
  <si>
    <t>一般_x000D_
_x000D_
观点也有偏见，但是观点中使用的措辞是可能。所以有一定的有效性</t>
  </si>
  <si>
    <t>材料2反对了材料1</t>
  </si>
  <si>
    <t>否_x000D_
_x000D_
青少年的心理健康有负面状况不一定是社交媒体导致的，可能是本身就已经有了。</t>
  </si>
  <si>
    <t>一般_x000D_
_x000D_
社交媒体上一些完美生活和自身高水平能力的展现确实会对青少年产生压力，造成一定的焦虑，但是必定的说法太绝对了，逻辑错误。</t>
  </si>
  <si>
    <t>基本无效_x000D_
_x000D_
长时间使用社交媒体不一定护造成焦虑，虽然经常看到其他人的精致生活，但是这也可以促进青少年的努力，也可以促进他们的发展</t>
  </si>
  <si>
    <t>材料3反对了材料2，支持了材料1</t>
  </si>
  <si>
    <t>否_x000D_
_x000D_
长时间使用社交媒体不一定导致青少年焦虑，有时可以促进他们的发展，激励他们的奋斗，有时还可以为他们提供榜样和方向。</t>
  </si>
  <si>
    <t>材料4反对了材料3和材料1</t>
  </si>
  <si>
    <t>否_x000D_
_x000D_
大多数青年使用社交媒体并没有很严重的负面影响，大部分还是积极的正面影响。</t>
  </si>
  <si>
    <t>一般_x000D_
_x000D_
理由中只采访了部分的青年社交博主，而且这些都是创作者，样本不具有代表性。</t>
  </si>
  <si>
    <t>一般_x000D_
_x000D_
社交媒体对青少年的心理健康存在积极影响，观点和主题密切先关</t>
  </si>
  <si>
    <t>材料5反对了材料3，在材料4的基础上提出一种新的观点。</t>
  </si>
  <si>
    <t>否_x000D_
_x000D_
社交媒体确实对青少年的心理健康产生了积极影响</t>
  </si>
  <si>
    <t>观点：5名青少年博主观点不能代表所有青少年，尤其是那些在社交媒体上遭遇负面经历（比如网络欺凌）的青少年。
理由：社交媒体确实为表达自我与艺术创作提供了自由的环境，但接受采访的5名青少年肯定其中比较出众的，他们愿意分享自己的积极体验，但这是一种假象。</t>
  </si>
  <si>
    <t>材料6反对了材料5</t>
  </si>
  <si>
    <t>否_x000D_
_x000D_
一些遭受负面经历的青少年也不能代表大多数青少年，总体上来说，积极影响还是大于负面影响。</t>
  </si>
  <si>
    <t>材料7支持了材料2</t>
  </si>
  <si>
    <t>否_x000D_
_x000D_
社交媒体在青少年心理健康问题上不占主要原因。</t>
  </si>
  <si>
    <t>一般_x000D_
_x000D_
社交媒体上瘾确实对青少年产生了不良影响</t>
  </si>
  <si>
    <t>一般_x000D_
_x000D_
社交媒体对青少年心理健康问题有一定的负面影响，但不是主要原因。</t>
  </si>
  <si>
    <t>否_x000D_
_x000D_
社交媒体对青少年产生了影响，但不是主要的原因。</t>
  </si>
  <si>
    <t>观点：这说明社交媒体对青少年的心理健康有负面影响。
理由：有研究调查了1000多名青少年，发现那些每天使用社交媒体超过4小时的青少年的焦虑水平比其它青少年更高。而且近10年的数据也显示，随着社交媒体的普及，存在心理问题的青少年比例也逐年增高</t>
  </si>
  <si>
    <t>不能支持_x000D_
_x000D_
我认为这段材料中的理由对观点并不能有效支持。
首先，调查四个小时以上使用时长的青少年焦虑水平高于其他，但无法确认少量使用，即低于四个小时的使用时长的青少年焦虑水平是否会更低？
其次，社会在发展，各种事物都在变化，随着社交媒体的普及，存在心理问题的青少年比例逐年增高，前后没有因果关系，属生拉硬凑。</t>
  </si>
  <si>
    <t>否_x000D_
_x000D_
我坚持我的立场，这段材料对我的观点没有影响</t>
  </si>
  <si>
    <t>一般_x000D_
_x000D_
我认为材料中的理由一部分程度上可以支持其观点。
材料中的理由给出了一种可能存在的情况，为观点举出了可能存在的例子。关系紧密，但有些脱离实际，空想。</t>
  </si>
  <si>
    <t>一般_x000D_
_x000D_
我认为这段材料中的观点有效性一般。
材料中的理由给出了一种可能存在的情况，对社交媒体影响青少年心理健康的观点给出了一种新的方向，引人思考，但给出的理由却有些脱离现实看问题，只给出一种理想状态下的情况，而现实可能存在许多情形。</t>
  </si>
  <si>
    <t>这段材料对材料一中给出的“社交媒体影响青少年心理健康”一观点做出了针对，给予了一种不同的看问题的角度指出了上个材料中观点的不够全面之处。</t>
  </si>
  <si>
    <t>否_x000D_
_x000D_
材料给出的内容存在于我的认知中，故立场不做改变。</t>
  </si>
  <si>
    <t>不能支持_x000D_
_x000D_
我认为材料中理由并不能很好的支持其观点。
完美生活的展示也有可能会激励青少年更加努力，去追逐自己想要的生活。对现有生活的不满可能会让人进步，而非只会降低其幸福感和自尊心。</t>
  </si>
  <si>
    <t>基本无效_x000D_
_x000D_
我认为这段材料中的观点基本无效。
长期使用社交媒体必然导致青少年焦虑的说法过于绝对，相当程度上是一种不合理的偏见。</t>
  </si>
  <si>
    <t>这段材料为“社交媒体影响青少年心理健康导致焦虑”提供了支持和解释，</t>
  </si>
  <si>
    <t>否_x000D_
_x000D_
该材料的观点不合理，理由过于绝对。</t>
  </si>
  <si>
    <t>这段材料针对材料1和材料3中给出的“社交媒体影响青少年心理健康”的具体例子进行了针对性的反驳，各从具体方面指出其说法的问题所在</t>
  </si>
  <si>
    <t>否_x000D_
_x000D_
材料观点缺乏实证支持，对于这方面的认知不能说支持一方里某一点错了，反对一方的观点就对了。立场不做改变。</t>
  </si>
  <si>
    <t>充分支持_x000D_
_x000D_
这段材料中的理由对观点是相当支持的，有效且充分。
观点指出青少年可能找到在这里支持和理解自己的人，后文便给出了记者采访得到的实际例子，联系紧密，具有说服力。</t>
  </si>
  <si>
    <t xml:space="preserve">一般_x000D_
_x000D_
我觉得材料给出的观点有效性的确一般。
不能因网络上存在一部分积极乐观的内容就看不到其背地里的另一面，由给出的事实的确可以支持其观点，但无法直接推动得到这一部分结论
</t>
  </si>
  <si>
    <t>这段材料在已有材料的基础上论述了社交媒体在其他方面存在的积极影响，开辟了一个新的论述点。</t>
  </si>
  <si>
    <t>否_x000D_
_x000D_
材料的内容存在于我已有认知思考之内，故立场不做改变。</t>
  </si>
  <si>
    <t>观点：少数存在积极影响的实例不能代表所有青少年。
理由：社交媒体确实为表达自我与艺术创作提供了自由的环境，但接受采访的5名青少年肯定其中比较出众的，他们愿意分享自己的积极体验，但这是一种假象。社交媒体确实为表达自我与艺术创作提供了自由的环境，但接受采访的5名青少年肯定其中比较出众的，他们愿意分享自己的积极体验，但这是一种假象。</t>
  </si>
  <si>
    <t>社交媒体对青少年的心理健康有负面影响
每天使用社交媒体超过4小时的青少年的焦虑水平比其它青少年更高。而且近10年的数据也显示，随着社交媒体的普及，存在心理问题的青少年比例也逐年增高</t>
  </si>
  <si>
    <t>一般_x000D_
_x000D_
每天使用社交媒体时间长可能是因为没有其他的娱乐方式，可能是其他的娱乐方式减少了其他人的焦虑水平
而且不一定是社交媒体的普及导致了青少年存在心理问题</t>
  </si>
  <si>
    <t>非常有效_x000D_
_x000D_
反驳了材料一</t>
  </si>
  <si>
    <t>是_x000D_
_x000D_
3_x000D_
_x000D_
说的确实很有道理</t>
  </si>
  <si>
    <t>充分支持_x000D_
_x000D_
感同身受</t>
  </si>
  <si>
    <t>是_x000D_
_x000D_
2_x000D_
_x000D_
说的很有道理</t>
  </si>
  <si>
    <t>否_x000D_
_x000D_
强词夺理有点，没有给出任何资料证明</t>
  </si>
  <si>
    <t>一般_x000D_
_x000D_
观点确实是正确的，但理由以偏概全。</t>
  </si>
  <si>
    <t>否_x000D_
_x000D_
理由以偏概全</t>
  </si>
  <si>
    <t>他们观点不能代表所有青少年，尤其是那些在社交媒体上遭遇负面经历（比如网络欺凌）的青少年
社交媒体确实为表达自我与艺术创作提供了自由的环境，但接受采访的5名青少年肯定其中比较出众的，他们愿意分享自己的积极体验，但这是一种假象</t>
  </si>
  <si>
    <t>否_x000D_
_x000D_
说出了我看材料五时的心理</t>
  </si>
  <si>
    <t>因此，社交媒体并不是导致青少年心理问题的真正原因，而只是“背锅”的对象。
虽然调查发现，每天使用社交媒体超过4小时的青少年具有更高的焦虑水平，但如果把他们的人际关系也考虑在内就会发现，这些青少年对自己的家庭关系和朋友关系质量的评价都比较低</t>
  </si>
  <si>
    <t>是_x000D_
_x000D_
4_x000D_
_x000D_
说的很有道理</t>
  </si>
  <si>
    <t>认为社交媒体对青少年的心理健康没有不良影响是不负责任的
社交媒体上的很多内容像“电子鸦片”一样，具有极强的吸引力和成瘾性。如果成瘾都不算心理问题，那什么才算？而且现在很多人都在使用社交媒体，所以这已经是一种集体成瘾了。</t>
  </si>
  <si>
    <t>不能支持_x000D_
_x000D_
有点夸张了</t>
  </si>
  <si>
    <t>基本无效_x000D_
_x000D_
太夸张了</t>
  </si>
  <si>
    <t>否_x000D_
_x000D_
理由夸张了</t>
  </si>
  <si>
    <t>充分支持_x000D_
_x000D_
这段材料说明了某项调查的结果，表明社交媒体对青少年的心理有负面影响，使用数据使结果更加可靠</t>
  </si>
  <si>
    <t>否_x000D_
_x000D_
该观点支持了我的观点，我也因此更加相信我的观点</t>
  </si>
  <si>
    <t>一般_x000D_
_x000D_
该理由比较片面，一个人在现实生活中与家人朋友的关系很好不能保证他的心理问题能及时排解</t>
  </si>
  <si>
    <t>一般_x000D_
_x000D_
该观点与主题紧密相关，但观点不太合理，有一定偏见</t>
  </si>
  <si>
    <t>该材料反驳了材料1，指出青少年是因为焦虑所以才选择长时间待在社交媒体上</t>
  </si>
  <si>
    <t>否_x000D_
_x000D_
该观点与我的观点相反，但它的理由还不足以动摇我的观点</t>
  </si>
  <si>
    <t>观点；长时间使用社交媒体必然会导致青少年焦虑
理由：因为社交媒体上普遍存在“比较文化”，加上铺天盖地的“完美生活”的展示，会让青少年对自己的生活感到不满，降低幸福感和自尊心，导致社交退缩、自我怀疑，最终引发心理健康危机。</t>
  </si>
  <si>
    <t>一般_x000D_
_x000D_
理由没有事实的理论依据，以偏概全，社交媒体上也不全是“比较文化”，关键还在青少年喜欢看什么，就会给他推送什么</t>
  </si>
  <si>
    <t>一般_x000D_
_x000D_
该观点与主题紧密相关，但是观点过于绝对</t>
  </si>
  <si>
    <t>这段材料反驳了材料2，指出正是现在社交媒体上的“比较文化”才导致了青少年的焦虑</t>
  </si>
  <si>
    <t>否_x000D_
_x000D_
改材料支持了我的观点</t>
  </si>
  <si>
    <t>该材料反驳了材料3，指出比较文化并不只存在于网络上</t>
  </si>
  <si>
    <t>否_x000D_
_x000D_
这材料的观点与我的相反，但我不觉得它的理由正确，因此我的立场不变</t>
  </si>
  <si>
    <t>一般_x000D_
_x000D_
该观点的理由只是五个青少年而且还是博士的看法，他们的身份比较特殊，因此不能说明什么，以偏概全</t>
  </si>
  <si>
    <t>非常有效_x000D_
_x000D_
该观点与主题紧密结合，也比较合理</t>
  </si>
  <si>
    <t>这段材料提出了一个新观点，即社交媒体对青少年的心理存在积极影响</t>
  </si>
  <si>
    <t>否_x000D_
_x000D_
我觉得该观点的理由不够充分</t>
  </si>
  <si>
    <t>观点：他们观点不能代表所有青少年，尤其是那些在社交媒体上遭遇负面经历（比如网络欺凌）的青少年。
理由：但接受采访的5名青少年肯定其中比较出众的，他们愿意分享自己的积极体验</t>
  </si>
  <si>
    <t>这段材料反驳了材料5，指出这5名青少年的身份问题</t>
  </si>
  <si>
    <t>否_x000D_
_x000D_
我认同这段材料的观点</t>
  </si>
  <si>
    <t>该材料反驳了材料3，指出青少年的人际关系也是导致他们焦虑的原因</t>
  </si>
  <si>
    <t>否_x000D_
_x000D_
虽然这段材料比较有说服力，但我还是坚持自己的立场</t>
  </si>
  <si>
    <t>一般_x000D_
_x000D_
理由说明了青少年对社交媒体成瘾的现象，但是没有说明青少年是否有成瘾现象，没有事实依据</t>
  </si>
  <si>
    <t>非常有效_x000D_
_x000D_
该观点与主题紧密相连，比较合理</t>
  </si>
  <si>
    <t>该材料提出了一个新的观点，即青少年的成瘾现象也是社交媒体对青少年的不良影响</t>
  </si>
  <si>
    <t>否_x000D_
_x000D_
我觉得这段材料的观点与我的一致</t>
  </si>
  <si>
    <t>不能支持_x000D_
_x000D_
相关不能得出因果</t>
  </si>
  <si>
    <t>青少年可能是因为感觉到焦虑才长时间呆在社交媒体上，而不是因为使用社交媒体才导致了焦虑等的心理健康问题</t>
  </si>
  <si>
    <t>一般_x000D_
_x000D_
有这种情况，但你不能说社交媒体只有这种影响从而全面禁止</t>
  </si>
  <si>
    <t xml:space="preserve">为某材料提供⽀持和解释 </t>
  </si>
  <si>
    <t>对大多数青少年而言，使用社交媒体对心理健康不会产生负面影响</t>
  </si>
  <si>
    <t>社交媒体确实为表达自我与艺术创作提供了自由的环境但这是一种假象。他们观点不能代表所有青少年</t>
  </si>
  <si>
    <t>社交媒体并不是导致青少年心理问题的真正原因，而只是“背锅”的对象</t>
  </si>
  <si>
    <t>认为社交媒体对青少年的心理健康没有不良影响是不负责任的！</t>
  </si>
  <si>
    <t>不能支持_x000D_
_x000D_
。</t>
  </si>
  <si>
    <t>基本无效_x000D_
_x000D_
。</t>
  </si>
  <si>
    <t>一般_x000D_
_x000D_
研究发现说明了观点，但近十年数据得出的理由并不能很好的说明观点，因为可能存在群组效应。</t>
  </si>
  <si>
    <t>否_x000D_
_x000D_
我认为我的立场没问题</t>
  </si>
  <si>
    <t>不能支持_x000D_
_x000D_
该观点的理由不符合客观事实，因此不能得出结论。</t>
  </si>
  <si>
    <t>一般_x000D_
_x000D_
观点与主题关系一般，立场明确</t>
  </si>
  <si>
    <t>否_x000D_
_x000D_
该观点不合理，不影响我的立场</t>
  </si>
  <si>
    <t>一般_x000D_
_x000D_
理由虽然符合常模，但没有有效的数据支持</t>
  </si>
  <si>
    <t>反驳了材料一和材料三</t>
  </si>
  <si>
    <t>否_x000D_
_x000D_
反驳观点的理由不合理</t>
  </si>
  <si>
    <t>不能支持_x000D_
_x000D_
记者采访的群体不能代表使用社交媒体的青少年，且采访的人数过少，无法论证观点</t>
  </si>
  <si>
    <t>一般_x000D_
_x000D_
材料立场明确，但与主题的问题关系不大</t>
  </si>
  <si>
    <t>否_x000D_
_x000D_
材料论证不合理，且与主题关系不大</t>
  </si>
  <si>
    <t>观点：材料5的观点是一种假象
理由：他们观点不能代表所有青少年，尤其是那些在社交媒体上遭遇负面经历（比如网络欺凌）的青少年。</t>
  </si>
  <si>
    <t>反驳了材料五，之处它以偏概全</t>
  </si>
  <si>
    <t>否_x000D_
_x000D_
反驳的有道理，支持我的立场</t>
  </si>
  <si>
    <t>反驳了材料一，指出很多因素影响</t>
  </si>
  <si>
    <t>否_x000D_
_x000D_
不能改变我的立场</t>
  </si>
  <si>
    <t>不能支持_x000D_
_x000D_
理由中的看法不符合常模，过于激进</t>
  </si>
  <si>
    <t>否_x000D_
_x000D_
不足以改变我的立场</t>
  </si>
  <si>
    <t>观点：社交媒体对青少年的心理健康产生了负面影响
理由：使用社交媒体时间长的青少年更焦虑、社交媒体普及后青少年心理问题也增加了</t>
  </si>
  <si>
    <t>不能支持_x000D_
_x000D_
存在逻辑错误。第一个调查只能说明相关不能说明因果，或许这些青少年是因为本就焦虑所以花更多时间在社交媒体上。第二个调查也是只能说明相关，或许心理问题比例升高另有原因，不能归结到社交媒体的普及上</t>
  </si>
  <si>
    <t>否_x000D_
_x000D_
这则材料参考价值不是很大，但是至少说明了有相关</t>
  </si>
  <si>
    <t>观点：青少年是因为焦虑才花时间在社交媒体上
理由：只有人在现实中无法及时排解心理问题时才会花很多时间在社交媒体上</t>
  </si>
  <si>
    <t>一般_x000D_
_x000D_
存在以偏概全。一定也有人只是单纯享受社交媒体的乐趣，对此上瘾。</t>
  </si>
  <si>
    <t>一般_x000D_
_x000D_
观点与主题紧密相关，但缺乏支持，有失偏颇。</t>
  </si>
  <si>
    <t>反驳了材料一，认为是焦虑在前长时间社交媒体在后，而不是长时间社交媒体活动导致焦虑</t>
  </si>
  <si>
    <t>否_x000D_
_x000D_
这则材料和我反驳材料一的理由一样哈哈</t>
  </si>
  <si>
    <t>观点：长时间使用社交媒体会导致青少年焦虑，因为有“比较文化”
理由：社交媒体上有许多完美生活展示，会使青少年自卑</t>
  </si>
  <si>
    <t>一般_x000D_
_x000D_
社交媒体上内容种类繁多，而且看到别人的所谓完美生活也不一定会造成焦虑，逻辑上不是特别完善</t>
  </si>
  <si>
    <t>非常有效_x000D_
_x000D_
观点与问题紧密相连，并且指出了导致青少年心理问题的关键因素</t>
  </si>
  <si>
    <t>提出新的观点：青少年因为社交媒体比较文化而自我怀疑，导致自卑、心理问题</t>
  </si>
  <si>
    <t>否_x000D_
_x000D_
之前打分的时候就想到这个点了</t>
  </si>
  <si>
    <t>观点：对大部分人来说，社交媒体不会产生负面影响
理由：比较文化随处可见，适度使用不会伤身</t>
  </si>
  <si>
    <t>否_x000D_
_x000D_
它的理由不太充分（如上第二问的回答）</t>
  </si>
  <si>
    <t>观点：社交媒体对青少年的心理健康存在积极影响
理由：青少年可以在这里找到支持、理解、鼓励他们的人</t>
  </si>
  <si>
    <t>一般_x000D_
_x000D_
可以支持但不充分，论据只来自青少年博主，而博主只是一小部分而已。</t>
  </si>
  <si>
    <t>一般_x000D_
_x000D_
与主题紧密相关，但是存在偏见。社交媒体一定对部分人有积极影响，但是是多大一部分人很难说，影响程度也难说</t>
  </si>
  <si>
    <t>提出新的观点：因为被认可所以产生积极影响</t>
  </si>
  <si>
    <t>否_x000D_
_x000D_
我认为理由不充分</t>
  </si>
  <si>
    <t>观点：社交媒体对很多青少年心理健康产生负面影响
理由：能创作的博主只是少数。还有很多在社交媒体上遭遇负面经历的青少年。</t>
  </si>
  <si>
    <t>否_x000D_
_x000D_
之前看材料五的时候就有相似的想法了</t>
  </si>
  <si>
    <t>观点：社交媒体只是背锅对象，不是它们造成了青少年的心理健康问题
理由：长时间使用社交媒体的青少年焦虑水平较高，对家庭关系和朋友关系质量的评价都比较低。</t>
  </si>
  <si>
    <t>支持材料二，反对材料一</t>
  </si>
  <si>
    <t>否_x000D_
_x000D_
觉得这则材料也不够充分</t>
  </si>
  <si>
    <t>观点：社交媒体导致成瘾，对青少年心理健康产生负面影响
理由：现在社会对社交媒体集体成瘾，很多人都在使用</t>
  </si>
  <si>
    <t>一般_x000D_
_x000D_
很多人使用不代表每个人都上瘾，且这种所谓的上瘾其中一部分或许危害不大甚至没有危害。而且材料语言比较情绪化没有什么特别严密的逻辑</t>
  </si>
  <si>
    <t>非常有效_x000D_
_x000D_
观点很清楚</t>
  </si>
  <si>
    <t>提出新的观点：成瘾的负面影响</t>
  </si>
  <si>
    <t>否_x000D_
_x000D_
虽然支持我的观点但是理由不充分，我还是比较坚定原本的</t>
  </si>
  <si>
    <t>观点：社交媒体对青少年的心理健康有负面影响。 理由1 研究发现每天使用社交媒体超过4小时的青少年的焦虑水平比其它青少年更高；理由2 随着社交媒体的普及，存在心理问题的青少年比例也逐年增高。</t>
  </si>
  <si>
    <t>一般_x000D_
_x000D_
理由1可以支持；理由2只做相关分析，不能说明因果关系。</t>
  </si>
  <si>
    <t xml:space="preserve">否_x000D_
_x000D_
材料1的观点能支持我的立场，但理由不够充分。
</t>
  </si>
  <si>
    <t>观点：青少年因为心理问题才长时间使用社交媒体。理由：如果一个人在现实中和家人和朋友关系很好，他的心理问题能及时排解，就不会花4个小时在社交媒体上。</t>
  </si>
  <si>
    <t>一般_x000D_
_x000D_
假设论证存在逻辑漏洞</t>
  </si>
  <si>
    <t>基本无效_x000D_
_x000D_
主题和青少年使用社交媒体的原因无关，只讨论负面影响的结果是否存在。</t>
  </si>
  <si>
    <t xml:space="preserve">反驳材料1 </t>
  </si>
  <si>
    <t>否_x000D_
_x000D_
材料2的观点和理由与我立场相反，但我认为主题和青少年使用社交媒体的原因无关，只讨论负面影响的结果是否存在。本材料观点无效。</t>
  </si>
  <si>
    <t>观点：长时间使用社交媒体导致青少年焦虑。 理由：社交媒体上普遍存在“比较文化”，加上铺天盖地的“完美生活”的展示，会让青少年对自己的生活感到不满，降低幸福感和自尊心，导致社交退缩、自我怀疑，最终引发心理健康危机。</t>
  </si>
  <si>
    <t>充分支持_x000D_
_x000D_
逻辑正确</t>
  </si>
  <si>
    <t>非常有效_x000D_
_x000D_
和主题相关且合理</t>
  </si>
  <si>
    <t>为材料1社交媒体导致焦虑等心理问题的观点补充逻辑，从“比较文化”降低幸福感和自尊心的角度论证观点。</t>
  </si>
  <si>
    <t>否_x000D_
_x000D_
本材料契合原本的观点</t>
  </si>
  <si>
    <t>观点：对大多数青少年而言，使用社交媒体对心理健康不会产生负面影响。 理由1比较文化随处都有，不只是社交媒体上才有。理由2大多数青少年对社交媒体的使用是适度的，那些每天使用超过4小时的人的心理健康可能本身存在一些问题。</t>
  </si>
  <si>
    <t>反驳材料1，指出使用4小时以上的人群属于少数群体，不具有普遍性。</t>
  </si>
  <si>
    <t>否_x000D_
_x000D_
材料4的观点和理由与我立场相反，但我能反驳它们来支持我的立场，因为对大多数的判断有些缺乏依据。</t>
  </si>
  <si>
    <t>观点：社交媒体对青少年的心理健康存在积极影响。 理由：青少年可以在这里找到支持和理解自己的人。举例：有记者采访了某社交媒体的5名青少年博主，他们表示，自己表达的观点和创作的作品获得了很多网友的鼓励和认可，感到自己被理解也更自信了。</t>
  </si>
  <si>
    <t>一般_x000D_
_x000D_
理由可以支持观点，但博主属于特殊群体，代表性弱，论据的支撑力较差。</t>
  </si>
  <si>
    <t>非常有效_x000D_
_x000D_
从反面驳斥社交媒体对青少年的心理健康产生了负面影响。</t>
  </si>
  <si>
    <t>提出新观点，从反面驳斥社交媒体对青少年的心理健康产生了负面影响。</t>
  </si>
  <si>
    <t>否_x000D_
_x000D_
材料5的观点和理由与我立场相反，但我认为整体而言负面影响超过正面影响。</t>
  </si>
  <si>
    <t>观点：博主分享的积极体验一种假象。理由：得到积极体验的出众者更乐于分享，但不能代表社交媒体上遭遇负面经历的青少年。</t>
  </si>
  <si>
    <t>反驳材料5的论据没有代表性</t>
  </si>
  <si>
    <t>否_x000D_
_x000D_
材料6的观点和理由能有力地支持我当前的立场，因为得到积极体验的出众者更乐于分享，但不能代表社交媒体上遭遇负面经历的青少年。</t>
  </si>
  <si>
    <t>观点：社交媒体并不是导致青少年心理问题的真正原因，而只是“背锅”的对象。 理由：每天使用社交媒体超过4小时的青少年具有更高的焦虑水平，但如果把他们的人际关系也考虑在内就会发现，这些青少年对自己的家庭关系和朋友关系质量的评价都比较低。</t>
  </si>
  <si>
    <t>反驳材料1，指出4小时的研究应该将人际关系也考虑在内。</t>
  </si>
  <si>
    <t>否_x000D_
_x000D_
社交媒体或不是根本原因，可能是直接原因，材料不能直接社交媒体没有对青少年的心理健康产生负面影响</t>
  </si>
  <si>
    <t>观点：社交媒体使人成瘾。理由：社交媒体上的很多内容像“电子鸦片”一样，具有极强的吸引力和成瘾性。很多人都在使用社交媒体，已经是一种集体成瘾。</t>
  </si>
  <si>
    <t>一般_x000D_
_x000D_
以偏概全，并非所有内容都有成瘾性。</t>
  </si>
  <si>
    <t>一般_x000D_
_x000D_
观点和主题相关但存在一定偏见。</t>
  </si>
  <si>
    <t>否_x000D_
_x000D_
支持原本的立场但不够充分。</t>
  </si>
  <si>
    <t>一般_x000D_
_x000D_
只是相关研究 因果性未知</t>
  </si>
  <si>
    <t>否_x000D_
_x000D_
较相符</t>
  </si>
  <si>
    <t>观点：不是因为使用社交媒体才导致了青少年焦虑等的心理健康问题
理由：青少年可能是因为感觉到焦虑才长时间呆在社交媒体上，如果一个人在现实中和家人和朋友关系很好，他的心理问题能及时排解，不会花4个小时在社交媒体上</t>
  </si>
  <si>
    <t>不能支持_x000D_
_x000D_
无理论研究、客观数据支持</t>
  </si>
  <si>
    <t>一般_x000D_
_x000D_
观点不够明确</t>
  </si>
  <si>
    <t>一般_x000D_
_x000D_
只有举例 无数据</t>
  </si>
  <si>
    <t>支持1 提出新理由</t>
  </si>
  <si>
    <t>否_x000D_
_x000D_
已经考虑在内</t>
  </si>
  <si>
    <t>否_x000D_
_x000D_
已考虑</t>
  </si>
  <si>
    <t>观点：社交媒体对青少年的心理健康存在积极影响因为青少年可以在这里找到支持和理解自己的人。
理由：有记者采访了某社交媒体的5名青少年博主，他们表示，自己表达的观点和创作的作品获得了很多网友的鼓励和认可，感到自己被理解也更自信了。</t>
  </si>
  <si>
    <t>一般_x000D_
_x000D_
表述较完整</t>
  </si>
  <si>
    <t>观点：社交媒体的积极体验是一种假象
理由：接受采访的5名青少年肯定其中比较出众的，他们观点不能代表所有青少年，尤其是那些在社交媒体上遭遇负面经历（比如网络欺凌）的青少年。</t>
  </si>
  <si>
    <t>不能支持_x000D_
_x000D_
过于情绪化表达 无数据</t>
  </si>
  <si>
    <t>基本无效_x000D_
_x000D_
情绪化表达 不客观</t>
  </si>
  <si>
    <t xml:space="preserve">社交媒体对青少年的心理健康有负面影响。理由：研究调查结果与数据
</t>
  </si>
  <si>
    <t>一般_x000D_
_x000D_
第一个理由能够支持观点，第二个理由与观点无关，没有逻辑关系，社交媒体普及与青少年患心理问题比例增高没有因果关系。且观点为社交媒体而不是过度使用社交媒体，存在以偏概全。</t>
  </si>
  <si>
    <t>否_x000D_
_x000D_
观点为社交媒体而不是过度使用社交媒体，存在以偏概全。</t>
  </si>
  <si>
    <t>青少年可能是因为感觉到焦虑才长时间呆在社交媒体上，而不是因为使用社交媒体才导致了焦虑等的心理健康问题。</t>
  </si>
  <si>
    <t>充分支持_x000D_
_x000D_
充分且有效地支持了观点，但是疑问句中也存在着过于武断，以偏概全的问题</t>
  </si>
  <si>
    <t>一般_x000D_
_x000D_
与主题紧密相关，但存在偏见，认为长时间花在社交媒体上的青少年存在心理问题。</t>
  </si>
  <si>
    <t>反驳了材料1，辩证地看待了青少年心理问题与社交媒体的关系。</t>
  </si>
  <si>
    <t>否_x000D_
_x000D_
辩证地看待了青少年心理问题与社交媒体的关系，充分支持观点。</t>
  </si>
  <si>
    <t>长时间使用社交媒体必然会导致青少年焦虑。理由：社交媒体上“比较文化”会导致青少年对生活不满。</t>
  </si>
  <si>
    <t>不能支持_x000D_
_x000D_
存在以偏概全。过于夸大了“比较文化”“完美生活”带来的后果。并且没有实际例子与数据。</t>
  </si>
  <si>
    <t>一般_x000D_
_x000D_
存在社交媒体必然会导致青少年焦虑的偏见</t>
  </si>
  <si>
    <t>否_x000D_
_x000D_
存在社交媒体必然会导致青少年焦虑的偏见。</t>
  </si>
  <si>
    <t>否_x000D_
_x000D_
支持了观点，说明适度使用社交媒体不会对心理健康产生负面影响。</t>
  </si>
  <si>
    <t>社交媒体对青少年的心理健康存在积极影响。理由：青少年博主的采访</t>
  </si>
  <si>
    <t>充分支持_x000D_
_x000D_
说明了社交媒体对心理健康的积极影响。但是理由存在这样本量过小，以偏概全的嫌疑。</t>
  </si>
  <si>
    <t>非常有效_x000D_
_x000D_
观点与主题紧密相关，较为合理（也可能存在过度美化社交媒体）</t>
  </si>
  <si>
    <t>反驳材料1、4，支指出社交媒体对青少年心理的积极影响。</t>
  </si>
  <si>
    <t>是_x000D_
_x000D_
8_x000D_
_x000D_
说明了社交媒体能够对青少年心理健康存在积极影响，有理有据</t>
  </si>
  <si>
    <t>5名青少年的观点不能够代表所有的青少年</t>
  </si>
  <si>
    <t>反驳了材料5，指出其结论也许有特殊性</t>
  </si>
  <si>
    <t>否_x000D_
_x000D_
其举出来的例子同样具有特殊性，不能改变我当前立场</t>
  </si>
  <si>
    <t>社交媒体并不是导致青少年心理问题的真正原因。理由：研究结果</t>
  </si>
  <si>
    <t>反驳了材料3，指出了青少年自身家庭关系同样也是需要考虑的因素。</t>
  </si>
  <si>
    <t>否_x000D_
_x000D_
支持了我的立场，但是结论也存在过于绝对的问题。</t>
  </si>
  <si>
    <t>社交媒体具有极强的吸引力和成瘾性。</t>
  </si>
  <si>
    <t>不能支持_x000D_
_x000D_
理由偏离了青少年这个群体，变为了“所有人”，没有任何客观理由，都是主观推断，存在以偏概全，将使用社交媒体全部看做“成瘾行为”，而忽视了适当使用社交媒体。感情过于充沛。</t>
  </si>
  <si>
    <t>基本无效_x000D_
_x000D_
存在强烈主观偏见与推断，将使用社交媒体全部看做“成瘾行为”，而忽视了适当使用社交媒体。</t>
  </si>
  <si>
    <t>否_x000D_
_x000D_
材料存在强烈主观偏见与推断，将使用社交媒体全部看做“成瘾行为”，而忽视了适当使用社交媒体，同时缺少因果关系和举例说明。</t>
  </si>
  <si>
    <t>观点：社交媒体对青少年的心理健康有负面影响。
理由：研究调查了1000多名青少年，发现那些每天使用社交媒体超过4小时的青少年的焦虑水平比其它青少年更高。而且近10年的数据也显示，随着社交媒体的普及，存在心理问题的青少年比例也逐年增高。</t>
  </si>
  <si>
    <t>一般_x000D_
_x000D_
能支持但以偏概全。</t>
  </si>
  <si>
    <t>否_x000D_
_x000D_
我并不认同</t>
  </si>
  <si>
    <t>一般_x000D_
_x000D_
片面，绝对。</t>
  </si>
  <si>
    <t>一般_x000D_
_x000D_
紧密相关但并不合理，花4个小时在社交媒体上并不一定是因为焦虑。</t>
  </si>
  <si>
    <t>否_x000D_
_x000D_
片面又绝对，前面说的挺好，最后一句话我并不认同。</t>
  </si>
  <si>
    <t>一般_x000D_
_x000D_
支持但以偏概全。</t>
  </si>
  <si>
    <t>一般_x000D_
_x000D_
紧密相关但太绝对了，以偏概全地认为社交媒体只会给青少年传递“比较文化”之类的信息。</t>
  </si>
  <si>
    <t>否_x000D_
_x000D_
以偏概全，没有影响。</t>
  </si>
  <si>
    <t>否_x000D_
_x000D_
认可观点不认可理由。</t>
  </si>
  <si>
    <t>充分支持_x000D_
_x000D_
有效支持，有点以偏概全。</t>
  </si>
  <si>
    <t>一般_x000D_
_x000D_
紧密相关。有点绝对。</t>
  </si>
  <si>
    <t>反驳材料1，反驳材料2。新的观点。</t>
  </si>
  <si>
    <t>否_x000D_
_x000D_
我很认同但有点以偏概全。</t>
  </si>
  <si>
    <t>观点：材料5中同学的观点不能代表所有青少年
理由：社交媒体确实为表达自我与艺术创作提供了自由的环境，但接受采访的5名青少年肯定其中比较出众的，他们愿意分享自己的积极体验，但这是一种假象。并不能代表所有青少年，尤其是那些在社交媒体上遭遇负面经历（比如网络欺凌）的青少年。</t>
  </si>
  <si>
    <t>否_x000D_
_x000D_
我很认同，这个材料指出了上一个材料以偏概全和绝对的问题。</t>
  </si>
  <si>
    <t>充分支持_x000D_
_x000D_
支持。过度以偏概全，我并不认为这一定是负面的。</t>
  </si>
  <si>
    <t>一般_x000D_
_x000D_
不是很紧密相关。上升到认为不赞同社交媒体对青少年心理健康负面影响的人是不负责任的了，跟主题剥离了。</t>
  </si>
  <si>
    <t>否_x000D_
_x000D_
材料偏激又幼稚。说服力不大</t>
  </si>
  <si>
    <t>充分支持_x000D_
_x000D_
理由没有充分且有效地支持了观点，存在逻辑漏洞或推理错误：焦虑只是人的情绪的一个方面，焦虑不一定就是负面的，学会调节焦虑才是我们该做的</t>
  </si>
  <si>
    <t>否_x000D_
_x000D_
焦虑不一定就是负面的，学会调节焦虑才是我们该做的</t>
  </si>
  <si>
    <t>不能支持_x000D_
_x000D_
“如果一个人在现实中和家人和朋友关系很好，他的心理问题能及时排解，又怎么会花4个小时在社交媒体上”本身有问题，通过社交媒体，我们不一定怀揣着比较心理，而是开阔我们的眼界，在这之中看到更多的选择，看看我们能做些什么，世界是多么精彩，我经常将小红书当百度用</t>
  </si>
  <si>
    <t>基本无效_x000D_
_x000D_
材料说明不了社交媒体是否对青少年的心理健康产生了负面影响</t>
  </si>
  <si>
    <t>反驳了材料1，指出材料1的因果关系可能是反的</t>
  </si>
  <si>
    <t>否_x000D_
_x000D_
我的水平是中立，而且材料无效</t>
  </si>
  <si>
    <t>一般_x000D_
_x000D_
材料说明了为什么社交媒体会引发青少年焦虑，但它没有看到社交媒体给青少年带来的积极作用</t>
  </si>
  <si>
    <t>承接材料1</t>
  </si>
  <si>
    <t>否_x000D_
_x000D_
我不否认互联网可能带给我们焦虑，但是正确利用互联网也会给我们带来积极作用，两个方面一抵消就没了</t>
  </si>
  <si>
    <t>否_x000D_
_x000D_
这个观点是支持我的观点立场的</t>
  </si>
  <si>
    <t>一般_x000D_
_x000D_
社交媒体对青少年的心理健康确实存在积极影响，但不可否认也产生了消极影响</t>
  </si>
  <si>
    <t>否_x000D_
_x000D_
我不否认互联网可能带给我们焦虑，但是正确利用互联网也会给我们带来积极作用</t>
  </si>
  <si>
    <t>观点：接受采访的5名青少年肯定其中比较出众的，他们愿意分享自己的积极体验，但这是一种假象
理由：他们观点不能代表所有青少年，尤其是那些在社交媒体上遭遇负面经历（比如网络欺凌）的青少年。</t>
  </si>
  <si>
    <t>否_x000D_
_x000D_
我不否认互联网可能带给我们负面影响，但是正确利用互联网也会给我们带来积极作用</t>
  </si>
  <si>
    <t>否_x000D_
_x000D_
我不否认互联网可能带给我们负面影响，但是正确利用互联网也会给我们带来积极作用，两个方面一抵消就没了</t>
  </si>
  <si>
    <t>充分支持_x000D_
_x000D_
理由充分且有效地支持了观点。存在逻辑漏洞或推理错误</t>
  </si>
  <si>
    <t>一般_x000D_
_x000D_
成瘾如果是心理问题，那它背后肯定是有原因的，比如缺乏家庭、老师、同学的关爱，压力过大等</t>
  </si>
  <si>
    <t>我觉得承接了材料5，归根结底是想从互联网中找到认同感</t>
  </si>
  <si>
    <t>观点：社交媒体对青少年的心理健康有负面影响
理由：有研究调查了1000多名青少年，发现那些每天使用社交媒体超过4小时的青少年的焦虑水平比其它青少年更高</t>
  </si>
  <si>
    <t>不能支持_x000D_
_x000D_
以偏概全，只考虑这些青少年使用社交媒体时间长，不考虑其他因素</t>
  </si>
  <si>
    <t>否_x000D_
_x000D_
坚持我的观点</t>
  </si>
  <si>
    <t>观点：不一定是社交媒体对青少年的心理健康产生了负面影响
理由：青少年可能是因为感觉到焦虑才长时间呆在社交媒体上，而不是因为使用社交媒体才导致了焦虑等的心理健康问题</t>
  </si>
  <si>
    <t>充分支持_x000D_
_x000D_
理由充分且有效，符合客观条件</t>
  </si>
  <si>
    <t>非常有效_x000D_
_x000D_
观点合理，启发我们要多元的考虑问题</t>
  </si>
  <si>
    <t>否_x000D_
_x000D_
和我的观点一致</t>
  </si>
  <si>
    <t>不能支持_x000D_
_x000D_
逻辑错误，以偏概全，说法绝对</t>
  </si>
  <si>
    <t>基本无效_x000D_
_x000D_
存在偏见，凭什么说长时间使用社交媒体必然会导致青少年焦虑，这不是假大空吗</t>
  </si>
  <si>
    <t>支持材料1</t>
  </si>
  <si>
    <t>否_x000D_
_x000D_
完全不认同该观点</t>
  </si>
  <si>
    <t>充分支持_x000D_
_x000D_
客观说明了社交媒体对青少年心理状态存在积极影响，而非一定会使青少年焦虑</t>
  </si>
  <si>
    <t>非常有效_x000D_
_x000D_
和主题紧密相关，观点合理</t>
  </si>
  <si>
    <t>反驳材料1、3，并且提出了新的观点</t>
  </si>
  <si>
    <t>观点：不能以偏概全拿出众的青少年代表所有青少年，尤其是那些在社交媒体上遭遇负面经历（比如网络欺凌）的青少年
理由：有人可能在社交媒体遭受负面经历</t>
  </si>
  <si>
    <t>否_x000D_
_x000D_
我的观点一直是要长辈正确引导青少年，从而使青少年正确使用社交平台</t>
  </si>
  <si>
    <t>观点：认为社交媒体对青少年的心理健康没有不良影响是不负责任的
理由：社交媒体上的很多内容像“电子鸦片”一样，具有极强的吸引力和成瘾性</t>
  </si>
  <si>
    <t>不能支持_x000D_
_x000D_
让孩子对社交媒体上瘾是家人的失败，如果可以经常陪伴孩子带孩子出去玩，孩子怎么会沉溺在社交媒体？</t>
  </si>
  <si>
    <t>基本无效_x000D_
_x000D_
太偏激，以偏概全</t>
  </si>
  <si>
    <t>否_x000D_
_x000D_
别什么都怪社交媒体</t>
  </si>
  <si>
    <t>一般_x000D_
_x000D_
部分支持了观点，但以平均水平概括整体。</t>
  </si>
  <si>
    <t>是_x000D_
_x000D_
6_x000D_
_x000D_
信息正面负面之分取决于接受它的人怎么想，我本意是说单纯的传递信息的工具是无正面负面之分，只是取决于人的感受，但如果它传递的信息给大部分人带来了负面感受，那传递信息的工具作为介质也是带来负面感受过程的一部分。</t>
  </si>
  <si>
    <t>一般_x000D_
_x000D_
部分支持，过于绝对。</t>
  </si>
  <si>
    <t>非常有效_x000D_
_x000D_
较为严谨，提出一种可能性。</t>
  </si>
  <si>
    <t>对材料1的反面思考。</t>
  </si>
  <si>
    <t>否_x000D_
_x000D_
提出了一种可能，但无法概括所有青少年，本人只能通过材料推断社交媒体中信息影响，有一些主观臆测的因素在，有预感会随着材料一直变化。</t>
  </si>
  <si>
    <t>不能支持_x000D_
_x000D_
观点过于绝对，理由过于主观，无实例。</t>
  </si>
  <si>
    <t>基本无效_x000D_
_x000D_
过于主观、绝对，不严谨。</t>
  </si>
  <si>
    <t>算是对材料1焦虑与使用社交媒体因果关系的另一方面思考，与材料2所述因果相反。</t>
  </si>
  <si>
    <t>否_x000D_
_x000D_
无实例，凭主观推断，没获取可靠、有效信息。</t>
  </si>
  <si>
    <t>对材料3比较文化在社交媒体上影响的反面探讨。</t>
  </si>
  <si>
    <t>否_x000D_
_x000D_
无实例，较主观，无法获得可靠、有效信息。</t>
  </si>
  <si>
    <t>否_x000D_
_x000D_
以少数个例作为论据，无法获得群体数据（我默认主题中青少年指青少年群体）</t>
  </si>
  <si>
    <t>观点：社交媒体确实为表达自我与艺术创作提供了自由的环境，但接受采访的5名青少年肯定其中比较出众的，他们愿意分享自己的积极体验，但这是一种假象。
理由：接受采访的5名青少年观点不能代表所有青少年，尤其是那些在社交媒体上遭遇负面经历（比如网络欺凌）的青少年。</t>
  </si>
  <si>
    <t>对材料5反面的思考。</t>
  </si>
  <si>
    <t>否_x000D_
_x000D_
以个例反驳个例，观点绝对，无法获得有效数据。</t>
  </si>
  <si>
    <t>对材料1信息的补充</t>
  </si>
  <si>
    <t>是_x000D_
_x000D_
5_x000D_
_x000D_
材料1信息中“发现那些每天使用社交媒体超过4小时的青少年的焦虑水平比其它青少年更高”的原因为社交媒体的部分较小，但还有“近10年的数据也显示，随着社交媒体的普及，存在心理问题的青少年比例也逐年增高”</t>
  </si>
  <si>
    <t>不能支持_x000D_
_x000D_
主观</t>
  </si>
  <si>
    <t>基本无效_x000D_
_x000D_
主观，人身攻击</t>
  </si>
  <si>
    <t>否_x000D_
_x000D_
zhug</t>
  </si>
  <si>
    <t>是_x000D_
_x000D_
3_x000D_
_x000D_
具体的实验更确定了我的想法</t>
  </si>
  <si>
    <t>青少年可能是因为感觉到焦虑才长时间呆在社交媒体上，而不是因为使用社交媒体才导致了焦虑等的心理健康问题。如果一个人在现实中和家人和朋友关系很好，他的心理问题能及时排解，又怎么会花4个小时在社交媒体上？</t>
  </si>
  <si>
    <t>一般_x000D_
_x000D_
观点很新颖，但以偏概全，且没有事实依据</t>
  </si>
  <si>
    <t>一般_x000D_
_x000D_
观点相关，但没有说服力</t>
  </si>
  <si>
    <t>长时间使用社交媒体必然会导致青少年焦虑。因为社交媒体上普遍存在“比较文化”，加上铺天盖地的“完美生活”的展示，会让青少年对自己的生活感到不满，降低幸福感和自尊心，导致社交退缩、自我怀疑，最终引发心理健康危机。</t>
  </si>
  <si>
    <t>一般_x000D_
_x000D_
社交媒体的内容和影响以偏概全</t>
  </si>
  <si>
    <t>一般_x000D_
_x000D_
理由有偏见</t>
  </si>
  <si>
    <t>对大多数青少年而言，使用社交媒体对心理健康不会产生负面影响。比较文化随处都有，不只是社交媒体上才有。此外，大多数青少年对社交媒体的使用是适度的，那些每天使用超过4小时的人的心理健康可能本身存在一些问题。</t>
  </si>
  <si>
    <t>反驳了材料1材料3，支持了材料2</t>
  </si>
  <si>
    <t>社交媒体对青少年的心理健康存在积极影响。因为青少年可以在这里找到支持和理解自己的人。有记者采访了某社交媒体的5名青少年博主，他们表示，自己表达的观点和创作的作品获得了很多网友的鼓励和认可，感到自己被理解也更自信了。</t>
  </si>
  <si>
    <t>一般_x000D_
_x000D_
充分支持，但是只考虑青少年博主的想法，缺少普遍性，支持度低</t>
  </si>
  <si>
    <t>一般_x000D_
_x000D_
观点合理但有偏见</t>
  </si>
  <si>
    <t>接受采访的5名青少年不能代表所有青少年。社交媒体确实为表达自我与艺术创作提供了自由的环境，但接受采访的5名青少年肯定其中比较出众的，他们愿意分享自己的积极体验，但世界上还有那些在社交媒体上遭遇负面经历（比如网络欺凌）的青少年。</t>
  </si>
  <si>
    <t>反驳了材料5，且引入了网络欺凌这个新角度</t>
  </si>
  <si>
    <t>是_x000D_
_x000D_
2_x000D_
_x000D_
网络欺凌对青少年带来很严重的负面影响</t>
  </si>
  <si>
    <t>认为社交媒体对青少年的心理健康没有不良影响是不负责任的。社交媒体上的很多内容像“电子鸦片”一样，具有极强的吸引力和成瘾性。</t>
  </si>
  <si>
    <t>一般_x000D_
_x000D_
成瘾是心理问题，但很多人都在使用社交媒体，所以这已经是一种集体成瘾了以偏概全，并不是所有人都沉迷网络</t>
  </si>
  <si>
    <t>一般_x000D_
_x000D_
相关。但集体成瘾该说法缺乏事实依据以及有偏见</t>
  </si>
  <si>
    <t>社交媒体对青少年的心理健康有负面影响
有研究调查了1000多名青少年，发现那些每天使用社交媒体超过4小时的青少年的焦虑水平比其它青少年更高。而且近10年的数据也显示，随着社交媒体的普及，存在心理问题的青少年比例也逐年增高</t>
  </si>
  <si>
    <t xml:space="preserve">一般_x000D_
_x000D_
以偏概全，正确使用社交媒体可以促进青少年的心理健康
</t>
  </si>
  <si>
    <t>否_x000D_
_x000D_
观点不合理，以偏概全</t>
  </si>
  <si>
    <t>充分支持_x000D_
_x000D_
反问充分且有效地支持了观点</t>
  </si>
  <si>
    <t>长时间使用社交媒体必然会导致青少年焦虑
社交媒体上普遍存在“比较文化”，加上铺天盖地的“完美生活”的展示，会让青少年对自己的生活感到不满，降低幸福感和自尊心，导致社交退缩、自我怀疑，最终引发心理健康危机</t>
  </si>
  <si>
    <t>一般_x000D_
_x000D_
以偏概全，确实有这种现象，但是也存在反比较</t>
  </si>
  <si>
    <t>一般_x000D_
_x000D_
和主题紧密相关，但是观点不合理，存在偏见</t>
  </si>
  <si>
    <t>支持材料一</t>
  </si>
  <si>
    <t>否_x000D_
_x000D_
观点不合理，存在偏见</t>
  </si>
  <si>
    <t>非常有效_x000D_
_x000D_
和主题紧密相关，摆事实</t>
  </si>
  <si>
    <t>否_x000D_
_x000D_
不充分</t>
  </si>
  <si>
    <t>社交媒体可能会对青少年的心理健康产生负面影响
社交媒体确实为表达自我与艺术创作提供了自由的环境，但接受采访的5名青少年肯定其中比较出众的，他们愿意分享自己的积极体验，但这是一种假象。他们观点不能代表所有青少年，尤其是那些在社交媒体上遭遇负面经历（比如网络欺凌）的青少年。</t>
  </si>
  <si>
    <t>反驳材料5，指出该观点的片面</t>
  </si>
  <si>
    <t>否_x000D_
_x000D_
证明不充分，过于绝对</t>
  </si>
  <si>
    <t>社交媒体对青少年的心理健康有不良影响
社交媒体上的很多内容像“电子鸦片”一样，具有极强的吸引力和成瘾性。如果成瘾都不算心理问题，那什么才算？而且现在很多人都在使用社交媒体，所以这已经是一种集体成瘾了</t>
  </si>
  <si>
    <t>一般_x000D_
_x000D_
类比错误</t>
  </si>
  <si>
    <t>基本无效_x000D_
_x000D_
过于绝对，虽然很多人都在使用社交媒体，但是并不代表集体成瘾，并且他们观看的内容不同，许多人因使用社交媒体受益匪浅</t>
  </si>
  <si>
    <t>从另一个角度证明社交媒体对青少年的心理健康有不良影响</t>
  </si>
  <si>
    <t>否_x000D_
_x000D_
观点过于绝对化</t>
  </si>
  <si>
    <t>观点：社交媒体对青少年的心理健康有负面影响。理由：有研究调查了1000多名青少年，发现那些每天使用社交媒体超过4小时的青少年的焦虑水平比其它青少年更高。而且近10年的数据也显示，随着社交媒体的普及，存在心理问题的青少年比例也逐年增高。</t>
  </si>
  <si>
    <t>一般_x000D_
_x000D_
理由不够充分，有些以偏概全且控制变量不够严谨。</t>
  </si>
  <si>
    <t>否_x000D_
_x000D_
该材料较为绝对。</t>
  </si>
  <si>
    <t>观点：青少年可能是因为感觉到焦虑才长时间呆在社交媒体上，而不是因为使用社交媒体才导致了焦虑等的心理健康问题。理由：如果一个人在现实中和家人和朋友关系很好，他的心理问题能及时排解，又怎么会花4个小时在社交媒体上？</t>
  </si>
  <si>
    <t>一般_x000D_
_x000D_
一个人在现实中和家人和朋友关系很好，他的心理问题也不一定能及时排解，且使用社交软件不一定是为了缓解焦虑。</t>
  </si>
  <si>
    <t>一般_x000D_
_x000D_
与主题关系不是很紧密。</t>
  </si>
  <si>
    <t>否_x000D_
_x000D_
使用社交软件不一定是为了缓解焦虑。</t>
  </si>
  <si>
    <t>观点：长时间使用社交媒体必然会导致青少年焦虑。理由：因为社交媒体上普遍存在“比较文化”，加上铺天盖地的“完美生活”的展示，会让青少年对自己的生活感到不满，降低幸福感和自尊心，导致社交退缩、自我怀疑，最终引发心理健康危机。</t>
  </si>
  <si>
    <t>一般_x000D_
_x000D_
不是所有的青少年都会受到“比较文化”的影响。</t>
  </si>
  <si>
    <t>基本无效_x000D_
_x000D_
与主题相关但太过绝对。</t>
  </si>
  <si>
    <t>为材料一提供⽀持和解释。</t>
  </si>
  <si>
    <t>否_x000D_
_x000D_
该观点太过绝对。</t>
  </si>
  <si>
    <t>观点：对大多数青少年而言，使用社交媒体对心理健康不会产生负面影响。理由：比较文化随处都有，不只是社交媒体上才有。此外，大多数青少年对社交媒体的使用是适度的，那些每天使用超过4小时的人的心理健康可能本身存在一些问题。</t>
  </si>
  <si>
    <t>否_x000D_
_x000D_
该观点也太过绝对。</t>
  </si>
  <si>
    <t>观点：社交媒体对青少年的心理健康存在积极影响。理由：因为青少年可以在这里找到支持和理解自己的人。有记者采访了某社交媒体的5名青少年博主，他们表示，自己表达的观点和创作的作品获得了很多网友的鼓励和认可，感到自己被理解也更自信了。</t>
  </si>
  <si>
    <t>一般_x000D_
_x000D_
相关，观点也较为合理。</t>
  </si>
  <si>
    <t>否_x000D_
_x000D_
社交媒体对一部分青少年确实存在着积极影响，但并不代表它不存在消极影响。</t>
  </si>
  <si>
    <t>观点：他们观点不能代表所有青少年，尤其是那些在社交媒体上遭遇负面经历（比如网络欺凌）的青少年。理由：社交媒体确实为表达自我与艺术创作提供了自由的环境，但接受采访的5名青少年肯定其中比较出众的，他们愿意分享自己的积极体验，但这是一种假象。</t>
  </si>
  <si>
    <t>否_x000D_
_x000D_
接受采访的5名青少年的观点不能代表所有青少年。</t>
  </si>
  <si>
    <t>观点：社交媒体并不是导致青少年心理问题的真正原因，而只是“背锅”的对象。理由：虽然调查发现，每天使用社交媒体超过4小时的青少年具有更高的焦虑水平，但如果把他们的人际关系也考虑在内就会发现，这些青少年对自己的家庭关系和朋友关系质量的评价都比较低。</t>
  </si>
  <si>
    <t>否_x000D_
_x000D_
该材料并不能说明社交媒体对青少年心理问题无影响。</t>
  </si>
  <si>
    <t>一般_x000D_
_x000D_
论证不充分。</t>
  </si>
  <si>
    <t>一般_x000D_
_x000D_
观点较为合理。</t>
  </si>
  <si>
    <t>一般_x000D_
_x000D_
有理有据但第二个数据只能表明相关性，不能表明因果关系。</t>
  </si>
  <si>
    <t>否_x000D_
_x000D_
我是一个立场坚定斗志强的人，该观点不够强有力。</t>
  </si>
  <si>
    <t>一般_x000D_
_x000D_
理由合理但有绝对性，社交媒体可能是个人爱好。</t>
  </si>
  <si>
    <t>一般_x000D_
_x000D_
观点和主题紧密相关且反驳另一立场的因果关系。但不能说明社交媒体对心理问题没有影响。</t>
  </si>
  <si>
    <t>否_x000D_
_x000D_
我是一个立场坚定的人，这个观点在意料之中。</t>
  </si>
  <si>
    <t>不能支持_x000D_
_x000D_
理由有逻辑漏洞，把过程绝对化。</t>
  </si>
  <si>
    <t>基本无效_x000D_
_x000D_
观点与主题紧密相关，但观点不合理</t>
  </si>
  <si>
    <t>反驳了材料二，支持材料一。</t>
  </si>
  <si>
    <t>否_x000D_
_x000D_
观点不合理且在我意料之中。</t>
  </si>
  <si>
    <t>反驳了材料一三，支持了材料二。</t>
  </si>
  <si>
    <t>否_x000D_
_x000D_
我是个立场坚定的人，这个观点不够有力。</t>
  </si>
  <si>
    <t xml:space="preserve">一般_x000D_
_x000D_
理由支持观点但以偏概全。
</t>
  </si>
  <si>
    <t>基本无效_x000D_
_x000D_
观点与主题相关度不高。</t>
  </si>
  <si>
    <t>反驳了材料一三，在材料二四的基础上提出新观点。</t>
  </si>
  <si>
    <t>否_x000D_
_x000D_
我是个立场坚定的人，这个观点与主题关系不大，不能影响我的立场。</t>
  </si>
  <si>
    <t>观点：社交媒体对青少年的心理健康产生了负面影响
理由：社交媒体确实为表达自我与艺术创作提供了自由的环境，但接受采访的5名青少年肯定其中比较出众的，他们愿意分享自己的积极体验，但这是一种假象。他们观点不能代表所有青少年，尤其是那些在社交媒体上遭遇负面经历（比如网络欺凌）的青少年。</t>
  </si>
  <si>
    <t>反驳了材料二四五，支持了材料一三。</t>
  </si>
  <si>
    <t>否_x000D_
_x000D_
这与我立场相同。</t>
  </si>
  <si>
    <t>反驳了材料一三六，支持了材料二四五。</t>
  </si>
  <si>
    <t>否_x000D_
_x000D_
我是一个立场坚定的人。</t>
  </si>
  <si>
    <t>充分支持_x000D_
_x000D_
理由充分且有效地支持了观点且不存在逻辑漏洞或推理错误。</t>
  </si>
  <si>
    <t>非常有效_x000D_
_x000D_
观点有效、合理且与主题紧密相关。</t>
  </si>
  <si>
    <t>反驳了材料二四五七，在材料一三六的基础上提出来新观点。</t>
  </si>
  <si>
    <t>否_x000D_
_x000D_
我是一个立场坚定的人，且该观点与我立场相同。</t>
  </si>
  <si>
    <t>观点是社交媒体对青少年心理健康有负面影响。因为调查发现使用社交媒体超过4小时的青少年的焦虑水平比其它青少年更高，且随着社交媒体的普及，存在心理问题的青少年比例也逐年增高</t>
  </si>
  <si>
    <t>一般_x000D_
_x000D_
数据支持了观点，但是超过4个小时的界定条件不仅包括了社交媒体的影响，还包括长期沉迷某一事物的行为。</t>
  </si>
  <si>
    <t>否_x000D_
_x000D_
与我立场一致</t>
  </si>
  <si>
    <t>观点青少年有了心理健康问题才会超过4小时花在社交媒体上。理由是现实中和人关系好不会花这么多时间</t>
  </si>
  <si>
    <t>不能支持_x000D_
_x000D_
这个理由逻辑不通顺。心理没有问题的人也会长时间使用社交媒体，并不是只能用其排解焦虑。</t>
  </si>
  <si>
    <t>非常有效_x000D_
_x000D_
这个反驳的点很准，长时间使用社交媒体本身包含了复杂的因素，不能简单的归结于社交媒体的负面作用</t>
  </si>
  <si>
    <t>反驳了材料1，指出调查研究中的变量问题</t>
  </si>
  <si>
    <t xml:space="preserve">长时间使用社交媒体必然导致青少年焦虑，因为社交媒体上普遍存在“比较文化”，会让青少年感到不满等。
</t>
  </si>
  <si>
    <t>一般_x000D_
_x000D_
不能有效证明观点。分析和推理有道理，现实中也有案例，但是这里的推理太绝对主观，也没有引用事实支持</t>
  </si>
  <si>
    <t>基本无效_x000D_
_x000D_
观点与主题相关，但表述太绝对主观，臆断，不够合理。</t>
  </si>
  <si>
    <t>为材料1提供了一点解释</t>
  </si>
  <si>
    <t>否_x000D_
_x000D_
我认同材料中社交媒体带来的这一种负面影响</t>
  </si>
  <si>
    <t>对大多数青少年而言，使用社交媒体对心理健康不会产生负面影响。理由1是比较文化到处都有，理由2与材料2的观点一致</t>
  </si>
  <si>
    <t>反驳了材料3的理由，照应了材料2</t>
  </si>
  <si>
    <t>否_x000D_
_x000D_
逻辑不合理，不能证明其观点</t>
  </si>
  <si>
    <t>不能支持_x000D_
_x000D_
以5位青少年博主为例，有些以偏概全，且要成为这一群体本身就需要获得支持和理解。</t>
  </si>
  <si>
    <t>基本无效_x000D_
_x000D_
有积极影响不能说明没有负面影响，这是另起炉灶</t>
  </si>
  <si>
    <t>提出了一个新的观点，与其他材料关系不大</t>
  </si>
  <si>
    <t>否_x000D_
_x000D_
它没有直接涉及到我的立场。</t>
  </si>
  <si>
    <t>社交媒体确实为表达自我与艺术创作提供了自由的环境，但受访者观点不能代表所有青少年。接受采访的5名青少年肯定其中比较出众的，他们愿意分享自己的积极体验，这是一种假象。</t>
  </si>
  <si>
    <t>反驳了材料5，指出其理由的取材问题</t>
  </si>
  <si>
    <t>社交媒体并不是导致青少年心理问题的真正原因，而只是“背锅”的对象。因为如果把他们的人际关系也考虑在内就会发现，这些青少年对自己的家庭关系和朋友关系质量的评价都比较低。</t>
  </si>
  <si>
    <t>完善、解释材料2，反驳材料1</t>
  </si>
  <si>
    <t>否_x000D_
_x000D_
没有具有说服力的论据</t>
  </si>
  <si>
    <t>认为社交媒体对青少年的心理健康没有不良影响是不负责任的。社交媒体上的很多内容像“电子鸦片”一样，具有极强的吸引力和成瘾性，很多人成瘾了。</t>
  </si>
  <si>
    <t>一般_x000D_
_x000D_
相关不代表因果</t>
  </si>
  <si>
    <t>否_x000D_
_x000D_
相关不代表因果，不能强制关联</t>
  </si>
  <si>
    <t>一般_x000D_
_x000D_
没有心理问题为啥不能花时间在社交媒体上</t>
  </si>
  <si>
    <t>非常有效_x000D_
_x000D_
观点合理地推导了因果关系</t>
  </si>
  <si>
    <t>反驳了材料一，进一步推测了因果关系进行反驳</t>
  </si>
  <si>
    <t>是_x000D_
_x000D_
7_x000D_
_x000D_
社交媒体可能是青少年排解心理问题的工具</t>
  </si>
  <si>
    <t>长时间使用社交媒体必然会导致青少年焦虑
社交媒体上普遍存在“比较文化”，加上铺天盖地的“完美生活”的展示，会让青少年对自己的生活感到不满，降低幸福感和自尊心，导致社交退缩、自我怀疑，最终引发心理健康危机。</t>
  </si>
  <si>
    <t>充分支持_x000D_
_x000D_
青少年确实心理处于发育期，不太稳定</t>
  </si>
  <si>
    <t>反驳材料2，支持材料一</t>
  </si>
  <si>
    <t>否_x000D_
_x000D_
材料提供的观点过于绝对片面</t>
  </si>
  <si>
    <t>反驳了材料三的观点，指出其主观性问题及强制相关</t>
  </si>
  <si>
    <t>否_x000D_
_x000D_
材料符合我的观点</t>
  </si>
  <si>
    <t>社交媒体对青少年的心理健康存在积极影响，因为青少年可以在这里找到支持和理解自己的人。
有记者采访了某社交媒体的5名青少年博主，他们表示，自己表达的观点和创作的作品获得了很多网友的鼓励和认可，感到自己被理解也更自信了。</t>
  </si>
  <si>
    <t>充分支持_x000D_
_x000D_
理由与观点契合度很高</t>
  </si>
  <si>
    <t>非常有效_x000D_
_x000D_
社交媒体也存在积极作用，不可否认</t>
  </si>
  <si>
    <t>在已有的基础上指出社交媒体也有积极的作用</t>
  </si>
  <si>
    <t>是_x000D_
_x000D_
8_x000D_
_x000D_
社交媒体也可引导青少年向积极的方面看</t>
  </si>
  <si>
    <t>社交媒体确实为表达自我与艺术创作提供了自由的环境，他们观点不能代表所有青少年。
接受采访的5名青少年肯定其中比较出众的，他们愿意分享自己的积极体验，但这是一种假象</t>
  </si>
  <si>
    <t>反驳了材料5，指出材料五的理由具有一定的特殊性</t>
  </si>
  <si>
    <t>否_x000D_
_x000D_
凡事不能只盯着一方面看，如果一定要盯着坏处看，那么世界就是一片黑暗</t>
  </si>
  <si>
    <t>反驳了材料1，支持材料二</t>
  </si>
  <si>
    <t>是_x000D_
_x000D_
8_x000D_
_x000D_
社交媒体不应该背上损害社交关系，导致焦虑的黑锅</t>
  </si>
  <si>
    <t>一般_x000D_
_x000D_
社交媒体具有成瘾性并不代表不良影响会随之而来</t>
  </si>
  <si>
    <t>材料在原先的基础上指出社交媒体的成瘾性，补充社交媒体的负面影响</t>
  </si>
  <si>
    <t>否_x000D_
_x000D_
成瘾不代表负面影响会超过正面影响，更应该反思为何其他事物不够吸引青少年</t>
  </si>
  <si>
    <t>观点：社交媒体对青少年的心理健康有负面影响
立场：有研究调查了1000多名青少年，发现那些每天使用社交媒体超过4小时的青少年的焦虑水平比其它青少年更高。而且近10年的数据也显示，随着社交媒体的普及，存在心理问题的青少年比例也逐年增高。</t>
  </si>
  <si>
    <t>一般_x000D_
_x000D_
理由不够合理。实验没有考虑其他因素，并且心理问题青少年数量的提升与是否使用社交媒体没有绝对关系。</t>
  </si>
  <si>
    <t>否_x000D_
_x000D_
观点不够客观合理</t>
  </si>
  <si>
    <t>不能支持_x000D_
_x000D_
理由完全不能证明观点，过于偷换概念。使用社交媒体不是一定在排解心理问题</t>
  </si>
  <si>
    <t>一般_x000D_
_x000D_
观点与主题链接不强</t>
  </si>
  <si>
    <t>在材料2的基础上提出了新观点</t>
  </si>
  <si>
    <t>否_x000D_
_x000D_
观点与理由不够有逻辑性</t>
  </si>
  <si>
    <t>充分支持_x000D_
_x000D_
理由较为合理，也可以支撑观点</t>
  </si>
  <si>
    <t>一般_x000D_
_x000D_
观点与主题紧密相连，但是观点过于绝对</t>
  </si>
  <si>
    <t>支撑了材料1,2</t>
  </si>
  <si>
    <t>否_x000D_
_x000D_
社交媒体确实会一定程度上带给青少年压力</t>
  </si>
  <si>
    <t>观点：所以，对大多数青少年而言，使用社交媒体对心理健康不会产生负面影响。
理由：比较文化随处都有，不只是社交媒体上才有。此外，大多数青少年对社交媒体的使用是适度的，那些每天使用超过4小时的人的心理健康可能本身存在一些问题。</t>
  </si>
  <si>
    <t>直接反驳了材料3，提出了新的观点</t>
  </si>
  <si>
    <t>是_x000D_
_x000D_
7_x000D_
_x000D_
社交媒体对青少年的影响确实没有那么大</t>
  </si>
  <si>
    <t>一般_x000D_
_x000D_
理由过于片面，只是采访了5个青年，不能代表全部</t>
  </si>
  <si>
    <t>非常有效_x000D_
_x000D_
观点与主题相联，也很合理</t>
  </si>
  <si>
    <t>支撑了材料4并提出了一个新的立场</t>
  </si>
  <si>
    <t>否_x000D_
_x000D_
社交媒体确实可以为青少年心理健康做出正向贡献</t>
  </si>
  <si>
    <t>直接反驳了材料5并提出新观点。</t>
  </si>
  <si>
    <t>否_x000D_
_x000D_
社交媒体确实有很多我们看不见的事情发生。</t>
  </si>
  <si>
    <t>直接反驳了材料1，2，提出了新观点</t>
  </si>
  <si>
    <t>否_x000D_
_x000D_
观点与我的相符</t>
  </si>
  <si>
    <t>一般_x000D_
_x000D_
偷换概念，过于片面</t>
  </si>
  <si>
    <t>一般_x000D_
_x000D_
观点与主题相联但是过于绝对和片面</t>
  </si>
  <si>
    <t>直接反驳了材料7并提出了新的观点</t>
  </si>
  <si>
    <t>否_x000D_
_x000D_
社交媒体确实会使青少年有成瘾现象</t>
  </si>
  <si>
    <t>一般_x000D_
_x000D_
没有考虑到其他因素对青少年焦虑水平的影响</t>
  </si>
  <si>
    <t>不能支持_x000D_
_x000D_
青少年可能因为上瘾而长时间花在社交媒体上</t>
  </si>
  <si>
    <t>一般_x000D_
_x000D_
青少年可能会因为学业，家庭等其他压力而上网寻求排解，而网络确实能够让他们暂时忘记生活中的压力</t>
  </si>
  <si>
    <t>否_x000D_
_x000D_
材料说明社交媒体并不一定是罪魁祸首</t>
  </si>
  <si>
    <t>不能支持_x000D_
_x000D_
比较文化并不一定会渗透每一个青少年，我认为大部分青少年有抵御这种文化的能力</t>
  </si>
  <si>
    <t>一般_x000D_
_x000D_
存在一定偏见</t>
  </si>
  <si>
    <t>对材料一提供支持和解释</t>
  </si>
  <si>
    <t>否_x000D_
_x000D_
材料不具有说服性</t>
  </si>
  <si>
    <t>社交媒体对青少年的心理健康存在积极影响
因为青少年可以在这里找到支持和理解自己的人。有记者采访了某社交媒体的5名青少年博主，他们表示，自己表达的观点和创作的作品获得了很多网友的鼓励和认可，感到自己被理解也更自信了。</t>
  </si>
  <si>
    <t>一般_x000D_
_x000D_
青少年博主不能代表大部分网民</t>
  </si>
  <si>
    <t>青年博主的观点不能代表所有青少年</t>
  </si>
  <si>
    <t>因此，社交媒体并不是导致青少年心理问题的真正原因，而只是“背锅”的对象。
虽然调查发现，每天使用社交媒体超过4小时的青少年具有更高的焦虑水平，但如果把他们的人际关系也考虑在内就会发现，这些青少年对自己的家庭关系和朋友关系质量的评价都比较低。</t>
  </si>
  <si>
    <t>补充材料三</t>
  </si>
  <si>
    <t>社交媒体对青少年的心理健康有不良影响
社交媒体上的很多内容像“电子鸦片”一样，具有极强的吸引力和成瘾性。如果成瘾都不算心理问题，那什么才算？而且现在很多人都在使用社交媒体，所以这已经是一种集体成瘾了。</t>
  </si>
  <si>
    <t>一般_x000D_
_x000D_
吸引力不代表成瘾</t>
  </si>
  <si>
    <t>非常有效_x000D_
_x000D_
无</t>
  </si>
  <si>
    <t>为材料一提供支持和解释</t>
  </si>
  <si>
    <t xml:space="preserve">社交媒体对青少年的心理健康有负面影响。
有研究调查了1000多名青少年，发现那些每天使用社交媒体超过4小时的青少年的焦虑水平比其它青少年更高。而且近10年的数据也显示，随着社交媒体的普及，存在心理问题的青少年比例也逐年增高。
</t>
  </si>
  <si>
    <t>一般_x000D_
_x000D_
每天使用社交媒体超过4小时的青少年的焦虑水平比其它青少年更高：此理由支持了观点，无逻辑漏洞及推理错误。
随着社交媒体的普及，存在心理问题的青少年比例也逐年增高：改理由虽支持了观点但存在问题——近十年发展的不仅仅是社交媒体，更是社会的各方个面，可能存在错误归因</t>
  </si>
  <si>
    <t>否_x000D_
_x000D_
未进一步促进我对社交媒体带来的负面影响的否定。</t>
  </si>
  <si>
    <t>青少年可能是因为感觉到焦虑才长时间呆在社交媒体上，而不是因为使用社交媒体才导致了焦虑等的心理健康问题。
果一个人在现实中和家人和朋友关系很好，他的心理问题能及时排解，又怎么会花4个小时在社交媒体上？</t>
  </si>
  <si>
    <t>一般_x000D_
_x000D_
支持了观点，但不够充分。
信息时代，课下与朋友的交流很大一部分需要依托于社交媒体，社交媒体有可能就是此人与朋友保持良好关系的基础。</t>
  </si>
  <si>
    <t>一般_x000D_
_x000D_
观点与主题紧密相关。但理由对于观点的支持程度不够，像是就着观点正话反说，只是重复了一遍观点一样。</t>
  </si>
  <si>
    <t>反驳了材料1，指出了材料1的因果论证可能存在不合理之处。</t>
  </si>
  <si>
    <t>否_x000D_
_x000D_
该材料没有使我对社交媒体的评价好转。</t>
  </si>
  <si>
    <t>一般_x000D_
_x000D_
支持，但不有效
以偏概全</t>
  </si>
  <si>
    <t>一般_x000D_
_x000D_
紧密相关
不够合理</t>
  </si>
  <si>
    <t>否_x000D_
_x000D_
“必然”一词过于绝对，不能加深我对社交媒体的负面印象</t>
  </si>
  <si>
    <t>反对了材料3</t>
  </si>
  <si>
    <t>否_x000D_
_x000D_
同意其观点，但理由不够具有说服力。</t>
  </si>
  <si>
    <t>社交媒体对青少年的心理健康存在积极影响
青少年可以在这里找到支持和理解自己的人</t>
  </si>
  <si>
    <t>不能支持_x000D_
_x000D_
样本数量过少，不具有说服力</t>
  </si>
  <si>
    <t>基本无效_x000D_
_x000D_
观点与主题并非紧密相关，存在正面影响≠没产生负面影响，用于反驳主题不够合理</t>
  </si>
  <si>
    <t>否_x000D_
_x000D_
材料试图使用“存在积极影响”来否定“存在负面影响”，存在推理错误，社交媒体的影响应是双面的</t>
  </si>
  <si>
    <t>接受采访的5名青少年的观点不能代表所有青少年，尤其是那些在社交媒体上遭遇负面经历（比如网络欺凌）的青少年。
社交媒体确实为表达自我与艺术创作提供了自由的环境，但接受采访的5名青少年肯定其中比较出众的，他们愿意分享自己的积极体验，但这是一种假象。</t>
  </si>
  <si>
    <t>否_x000D_
_x000D_
未能加深我对社交媒体的负面评价</t>
  </si>
  <si>
    <t>社交媒体并不是导致青少年心理问题的真正原因，而只是“背锅”的对象。
每天使用社交媒体超过4小时的青少年具有更高的焦虑水平，但如果把他们的人际关系也考虑在内就会发现，这些青少年对自己的家庭关系和朋友关系质量的评价都比较低。</t>
  </si>
  <si>
    <t>否_x000D_
_x000D_
没有提高我对社交媒体的好感</t>
  </si>
  <si>
    <t>认为社交媒体对青少年的心理健康没有不良影响是不负责任的
社交媒体上的很多内容像“电子鸦片”一样，具有极强的吸引力和成瘾性。现在很多人都在使用社交媒体，所以这已经是一种集体成瘾了。</t>
  </si>
  <si>
    <t>不能支持_x000D_
_x000D_
使用社交媒体≠成瘾。每个适龄儿童都要接受教育，难道他们对接受教育成瘾了吗？</t>
  </si>
  <si>
    <t>一般_x000D_
_x000D_
观点与主题紧密相关。材料叙述不负责。</t>
  </si>
  <si>
    <t>否_x000D_
_x000D_
材料叙述不够负责</t>
  </si>
  <si>
    <t>一般_x000D_
_x000D_
样本量不够大，数据所显示的趋势可能存在第三变量的影响。</t>
  </si>
  <si>
    <t>否_x000D_
_x000D_
社交平台所带来的优势也应当被人们所看到。</t>
  </si>
  <si>
    <t>不能支持_x000D_
_x000D_
材料中不存在能够支持此观点的论据。</t>
  </si>
  <si>
    <t>一般_x000D_
_x000D_
观点与主题相关，但是存在一定的偏见。</t>
  </si>
  <si>
    <t>反驳了材料一，认为青少年焦虑与社交媒体无关。</t>
  </si>
  <si>
    <t>否_x000D_
_x000D_
材料二存在较大的偏见和片面性。</t>
  </si>
  <si>
    <t>一般_x000D_
_x000D_
只从一方面论证了长时间使用社交媒体导致青少年焦虑的原因。</t>
  </si>
  <si>
    <t>基本无效_x000D_
_x000D_
观点虽然与主题相关，但是缺乏合理性，较为片面。</t>
  </si>
  <si>
    <t>是材料一的补充，与材料二的因果相反但是结论基本一致。</t>
  </si>
  <si>
    <t>否_x000D_
_x000D_
材料论证较为单薄，过于片面化。</t>
  </si>
  <si>
    <t>反对材料二和材料三。</t>
  </si>
  <si>
    <t>否_x000D_
_x000D_
观点与我的想法基本吻合。</t>
  </si>
  <si>
    <t>一般_x000D_
_x000D_
样本量过于小。</t>
  </si>
  <si>
    <t>一般_x000D_
_x000D_
与主题相关，观点合理，但是论据不够充分。</t>
  </si>
  <si>
    <t>反对前三个材料，对第四个材料进行了补充。</t>
  </si>
  <si>
    <t>否_x000D_
_x000D_
在先前已将积极影响考虑在内。</t>
  </si>
  <si>
    <t>观点：接受采访的5名青少年观点不能代表所有青少年，尤其是那些在社交媒体上遭遇负面经历（比如网络欺凌）的青少年
理由：社交媒体确实为表达自我与艺术创作提供了自由的环境，但接受采访的5名青少年肯定其中比较出众的，他们愿意分享自己的积极体验，但这是一种假象。</t>
  </si>
  <si>
    <t>反对材料五，指出5名青少年博主的片面性。</t>
  </si>
  <si>
    <t>否_x000D_
_x000D_
观点具有片面性。</t>
  </si>
  <si>
    <t>反驳了材料一，为材料二提供了补充。</t>
  </si>
  <si>
    <t>否_x000D_
_x000D_
与先前想法相差不大。</t>
  </si>
  <si>
    <t>观点：为社交媒体对青少年的心理健康没有不良影响是不负责任的！
理由：社交媒体上的很多内容像“电子鸦片”一样，具有极强的吸引力和成瘾性。如果成瘾都不算心理问题，那什么才算？而且现在很多人都在使用社交媒体，所以这已经是一种集体成瘾了。</t>
  </si>
  <si>
    <t>充分支持_x000D_
_x000D_
较为充分支持了观点，揭示了社会现象。</t>
  </si>
  <si>
    <t>反对材料4567</t>
  </si>
  <si>
    <t>否_x000D_
_x000D_
已将社交媒体的消极影响考虑在内。</t>
  </si>
  <si>
    <t>不能支持_x000D_
_x000D_
存在逻辑漏洞或推理错误，通过样本推测总体存在误差。存在心理问题的青少年比例也逐年增高不仅仅是社交媒体普及的影响，也与时代发展有关。</t>
  </si>
  <si>
    <t>否_x000D_
_x000D_
观点太片面</t>
  </si>
  <si>
    <t>不能支持_x000D_
_x000D_
长时间呆在社交媒体上可能不仅仅是因为焦虑，网络存在成瘾性</t>
  </si>
  <si>
    <t>基本无效_x000D_
_x000D_
社交媒体与青少年的焦虑不是存在直接的因果关系</t>
  </si>
  <si>
    <t>一般_x000D_
_x000D_
理由支持了观点</t>
  </si>
  <si>
    <t>基本无效_x000D_
_x000D_
社交媒体上同样存在温暖美好的事物</t>
  </si>
  <si>
    <t>一般_x000D_
_x000D_
理由充分且有效地支持了观点</t>
  </si>
  <si>
    <t>一般_x000D_
_x000D_
社交媒体上也存在网暴这种恶性产物</t>
  </si>
  <si>
    <t>否_x000D_
_x000D_
认识到事物的两面性</t>
  </si>
  <si>
    <t>一般_x000D_
_x000D_
观点存在主观偏见</t>
  </si>
  <si>
    <t>否_x000D_
_x000D_
使用社交媒体进行适度管控</t>
  </si>
  <si>
    <t>那些每天使用社交媒体超过4小时的青少年的焦虑水平比其它青少年更高。
近10年的数据也显示，随着社交媒体的普及，存在心理问题的青少年比例也逐年增高。这说明社交媒体对青少年的心理健康有负面影响。</t>
  </si>
  <si>
    <t>不能支持_x000D_
_x000D_
没有有效的支持观点，存在推理错误。
首先第一项研究的样本量太少不具有代表性。第二项研究并没有展示出社交媒体与存在心理问题的青少年有因果关系。</t>
  </si>
  <si>
    <t>否_x000D_
_x000D_
这些资料没有什么参考价值，青年年的焦虑水平并不是单因素问题。</t>
  </si>
  <si>
    <t>充分支持_x000D_
_x000D_
充分支持了观点。
我觉得很有道理！</t>
  </si>
  <si>
    <t>非常有效_x000D_
_x000D_
与主题相关。
观点很合理，运用了“可能”，有可以修改的空间。</t>
  </si>
  <si>
    <t>反驳了材料1 中认为青少年的焦虑水平与社交媒体成因果关系的问题</t>
  </si>
  <si>
    <t>否_x000D_
_x000D_
和我想的差不多</t>
  </si>
  <si>
    <t>不能支持_x000D_
_x000D_
不能有效的支持
过于绝对，以偏概全</t>
  </si>
  <si>
    <t>基本无效_x000D_
_x000D_
与主题有一点相关
观点不合理，存在偏见</t>
  </si>
  <si>
    <t>反驳了材料2  ，指出了材料2 中的问题（至于什么问题我不知道，因为我觉得材料2 没有问题）</t>
  </si>
  <si>
    <t>否_x000D_
_x000D_
这个材料没有参考价值</t>
  </si>
  <si>
    <t>反驳了材料3中  网络上的比较文化是造成青少年心理问题的原因   这一问题</t>
  </si>
  <si>
    <t>否_x000D_
_x000D_
和我开始的想法一致</t>
  </si>
  <si>
    <t>一般_x000D_
_x000D_
样本不够，但是观点也只是说“存在”，所以问题不大</t>
  </si>
  <si>
    <t>否_x000D_
_x000D_
与我开始的想法一致</t>
  </si>
  <si>
    <t>社交媒体确实为表达自我与艺术创作提供了自由的环境，但这是一种假象。
他们观点不能代表所有青少年，尤其是那些在社交媒体上遭遇负面经历（比如网络欺凌）的青少年。</t>
  </si>
  <si>
    <t>否_x000D_
_x000D_
有正面就会有正面，这很正常</t>
  </si>
  <si>
    <t>社交媒体并不是导致青少年心理问题的真正原因，而只是“背锅”的对象
虽然调查发现，每天使用社交媒体超过4小时的青少年具有更高的焦虑水平，但如果把他们的人际关系也考虑在内就会发现，这些青少年对自己的家庭关系和朋友关系质量的评价都比较低。</t>
  </si>
  <si>
    <t>否_x000D_
_x000D_
其实也可以考虑一下社会压力^ ^</t>
  </si>
  <si>
    <t>认为社交媒体对青少年的心理健康没有不良影响是不负责任的
社交媒体上的很多内容像“电子鸦片”一样，具有极强的吸引力和成瘾性。如果成瘾都不算心理问题，那什么才算？而且现在很多人都在使用社交媒体，所以这已经是一种集体成瘾了。</t>
  </si>
  <si>
    <t>不能支持_x000D_
_x000D_
没有充分支持
有逻辑漏洞</t>
  </si>
  <si>
    <t>一般_x000D_
_x000D_
与主题相关
观点存在偏见</t>
  </si>
  <si>
    <t>反驳了材料 2 4 5 7</t>
  </si>
  <si>
    <t>否_x000D_
_x000D_
学习成瘾也是一种心理问题，有人会阻止学生学习吗。。。</t>
  </si>
  <si>
    <t>观点：负面。理由：研究调查</t>
  </si>
  <si>
    <t>不能支持_x000D_
_x000D_
数据展现出了两者的相关：可能是前者导致了后者，也可能是后者导致了前者，还有可能是第三因素一起导致了这两者。直接在三种可能里选择了一种过于武断。</t>
  </si>
  <si>
    <t>否_x000D_
_x000D_
不合理，暗示性太强。论证无效。</t>
  </si>
  <si>
    <t>观点：没有负面影响。理由：对于刚刚的数据有其他的解释可能。</t>
  </si>
  <si>
    <t>一般_x000D_
_x000D_
反驳了材料1，但没有回答问题，只是提出了质疑，质疑有效。</t>
  </si>
  <si>
    <t>一般_x000D_
_x000D_
相关，合理，有效，无偏见，但是没有把问题继续推进下去，没有事实例子。</t>
  </si>
  <si>
    <t xml:space="preserve">反驳了材料1 </t>
  </si>
  <si>
    <t>否_x000D_
_x000D_
它和我想的一样</t>
  </si>
  <si>
    <t>观点：负面影响。理由：社交媒体存在能让青少年产生心理健康危机的比较文化</t>
  </si>
  <si>
    <t>不能支持_x000D_
_x000D_
社交媒体上什么都存在，还有心理健康的课程，这个课程说不定可以把比较文化的影响冲击掉哦。。以偏概全。。滑坡谬误。。</t>
  </si>
  <si>
    <t>基本无效_x000D_
_x000D_
相关，不合理，有偏见。只看见了社交媒体的不好的一面，认为青少年是脆弱的不堪一击的。</t>
  </si>
  <si>
    <t>无关系，纯粹臆想。</t>
  </si>
  <si>
    <t>否_x000D_
_x000D_
论证无效，个人臆想。</t>
  </si>
  <si>
    <t>观点：反对。理由：大多数青少年对社交媒体的使用是适度的</t>
  </si>
  <si>
    <t>否_x000D_
_x000D_
我觉得对</t>
  </si>
  <si>
    <t>观点：反对。理由：青少年可以在这里找到支持和理解自己的人，感到自己被理解也更自信了。</t>
  </si>
  <si>
    <t>不能支持_x000D_
_x000D_
片面，以偏概全</t>
  </si>
  <si>
    <t>基本无效_x000D_
_x000D_
相关，合理，但片面。</t>
  </si>
  <si>
    <t>和材料3形成对照。两者都是片面的只看见了对自己持方有利的一面。</t>
  </si>
  <si>
    <t>中立。理由：他们观点不能代表所有青少年</t>
  </si>
  <si>
    <t>反驳了 材料5</t>
  </si>
  <si>
    <t>否_x000D_
_x000D_
它没有提供更多的事实，也纯粹是道理论证。</t>
  </si>
  <si>
    <t>观点：反对。理由：社交媒体并不是导致青少年心理问题的真正原因，而只是“背锅”的对象</t>
  </si>
  <si>
    <t>否_x000D_
_x000D_
我支持它</t>
  </si>
  <si>
    <t>观点：支持。理由：认为社交媒体对青少年的心理健康没有不良影响是不负责任的</t>
  </si>
  <si>
    <t>不能支持_x000D_
_x000D_
偏激，以偏概全</t>
  </si>
  <si>
    <t>基本无效_x000D_
_x000D_
相关，合理，但表述过于情绪化，诉诸道德。。。</t>
  </si>
  <si>
    <t>否_x000D_
_x000D_
它的论证无效</t>
  </si>
  <si>
    <t>观点：社交媒体对青少年的心理健康有负面影响。证据：有研究调查了1000多名青少年，发现那些每天使用社交媒体超过4小时的青少年的焦虑水平比其它青少年更高。而且近10年的数据也显示，随着社交媒体的普及，存在心理问题的青少年比例也逐年增高。</t>
  </si>
  <si>
    <t>不能支持_x000D_
_x000D_
材料举出了两个例子，但均存在逻辑漏洞。第一个调查仅仅指出其可能存在相关性而非因果性，青少年是否因为更加焦虑才使用了更多的社交媒体？第二个数据更有强行解释之嫌，近10年来青少年成长的环境变化远不止社交媒体普及这一种，因此无法支持其观点。</t>
  </si>
  <si>
    <t>否_x000D_
_x000D_
观点不够合理。</t>
  </si>
  <si>
    <t>一般_x000D_
_x000D_
具有一定道理，但并不充分。一个人也可能仅仅因为喜欢玩社交媒体而在上面花费大量时间，观点有绝对化嫌疑，待在社交媒体上也不一定为了排解心理问题。</t>
  </si>
  <si>
    <t>一般_x000D_
_x000D_
观点和主题密切相关，存在一定合理性，但又有绝对化之嫌。</t>
  </si>
  <si>
    <t>反驳了材料1，指出了其所用数据的因果判断的不妥之处。</t>
  </si>
  <si>
    <t>否_x000D_
_x000D_
该材料的部分观点我在材料1中陈述过，但理由有绝对化之嫌。</t>
  </si>
  <si>
    <t>观点：长时间使用社交媒体必然会导致青少年焦虑。理由：社交媒体上普遍存在“比较文化”，加上铺天盖地的“完美生活”的展示，会让青少年对自己的生活感到不满，降低幸福感和自尊心，导致社交退缩、自我怀疑，最终引发心理健康危机。</t>
  </si>
  <si>
    <t>不能支持_x000D_
_x000D_
理由十分主观也不够充分，一是以偏概全，可能不是所有青少年都会看到这些内容，看到了也未必会产生不满，二是犯了滑坡谬误，就算青少年受到了一定影响，结果也不一定有这么严重。</t>
  </si>
  <si>
    <t>基本无效_x000D_
_x000D_
观点和主题相关，但是陈述充满了绝对化，理由也很主观，显然存在偏见。</t>
  </si>
  <si>
    <t>支持了材料一中长时间使用社交媒体导致焦虑的观点。</t>
  </si>
  <si>
    <t>否_x000D_
_x000D_
过于主观，不够有力。</t>
  </si>
  <si>
    <t>反驳了材料三中的观点，指出比较文化不止在社交媒体上存在，也反对了心理问题由社交媒体导致的观点。</t>
  </si>
  <si>
    <t>否_x000D_
_x000D_
即使大多数没有负面影响也不能说明完全没有影响，且理由不够充分。到此我觉得讨论已经有许多限制性的词语了，比如“长时间”使用社交媒体，对“大多数”人。</t>
  </si>
  <si>
    <t>观点：社交媒体对青少年的心理健康存在积极影响。理由：因为青少年可以在这里找到支持和理解自己的人。</t>
  </si>
  <si>
    <t>一般_x000D_
_x000D_
数据太少，以偏概全。</t>
  </si>
  <si>
    <t>基本无效_x000D_
_x000D_
第一，观点和主题关系不密切，主题是是否存在负面影响，即使存在积极影响也不能说明没有消极影响。第二，以偏概全。</t>
  </si>
  <si>
    <t>否_x000D_
_x000D_
该材料和讨论话题没什么关系。</t>
  </si>
  <si>
    <t>观点：社交媒体确实为表达自我与艺术创作提供了自由的环境，但接受采访的5名青少年肯定其中比较出众的，他们愿意分享自己的积极体验，但这是一种假象。理由：他们观点不能代表所有青少年，尤其是那些在社交媒体上遭遇负面经历（比如网络欺凌）的青少年。</t>
  </si>
  <si>
    <t>反驳了材料5，指出该5人不能代表所有青少年群体。</t>
  </si>
  <si>
    <t>否_x000D_
_x000D_
在材料5的基础上越走越偏，但一定程度上能说明社交媒体可能对一些青少年的心理健康产生负面影响，比如遭遇负面经历的群体。</t>
  </si>
  <si>
    <t>观点：社交媒体并不是导致青少年心理问题的真正原因。理由：虽然调查发现，每天使用社交媒体超过4小时的青少年具有更高的焦虑水平，但如果把他们的人际关系也考虑在内就会发现，这些青少年对自己的家庭关系和朋友关系质量的评价都比较低。</t>
  </si>
  <si>
    <t>为材料2的观点提供了证据支持。</t>
  </si>
  <si>
    <t>否_x000D_
_x000D_
为材料2提供支持，但观点过于绝对，还不足以说明社交媒体没有负面影响。</t>
  </si>
  <si>
    <t>观点：认为社交媒体对青少年的心理健康没有不良影响是不负责任的。理由：社交媒体上的很多内容像“电子鸦片”一样，具有极强的吸引力和成瘾性。如果成瘾都不算心理问题，那什么才算？而且现在很多人都在使用社交媒体，所以这已经是一种集体成瘾了。</t>
  </si>
  <si>
    <t>不能支持_x000D_
_x000D_
存在逻辑漏洞，很多人使用社交媒体并不能说明集体成瘾，成瘾的判定有一定标准。</t>
  </si>
  <si>
    <t>一般_x000D_
_x000D_
观点和主题相关，但存在很大偏见和强行解释。</t>
  </si>
  <si>
    <t>在已有材料的基础上提出了⼀个新的观点，认为社交媒体造成了成瘾的心理问题。</t>
  </si>
  <si>
    <t>否_x000D_
_x000D_
该材料提供了一个新的视角，但是理由不足以支撑。</t>
  </si>
  <si>
    <t>一般_x000D_
_x000D_
有没有可能你一天看四个小时的网络小说或者打网络游戏也会这样？没有控制变量根本看不出来好吧。</t>
  </si>
  <si>
    <t>否_x000D_
_x000D_
材料并不能说服我</t>
  </si>
  <si>
    <t>观点：社交媒体不是导致青少年焦虑等心理健康问题的原因
理由：青少年可能是因为感觉到焦虑才长时间呆在社交媒体上，而不是因为使用社交媒体才导致了焦虑等的心理健康问题。如果一个人在现实中和家人和朋友关系很好，他的心理问题能及时排解，又怎么会花4个小时在社交媒体上？</t>
  </si>
  <si>
    <t>一般_x000D_
_x000D_
理由充分支持了观点，但是不够具体，没有给出具体的实例</t>
  </si>
  <si>
    <t>一般_x000D_
_x000D_
论据不够充分导致观点不够有说服力</t>
  </si>
  <si>
    <t>否_x000D_
_x000D_
立场很坚定，不会轻易改变</t>
  </si>
  <si>
    <t>一般_x000D_
_x000D_
我认为根本原因是使用者过分沉溺于虚拟世界了，如果是一个健康的青少年，他的生活重心应该是现实世界而非虚拟世界，因为身边的人都是与自己一样的普通人，一般就不会受到比较文化的影响。</t>
  </si>
  <si>
    <t>一般_x000D_
_x000D_
我认为他存在偏见。</t>
  </si>
  <si>
    <t>否_x000D_
_x000D_
立场比较坚定</t>
  </si>
  <si>
    <t>观点：对大多数青少年而言，使用社交媒体对心理健康不会产生负面影响。</t>
  </si>
  <si>
    <t>充分支持_x000D_
_x000D_
理由充分且有效的支持了观点，不存在明显漏洞</t>
  </si>
  <si>
    <t>非常有效_x000D_
_x000D_
观点与主题紧密相关且合理</t>
  </si>
  <si>
    <t>理由：社交媒体有其不良影响的一面
观点：社交媒体确实为表达自我与艺术创作提供了自由的环境，但接受采访的5名青少年肯定其中比较出众的，他们愿意分享自己的积极体验，但这是一种假象。他们观点不能代表所有青少年，尤其是那些在社交媒体上遭遇负面经历（比如网络欺凌）的青少年。</t>
  </si>
  <si>
    <t>反驳了材料1、3.支持了材料2</t>
  </si>
  <si>
    <t>观点：社交媒体对青少年的心理健康有严重的不良影响！
理由：社交媒体上的很多内容像“电子鸦片”一样，具有极强的吸引力和成瘾性。如果成瘾都不算心理问题，那什么才算？而且现在很多人都在使用社交媒体，所以这已经是一种集体成瘾了</t>
  </si>
  <si>
    <t>不能支持_x000D_
_x000D_
有点太极端了。毫无逻辑可言</t>
  </si>
  <si>
    <t>这还算观点？不就是一堆废话吗</t>
  </si>
  <si>
    <t xml:space="preserve">支持过度使用社交媒体产生负面影响
</t>
  </si>
  <si>
    <t>不能支持_x000D_
_x000D_
统计对象过于片面；强加因果</t>
  </si>
  <si>
    <t>否_x000D_
_x000D_
“超过四小时”在青少年群体中代表性较差，因果关系也无理由</t>
  </si>
  <si>
    <t xml:space="preserve">不支持影响
心理健康状况差与长时间使用社交媒体前者为因后者为果
</t>
  </si>
  <si>
    <t>一般_x000D_
_x000D_
理由推测痕迹明显，无事实理论支撑</t>
  </si>
  <si>
    <t>一般_x000D_
_x000D_
相关性一般</t>
  </si>
  <si>
    <t>反对材料一</t>
  </si>
  <si>
    <t>否_x000D_
_x000D_
论证草率</t>
  </si>
  <si>
    <t>支持影响。
社交媒体正面信息诱发青少年焦虑</t>
  </si>
  <si>
    <t>不能支持_x000D_
_x000D_
因果关系逻辑有漏洞</t>
  </si>
  <si>
    <t>一般_x000D_
_x000D_
紧密相关但合理性欠佳</t>
  </si>
  <si>
    <t>否_x000D_
_x000D_
因果混乱，逻辑不严密，以偏概全</t>
  </si>
  <si>
    <t>不支持影响
比较文化随处有，大多青少年没有那么沉迷社交媒体，因果关系存疑</t>
  </si>
  <si>
    <t>否_x000D_
_x000D_
观点存疑，论证无力</t>
  </si>
  <si>
    <t>不支持负面影响</t>
  </si>
  <si>
    <t>不能支持_x000D_
_x000D_
数据收集对象太过片面，逻辑上以偏概全</t>
  </si>
  <si>
    <t>基本无效_x000D_
_x000D_
与主题的关系belike：顾左右而言他
偏见明显</t>
  </si>
  <si>
    <t>否_x000D_
_x000D_
数据收集过程不具有任何信效度，逻辑可笑</t>
  </si>
  <si>
    <t>支持负面影响
青少年群体在社交媒体上的经历各有不同</t>
  </si>
  <si>
    <t>否_x000D_
_x000D_
脱离主题较远，无参考价值</t>
  </si>
  <si>
    <t>不支持负面影响
因果倒置</t>
  </si>
  <si>
    <t>否_x000D_
_x000D_
因果关系存疑</t>
  </si>
  <si>
    <t>支持影响
成瘾</t>
  </si>
  <si>
    <t>一般_x000D_
_x000D_
成瘾性支持了观点，但“集体成瘾”类比错误</t>
  </si>
  <si>
    <t>非常有效_x000D_
_x000D_
相关。有效。</t>
  </si>
  <si>
    <t>是_x000D_
_x000D_
3_x000D_
_x000D_
社交媒体使用成瘾确实是不容忽视的社会问题。</t>
  </si>
  <si>
    <t>观点：社交媒体对青少年的心理健康有负面影响
理由：随着社交媒体的普及，存在心理问题的青少年比例也逐年增高</t>
  </si>
  <si>
    <t>一般_x000D_
_x000D_
这里只考虑了社交媒体对青少年的焦虑水平的影响，但是事实上当今社会产生压力的根源很多，不能被忽视，所以也并不清楚到底是不是社交媒体造成的焦虑。</t>
  </si>
  <si>
    <t>否_x000D_
_x000D_
不能以偏概全，更不能忽视其他原因</t>
  </si>
  <si>
    <t>观点：青少年的焦虑可能并不因为社交媒体
理由：如果青少年的心理问题能及时排解，不会在社交媒体上会费较多时间</t>
  </si>
  <si>
    <t>一般_x000D_
_x000D_
这段材料指出了青少年的焦虑知识与社交媒体相关，但是并不一定有因果。但是理由的阐述并没有体现这一点</t>
  </si>
  <si>
    <t>一般_x000D_
_x000D_
观点与主题不算特别紧密相连，但是其存在合理性</t>
  </si>
  <si>
    <t>反驳了材料一，指出了材料一中相关与因果混合</t>
  </si>
  <si>
    <t>观点：长时间使用社交媒体必然会导致青少年焦虑
理由：社交媒体上的部分内容会让青少年对自己的生活感到不满，降低幸福感和自尊心，导致社交退缩、自我怀疑，最终引发心理健康危机</t>
  </si>
  <si>
    <t>一般_x000D_
_x000D_
材料的理由中只考虑了部分情况，有以偏概全之嫌</t>
  </si>
  <si>
    <t>基本无效_x000D_
_x000D_
观点过激，存在偏见</t>
  </si>
  <si>
    <t>基于材料一提出新观点</t>
  </si>
  <si>
    <t>否_x000D_
_x000D_
不严谨的论证不足以使我改变观点</t>
  </si>
  <si>
    <t>观点：对大多数青少年而言，使用社交媒体对心理健康不会产生负面影响
理由：比较文化随处都有，不只是社交媒体上才有。此外，大多数青少年对社交媒体的使用是适度的</t>
  </si>
  <si>
    <t>反驳了材料三，指出其以偏概全</t>
  </si>
  <si>
    <t>否_x000D_
_x000D_
我本身就对青少年使用社交媒体持支持态度</t>
  </si>
  <si>
    <t>一般_x000D_
_x000D_
有以偏概全之嫌</t>
  </si>
  <si>
    <t>一般_x000D_
_x000D_
观点与主题紧密相连，但可能有一定偏见</t>
  </si>
  <si>
    <t>在已有材料基础上提出了一个新观点</t>
  </si>
  <si>
    <t>否_x000D_
_x000D_
我对青少年使用社交媒体持支持态度</t>
  </si>
  <si>
    <t>观点：社交媒体对部分青少年的心理健康产生了负面影响
理由：有部分青少年在社交媒体上遭遇了负面经历</t>
  </si>
  <si>
    <t>否_x000D_
_x000D_
我承认社交媒体的负面</t>
  </si>
  <si>
    <t>观点：社交媒体并不是导致青少年心理问题的真正原因，而只是“背锅”的对象。
理由：把具有更高的焦虑水平的青少年的人际关系也考虑在内就会发现，这些青少年对自己的家庭关系和朋友关系质量的评价都比较低</t>
  </si>
  <si>
    <t>反驳了材料3，指出其片面性</t>
  </si>
  <si>
    <t>否_x000D_
_x000D_
与我观念差不多一致</t>
  </si>
  <si>
    <t>充分支持_x000D_
_x000D_
充分有力地支持了观点</t>
  </si>
  <si>
    <t>反驳了材料7，指出其片面性</t>
  </si>
  <si>
    <t>否_x000D_
_x000D_
与我观点契合</t>
  </si>
  <si>
    <t>观点;存在负面影响
理由;摆数据</t>
  </si>
  <si>
    <t>一般
理由没有充分且有效地支持了观点</t>
  </si>
  <si>
    <t>观点：感觉到焦虑才长时间呆在社交媒体上，而不是因为使用社交媒体才导致了焦虑等的心理健康问题
理由：如果一个人在现实中和家人和朋友关系很好，他的心理问题能及时排解，又怎么会花4个小时在社交媒体上？</t>
  </si>
  <si>
    <t>否_x000D_
_x000D_
立场坚定</t>
  </si>
  <si>
    <t>非常有效_x000D_
_x000D_
点是否和主题紧密相关</t>
  </si>
  <si>
    <t>支持4</t>
  </si>
  <si>
    <t>观点：他们观点不能代表所有青少年，尤其是那些在社交媒体上遭遇负面经历（比如网络欺凌）的青少年。
理由：被采访的青少年较为优秀</t>
  </si>
  <si>
    <t>反驳了5</t>
  </si>
  <si>
    <t>反驳了6</t>
  </si>
  <si>
    <t>社交媒体对青少年的心理健康有负面影响
有研究调查了1000多名青少年，发现那些每天使用社交媒体超过4小时的青少年的焦虑水平比其它青少年更高。而且近10年的数据也显示，随着社交媒体的普及，存在心理问题的青少年比例也逐年增高。</t>
  </si>
  <si>
    <t>充分支持_x000D_
_x000D_
充分有效，部分存在，比如近十年青少年心理问题与社交媒体之普及强行关联了。</t>
  </si>
  <si>
    <t>是_x000D_
_x000D_
8_x000D_
_x000D_
数据表明确有此事。</t>
  </si>
  <si>
    <t>青少年可能是因为感觉到焦虑才长时间呆在社交媒体上
如果一个人在现实中和家人和朋友关系很好，他的心理问题能及时排解，又怎么会花4个小时在社交媒体上？</t>
  </si>
  <si>
    <t>充分支持_x000D_
_x000D_
充分有效，没有。表明二者的相关性的因果可以倒置</t>
  </si>
  <si>
    <t>一般_x000D_
_x000D_
观点比较相关合理</t>
  </si>
  <si>
    <t>是_x000D_
_x000D_
7_x000D_
_x000D_
点名了数据的相关1性，材料一有强加因果之嫌疑</t>
  </si>
  <si>
    <t>长时间使用社交媒体必然会导致青少年焦虑，
，因为社交媒体上普遍存在“比较文化”，加上铺天盖地的“完美生活”的展示，会让青少年对自己的生活感到不满，降低幸福感和自尊心，导致社交退缩、自我怀疑，最终引发心理健康危机。</t>
  </si>
  <si>
    <t>一般_x000D_
_x000D_
有以偏概全的嫌疑，要知道，互联网也有净土</t>
  </si>
  <si>
    <t>基本无效_x000D_
_x000D_
相关，不合理，较大偏见</t>
  </si>
  <si>
    <t>否_x000D_
_x000D_
过于偏颇的观点，全称判断的任意使用</t>
  </si>
  <si>
    <t>对大多数青少年而言，使用社交媒体对心理健康不会产生负面影响。
比较文化随处都有，不只是社交媒体上才有。此外，大多数青少年对社交媒体的使用是适度的，那些每天使用超过4小时的人的心理健康可能本身存在一些问题。</t>
  </si>
  <si>
    <t>反驳材料1.3</t>
  </si>
  <si>
    <t>否_x000D_
_x000D_
没有事实论据，只有论述</t>
  </si>
  <si>
    <t>社交媒体对青少年的心理健康存在积极影响，
因为青少年可以在这里找到支持和理解自己的人。</t>
  </si>
  <si>
    <t>不能支持_x000D_
_x000D_
青少年博主不能代表全部哇</t>
  </si>
  <si>
    <t>基本无效_x000D_
_x000D_
不太相关，主要讨论负面影响，有偏见的观点</t>
  </si>
  <si>
    <t>否_x000D_
_x000D_
以偏概全，不足为信</t>
  </si>
  <si>
    <t>他们观点不能代表所有青少年
社交媒体确实为表达自我与艺术创作提供了自由的环境，但接受采访的5名青少年肯定其中比较出众的，他们愿意分享自己的积极体验，但这是一种假象。</t>
  </si>
  <si>
    <t>否_x000D_
_x000D_
本来也不觉得材料5说得对</t>
  </si>
  <si>
    <t>社交媒体并不是导致青少年心理问题的真正原因，而只是“背锅”的对象。
调查发现，每天使用社交媒体超过4小时的青少年具有更高的焦虑水平，但如果把他们的人际关系也考虑在内就会发现，这些青少年对自己的家庭关系和朋友关系质量的评价都比较低。</t>
  </si>
  <si>
    <t xml:space="preserve">为2材料提供⽀持和解释 </t>
  </si>
  <si>
    <t>是_x000D_
_x000D_
6_x000D_
_x000D_
与材料2异曲同工，进一步给出了事实论据</t>
  </si>
  <si>
    <t>社交媒体上的很多内容像“电子鸦片”一样，具有极强的吸引力和成瘾性。
而且现在很多人都在使用社交媒体，所以这已经是一种集体成瘾了。因此，认为社交媒体对青少年的心理健康没有不良影响是不负责任的！</t>
  </si>
  <si>
    <t>不能支持_x000D_
_x000D_
先入为主，以偏概全</t>
  </si>
  <si>
    <t>基本无效_x000D_
_x000D_
偏见不合理</t>
  </si>
  <si>
    <t>否_x000D_
_x000D_
无理取闹，道德绑架</t>
  </si>
  <si>
    <t>观点：社交媒体对青少年的心理健康有负面影响。
理由：使用社交媒体越多，青少年心理问题比例越高。</t>
  </si>
  <si>
    <t>一般_x000D_
_x000D_
1000多名样本量不大，有以偏概全的问题。</t>
  </si>
  <si>
    <t>否_x000D_
_x000D_
数据能够支持社交媒体对青少年健康有负面影响。</t>
  </si>
  <si>
    <t>观点：青少年焦虑才会长时间使用社交媒体。
理由：如果青少年有很好的现实情绪支持，就不会长时间使用社交媒体。</t>
  </si>
  <si>
    <t>一般_x000D_
_x000D_
逻辑谬误。</t>
  </si>
  <si>
    <t>一般_x000D_
_x000D_
观点和主题相关，但不够合理。</t>
  </si>
  <si>
    <t>反驳了材料1,</t>
  </si>
  <si>
    <t>否_x000D_
_x000D_
逻辑不足。</t>
  </si>
  <si>
    <t>观点：长时间使用社交媒体会导致青少年焦虑。
理由：社交媒体上的“比较文化”会引发青少年心理危机。</t>
  </si>
  <si>
    <t>一般_x000D_
_x000D_
观点过于绝对，理由只列举了例子，不能推出必然结论。</t>
  </si>
  <si>
    <t>一般_x000D_
_x000D_
观点和主题相关，但过于绝对。</t>
  </si>
  <si>
    <t>否_x000D_
_x000D_
观点过于绝对。</t>
  </si>
  <si>
    <t>观点：社交媒体对大多数青少年的心理健康不会产生负面影响。
理由：“比较文化”不止出现在社交媒体，且大多数青少年对社交媒体的使用都是适度的。</t>
  </si>
  <si>
    <t>支持了材料2，反驳了材料3</t>
  </si>
  <si>
    <t>否_x000D_
_x000D_
逻辑不足，观点过于绝对。</t>
  </si>
  <si>
    <t>观点：社交媒体对青少年的心理健康存在积极影响。
理由：青少年在社交媒体上可以获得网友的认可与理解。</t>
  </si>
  <si>
    <t>一般_x000D_
_x000D_
样本量太少，无法得出结论。以偏概全。</t>
  </si>
  <si>
    <t>支持了材料4</t>
  </si>
  <si>
    <t>否_x000D_
_x000D_
以偏概全。</t>
  </si>
  <si>
    <t>观点：社交媒体为青少年带去积极影响是一种假象。
理由：少数积极观点不能代表大量青年。</t>
  </si>
  <si>
    <t>否_x000D_
_x000D_
并不能有力地支持我的观点。</t>
  </si>
  <si>
    <t>观点：社交媒体不是导致青少年心理问题的真正原因。
理由：长时间使用社交媒体的青少年对自己现实中的人际关系评价较低。</t>
  </si>
  <si>
    <t>支持了材料2.</t>
  </si>
  <si>
    <t>否_x000D_
_x000D_
逻辑有问题。</t>
  </si>
  <si>
    <t>观点：不能认为社交媒体对青少年的心理健康没有不良影响。
理由：社交媒体上的内容易使青少年成瘾，成瘾本身就是心理问题。</t>
  </si>
  <si>
    <t>一般_x000D_
_x000D_
观点和主题相关。但以偏概全。</t>
  </si>
  <si>
    <t>在已有材料基础上提出了新观点。</t>
  </si>
  <si>
    <t>是_x000D_
_x000D_
3_x000D_
_x000D_
新的思考角度。</t>
  </si>
  <si>
    <t>充分支持_x000D_
_x000D_
理由有理有据</t>
  </si>
  <si>
    <t>否_x000D_
_x000D_
社交媒体对我们的影响是能感受到的，该材料不影响我的立场</t>
  </si>
  <si>
    <t>一般_x000D_
_x000D_
与家人和朋友关系很好并不影响其花4个小时在社交媒体上</t>
  </si>
  <si>
    <t>非常有效_x000D_
_x000D_
观点与主题相关，也比较合理客观</t>
  </si>
  <si>
    <t>反驳了材料1，指出了材料1中的某⼀问题</t>
  </si>
  <si>
    <t>否_x000D_
_x000D_
我还是觉得会有负面影响</t>
  </si>
  <si>
    <t>一般_x000D_
_x000D_
社交媒体上不是只有不利于心理健康的内容，也有好的心理健康的内容</t>
  </si>
  <si>
    <t>否_x000D_
_x000D_
该材料说服力不强</t>
  </si>
  <si>
    <t>否_x000D_
_x000D_
该材料虽有理有据，但仍需进一步查证</t>
  </si>
  <si>
    <t>非常有效_x000D_
_x000D_
与主题紧密相关，观点合理</t>
  </si>
  <si>
    <t>否_x000D_
_x000D_
该材料以偏概全</t>
  </si>
  <si>
    <t>否_x000D_
_x000D_
该材料与我的立场一致</t>
  </si>
  <si>
    <t>充分支持_x000D_
_x000D_
理由合理，能支持观点</t>
  </si>
  <si>
    <t>一般_x000D_
_x000D_
观点与主题基本相关，但略显偏激</t>
  </si>
  <si>
    <t>否_x000D_
_x000D_
与我的立场基本一致</t>
  </si>
  <si>
    <t>一般_x000D_
_x000D_
材料通过实验的方式来证明其观点，且样本量足够大，具有统计学意义，因此可以充分支持。但后者的统计实验只能体现相关性，并不能体现处理效应。</t>
  </si>
  <si>
    <t>是_x000D_
_x000D_
4_x000D_
_x000D_
材料的第一条论据具有一定的可信度，但是否还存在其他的不合理性尚值得考虑。</t>
  </si>
  <si>
    <t>一般_x000D_
_x000D_
材料的论据停留在设想层面，其现实意义不足，但这种设想对于其观点具有一定可靠性。</t>
  </si>
  <si>
    <t>一般_x000D_
_x000D_
观点与主题紧密相关，其观点也具有一定合理性。</t>
  </si>
  <si>
    <t>该段材料反驳了材料1，指出其统计中存在的逻辑谬误</t>
  </si>
  <si>
    <t>是_x000D_
_x000D_
7_x000D_
_x000D_
该段材料的观点在很大程度上怀疑了上述材料的结论的准确性，指出了其存在的谬误</t>
  </si>
  <si>
    <t>一般_x000D_
_x000D_
材料通过网络中现实存在的内容来说明其论点，具有一定的有效性。</t>
  </si>
  <si>
    <t>基本无效_x000D_
_x000D_
观点和主题紧密相关，但其观点具有强烈的偏见和主观色彩。</t>
  </si>
  <si>
    <t>材料3解释了材料1</t>
  </si>
  <si>
    <t>否_x000D_
_x000D_
材料的观点过于主观</t>
  </si>
  <si>
    <t>观点：使用社交媒体对心理健康不会产生负面影响。
理由：比较文化随处都有，不只是社交媒体上才有。此外，大多数青少年对社交媒体的使用是适度的，那些每天使用超过4小时的人的心理健康可能本身存在一些问题。</t>
  </si>
  <si>
    <t>该段材料否定了材料3，同时一定程度上支持了材料2</t>
  </si>
  <si>
    <t>是_x000D_
_x000D_
8_x000D_
_x000D_
材料4使材料2的观点更加可信。</t>
  </si>
  <si>
    <t>一般_x000D_
_x000D_
单个记者的采访对采访对象的选取可能是刻意的，5名博主也过于少，不具有统计意义。</t>
  </si>
  <si>
    <t>非常有效_x000D_
_x000D_
观点与主题是相关的，其逻辑谬误和偏见并不明显。</t>
  </si>
  <si>
    <t>本材料提出了新的观点，以反驳否定观点。</t>
  </si>
  <si>
    <t>否_x000D_
_x000D_
材料的论据不足</t>
  </si>
  <si>
    <t>观点：材料5的观点不能代表所有青少年
理由：社交媒体确实为表达自我与艺术创作提供了自由的环境，但接受采访的5名青少年肯定其中比较出众的，他们愿意分享自己的积极体验，但这是一种假象。</t>
  </si>
  <si>
    <t>怀疑了材料5</t>
  </si>
  <si>
    <t>否_x000D_
_x000D_
并未给出更加有充分性的理由</t>
  </si>
  <si>
    <t>观点：社交媒体并不是导致青少年心理问题的真正原因
理由：如果把他们的人际关系也考虑在内就会发现，这些青少年对自己的家庭关系和朋友关系质量的评价都比较低</t>
  </si>
  <si>
    <t>支持了材料2和材料4</t>
  </si>
  <si>
    <t>不能支持_x000D_
_x000D_
这段材料的论据是不充分的</t>
  </si>
  <si>
    <t>基本无效_x000D_
_x000D_
观点虽与主题紧密相关，但其具有强烈的偏见性，并不合理</t>
  </si>
  <si>
    <t>否定了所有的支持意见</t>
  </si>
  <si>
    <t>否_x000D_
_x000D_
材料的观点和理由均不合理</t>
  </si>
  <si>
    <t>这说明社交媒体对青少年的心理健康有负面影响。
近10年的数据也显示，随着社交媒体的普及，存在心理问题的青少年比例也逐年增高。</t>
  </si>
  <si>
    <t>一般_x000D_
_x000D_
以偏概全，近十年的高速发展带来的显然不止社交媒体，不能说就是社交媒体使青少年的心理健康出现了问题。</t>
  </si>
  <si>
    <t>否_x000D_
_x000D_
不合理的使用难免带来问题，但是这则材料的说服力还不够强。</t>
  </si>
  <si>
    <t>充分支持_x000D_
_x000D_
理论的确可以证实观点</t>
  </si>
  <si>
    <t>非常有效_x000D_
_x000D_
观点与主题紧密相关，较为合理</t>
  </si>
  <si>
    <t>反驳了材料一说的社交媒体给青少年带来了心理健康问题。</t>
  </si>
  <si>
    <t>是_x000D_
_x000D_
5_x000D_
_x000D_
青少年可能是把这类社交媒体当做了排解的一种方式，如果可以的话，和因为压力出现极端行为相比，未尝不是一件好事。</t>
  </si>
  <si>
    <t>长时间使用社交媒体必然会导致青少年焦虑。
因为社交媒体上普遍存在“比较文化”，加上铺天盖地的“完美生活”的展示，会让青少年对自己的生活感到不满，降低幸福感和自尊心，导致社交退缩、自我怀疑，最终引发心理健康危机。</t>
  </si>
  <si>
    <t>一般_x000D_
_x000D_
充分支持但以偏概全，的确存在类似的问题，但是也要看青少年自己的心理建设，不能全归因于社交媒体带来的影响。</t>
  </si>
  <si>
    <t>一般_x000D_
_x000D_
观点与主题紧密相关，相对合理。</t>
  </si>
  <si>
    <t>支撑了材料一</t>
  </si>
  <si>
    <t>否_x000D_
_x000D_
虽然可能存在比较文化，但是这在社交媒体上毕竟还只是一部分，另外也不是所有青少年都会受此影响，说服力不够强。</t>
  </si>
  <si>
    <t>批驳了材料三</t>
  </si>
  <si>
    <t>是_x000D_
_x000D_
6_x000D_
_x000D_
的确，大多数人还是适度使用的，适度正确的使用不会带来很大的负面影响。</t>
  </si>
  <si>
    <t>一般_x000D_
_x000D_
以偏概全，样本量太小。</t>
  </si>
  <si>
    <t>非常有效_x000D_
_x000D_
紧密相关但是观点不尽然合理，因为大千世界芸芸众生，谁能从网络上得到什么都是不一定的。</t>
  </si>
  <si>
    <t>新提出了一个观点，认为社交媒体对于青少年的心理健康是有优势的。</t>
  </si>
  <si>
    <t>否_x000D_
_x000D_
材料说服力不够强，存在以偏概全的问题。</t>
  </si>
  <si>
    <t>他们观点不能代表所有青少年。
社交媒体确实为表达自我与艺术创作提供了自由的环境，但接受采访的5名青少年肯定其中比较出众的，他们愿意分享自己的积极体验，但这是一种假象。</t>
  </si>
  <si>
    <t>反驳了上一则材料，指出了他的以偏概全。</t>
  </si>
  <si>
    <t>否_x000D_
_x000D_
与我的观点一致，上一则材料就是以偏概全，但是这一则材料也不足以让我改变立场，毕竟收到网络欺凌的人同优秀的人一样也只是少数，例子未免过于极端了。</t>
  </si>
  <si>
    <t>补充了材料二，做出了解释</t>
  </si>
  <si>
    <t>否_x000D_
_x000D_
的确，可能并不一定是社交媒体给青少年带来的心理健康问题，这个可能只是一个载体。</t>
  </si>
  <si>
    <t>认为社交媒体对青少年的心理健康没有不良影响是不负责任的！
社交媒体上的很多内容像“电子鸦片”一样，具有极强的吸引力和成瘾性。如果成瘾都不算心理问题，那什么才算？而且现在很多人都在使用社交媒体，所以这已经是一种集体成瘾了。</t>
  </si>
  <si>
    <t>一般_x000D_
_x000D_
以偏概全，电子上瘾现象绝非全体现象，还是有很大一部分人可以合理安排自己的使用电子设备的时间的。</t>
  </si>
  <si>
    <t>一般_x000D_
_x000D_
结合，但是观点存在偏见</t>
  </si>
  <si>
    <t>新提出了一个角度，认为成瘾就可以证明社交媒体给青少年带来的心理健康带来了负面影响。</t>
  </si>
  <si>
    <t>否_x000D_
_x000D_
成瘾现象是有着明显的个体差异的，合理使用网络还是会带来优势的！</t>
  </si>
  <si>
    <t>社交媒体的普及，存在心理问题的青少年比例也逐年增高。这说明社交媒体对青少年的心理健康有负面影响。</t>
  </si>
  <si>
    <t>一般_x000D_
_x000D_
1000多名有点太少了。但是支持了这个观点。</t>
  </si>
  <si>
    <t>是_x000D_
_x000D_
4_x000D_
_x000D_
说的有道理</t>
  </si>
  <si>
    <t>一般_x000D_
_x000D_
我觉得逻辑关系还好，但是有点问题。有没有可能我可能就是一点焦虑，看完社交媒体之后更焦虑了？</t>
  </si>
  <si>
    <t>一般_x000D_
_x000D_
挺合理的，想说先有焦虑后上社交媒体。</t>
  </si>
  <si>
    <t>相反关系吧</t>
  </si>
  <si>
    <t>充分支持_x000D_
_x000D_
支持不假，但是有社交就存在比较文化啊，比如我上学，看到别人背的爱马仕（bushi），我背的20块钱的书包。在我妈天天跟我说别人家的孩子。所以都会焦虑，我觉得需要告诉我为什么使我更焦虑</t>
  </si>
  <si>
    <t>一般_x000D_
_x000D_
不是很有效，就是没有说到点上</t>
  </si>
  <si>
    <t>在1基础上出现了一个比较文化导致青少年更焦虑</t>
  </si>
  <si>
    <t>反驳了材料1和材料3，但没拿出新例子</t>
  </si>
  <si>
    <t>否_x000D_
_x000D_
无感</t>
  </si>
  <si>
    <t>青少年可以在这里找到支持和理解自己的人。所以社交媒体对青少年的心理健康存在积极影响</t>
  </si>
  <si>
    <t>一般_x000D_
_x000D_
也是在举个例，但我觉得还好，我可以接受，比数据的观感更好。</t>
  </si>
  <si>
    <t>非常有效_x000D_
_x000D_
说的这点利好确实是令我感觉挺合理的。。</t>
  </si>
  <si>
    <t>在材料2和4的基础上开出有积极影响</t>
  </si>
  <si>
    <t>是_x000D_
_x000D_
7_x000D_
_x000D_
这世界上哪有那么多理由，莫不如自己好好找找理由。。</t>
  </si>
  <si>
    <t>想反驳5，但不成立</t>
  </si>
  <si>
    <t>否_x000D_
_x000D_
无感。。。</t>
  </si>
  <si>
    <t>社交媒体并不是导致青少年心理问题的真正原因，而只是“背锅”的对象。</t>
  </si>
  <si>
    <t>是_x000D_
_x000D_
8_x000D_
_x000D_
。</t>
  </si>
  <si>
    <t>社交媒体上的很多内容像“电子鸦片”一样，具有极强的吸引力和成瘾性。此，认为社交媒体对青少年的心理健康没有不良影响是不负责任的！</t>
  </si>
  <si>
    <t>不能支持_x000D_
_x000D_
很多人都使就是成瘾，我每天吃饭我有饭瘾？</t>
  </si>
  <si>
    <t>基本无效_x000D_
_x000D_
我觉得有一句话很合理，80年代家长认为出去玩会毁掉孩子一生，90年代归罪于小说，00后归罪于游戏。真的是他是电子鸦片使我们成瘾，还是本身这些人没有收到约束。有人天天冲浪，依旧心理健康。所以很明显这是不合理的</t>
  </si>
  <si>
    <t>无关，每次第8条都令人生气</t>
  </si>
  <si>
    <t>是_x000D_
_x000D_
10_x000D_
_x000D_
无影响胜利！</t>
  </si>
  <si>
    <t>这说明社交媒体对青少年的心理健康有负面影响。；有研究调查了1000多名青少年，发现那些每天使用社交媒体超过4小时的青少年的焦虑水平比其它青少年更高。而且近10年的数据也显示，随着社交媒体的普及，存在心理问题的青少年比例也逐年增高。</t>
  </si>
  <si>
    <t>否_x000D_
_x000D_
不全面</t>
  </si>
  <si>
    <t>青少年可能是因为感觉到焦虑才长时间呆在社交媒体上；如果一个人在现实中和家人和朋友关系很好，他的心理问题能及时排解，又怎么会花4个小时在社交媒体上？</t>
  </si>
  <si>
    <t>一般_x000D_
_x000D_
观点存在偏见</t>
  </si>
  <si>
    <t>为负面影响提供解释</t>
  </si>
  <si>
    <t>长时间使用社交媒体必然会导致青少年焦虑；因为社交媒体上普遍存在“比较文化”，加上铺天盖地的“完美生活”的展示，会让青少年对自己的生活感到不满，降低幸福感和自尊心，导致社交退缩、自我怀疑，最终引发心理健康危机。</t>
  </si>
  <si>
    <t>一般_x000D_
_x000D_
不合理，存在偏见</t>
  </si>
  <si>
    <t>为材料提供了支持</t>
  </si>
  <si>
    <t>对大多数青少年而言，使用社交媒体对心理健康不会产生负面影响。；比较文化随处都有，不只是社交媒体上才有。此外，大多数青少年对社交媒体的使用是适度的，那些每天使用超过4小时的人的心理健康可能本身存在一些问题。</t>
  </si>
  <si>
    <t xml:space="preserve">为观点提供⽀持和解释 </t>
  </si>
  <si>
    <t>是_x000D_
_x000D_
10_x000D_
_x000D_
提供了肯定的支持</t>
  </si>
  <si>
    <t>社交媒体对青少年的心理健康存在积极影响；因为青少年可以在这里找到支持和理解自己的人。有记者采访了某社交媒体的5名青少年博主，他们表示，自己表达的观点和创作的作品获得了很多网友的鼓励和认可，感到自己被理解也更自信了。</t>
  </si>
  <si>
    <t>充分支持_x000D_
_x000D_
理由充分且有效地支持了观点，列举了有效例子</t>
  </si>
  <si>
    <t xml:space="preserve">为心理健康与网络关联提供⽀持和解释 </t>
  </si>
  <si>
    <t>否_x000D_
_x000D_
肯定该立场</t>
  </si>
  <si>
    <t>他们观点不能代表所有青少年，尤其是那些在社交媒体上遭遇负面经历（比如网络欺凌）的青少年。；社交媒体确实为表达自我与艺术创作提供了自由的环境，但接受采访的5名青少年肯定其中比较出众的，他们愿意分享自己的积极体验，但这是一种假象</t>
  </si>
  <si>
    <t>为观点提供解释</t>
  </si>
  <si>
    <t>社交媒体并不是导致青少年心理问题的真正原因，而只是“背锅”的对象。；虽然调查发现，每天使用社交媒体超过4小时的青少年具有更高的焦虑水平，但如果把他们的人际关系也考虑在内就会发现，这些青少年对自己的家庭关系和朋友关系质量的评价都比较低。</t>
  </si>
  <si>
    <t xml:space="preserve">为该观点提供⽀持和解释 </t>
  </si>
  <si>
    <t>认为社交媒体对青少年的心理健康没有不良影响是不负责任的；社交媒体上的很多内容像“电子鸦片”一样，具有极强的吸引力和成瘾性。如果成瘾都不算心理问题，那什么才算？而且现在很多人都在使用社交媒体，所以这已经是一种集体成瘾了</t>
  </si>
  <si>
    <t>反驳了社交媒体对心理健康没有不良影响，指出了某材料中的某⼀问题</t>
  </si>
  <si>
    <t>这说明社交媒体对青少年的心理健康有负面影响。
有研究调查了1000多名青少年，发现那些每天使用社交媒体超过4小时的青少年的焦虑水平比其它青少年更高。而且近10年的数据也显示，随着社交媒体的普及，存在心理问题的青少年比例也逐年增高。</t>
  </si>
  <si>
    <t>否_x000D_
_x000D_
跟我的观点相同</t>
  </si>
  <si>
    <t>不能支持_x000D_
_x000D_
本末倒置，诡辩</t>
  </si>
  <si>
    <t>一般_x000D_
_x000D_
有可探讨价值但不多</t>
  </si>
  <si>
    <t>反驳了材料1，指出了材料1中的有关青少年焦虑上升的问题</t>
  </si>
  <si>
    <t>否_x000D_
_x000D_
逻辑不通</t>
  </si>
  <si>
    <t>一般_x000D_
_x000D_
 观点和主题紧密相关但是太过绝对</t>
  </si>
  <si>
    <t>否_x000D_
_x000D_
在我的认知内</t>
  </si>
  <si>
    <t>反驳了材料3，指出了材料3中的某⼀问题，每天使用超过4小时的人的心理健康可能本身存在一些问题，比较文化随处都有，不只是社交媒体上才有</t>
  </si>
  <si>
    <t>否_x000D_
_x000D_
转移问题，没有直中问题中心点</t>
  </si>
  <si>
    <t>基本无效_x000D_
_x000D_
和主题不相关，问题偏了</t>
  </si>
  <si>
    <t>在已有材料的基础上提出了⼀个新的观点社交媒体对青少年的心理健康存在积极影响</t>
  </si>
  <si>
    <t>否_x000D_
_x000D_
和主题不相关，问题偏了</t>
  </si>
  <si>
    <t>他们观点不能代表所有青少年
社交媒体确实为表达自我与艺术创作提供了自由的环境，但接受采访的5名青少年肯定其中比较出众的，他们愿意分享自己的积极体，尤其是那些在社交媒体上遭遇负面经历（比如网络欺凌）的青少年。</t>
  </si>
  <si>
    <t>反驳了材料5，指出了材料5中的以偏概全的问题</t>
  </si>
  <si>
    <t>社交媒体并不是导致青少年心理问题的真正原因，而只是“背锅”的对象。
虽然调查发现，每天使用社交媒体超过4小时的青少年具有更高的焦虑水平，但如果把他们的人际关系也考虑在内就会发现，这些青少年对自己的家庭关系和朋友关系质量的评价都比较低</t>
  </si>
  <si>
    <t>反驳了材料1，为材料2提供⽀持和解释</t>
  </si>
  <si>
    <t>否_x000D_
_x000D_
客观问题，没有根本性解释</t>
  </si>
  <si>
    <t>充分支持_x000D_
_x000D_
有效地支持了观点，以大说小</t>
  </si>
  <si>
    <t>在已有材料的基础上提出了⼀个新的观点，以大众来普及到青少年</t>
  </si>
  <si>
    <t>否_x000D_
_x000D_
认知内</t>
  </si>
  <si>
    <t>观点：社交媒体对青少年的心理健康有负面影响。
理由：有研究调查了1000多名青少年，发现那些每天使用社交媒体超过4小时的青少年的焦虑水平比其它青少年更高，而且近10年的数据也显示，随着社交媒体的普及，存在心理问题的青少年比例也逐年增高</t>
  </si>
  <si>
    <t>一般_x000D_
_x000D_
有实际数据资料作为支撑说明：社交媒体对青少年的心理健康有负面影响。但是二者之间没有明确的因果关系，有没有可能是使用社交媒体过程中的某些因素导致了青少年的心理健康有负面影响。</t>
  </si>
  <si>
    <t>否_x000D_
_x000D_
未能清晰地发现社交媒体青少年的心理健康产生了负面影响</t>
  </si>
  <si>
    <t xml:space="preserve">观点：青少年可能是因为感觉到焦虑才长时间呆在社交媒体上，而不是因为使用社交媒体才导致了焦虑等的心理健康问题
理由：如果一个人在现实中和家人和朋友关系很好，他的心理问题能及时排解，又怎么会花4个小时在社交媒体上？
</t>
  </si>
  <si>
    <t>一般_x000D_
_x000D_
以偏概全，文中指提出了一部分在平时生活中是因自身的焦虑而依赖社交媒体的人，并未提出那些因依赖社交媒体而心生焦虑的人</t>
  </si>
  <si>
    <t>一般_x000D_
_x000D_
观点存在偏见，青少年感到焦虑也许可能是在社交媒体上看到了许多光鲜亮丽的东西而忘了现实生活是怎样的，从而进行比较，产生的焦虑。如近期的身材焦虑和容貌焦虑</t>
  </si>
  <si>
    <t>否_x000D_
_x000D_
材料中的观点和理由并不能打动我，此材料中只是提出了部分人--因为感觉到焦虑才长时间呆在社交媒体上</t>
  </si>
  <si>
    <t>一般_x000D_
_x000D_
以偏概全，并不一定所有的青年都会参与“比较文化”，观点过于绝对。</t>
  </si>
  <si>
    <t>一般_x000D_
_x000D_
观点过于绝对</t>
  </si>
  <si>
    <t>为材料一提供了支持</t>
  </si>
  <si>
    <t>是_x000D_
_x000D_
6_x000D_
_x000D_
比较文化  确实存在</t>
  </si>
  <si>
    <t>观点：对大多数青少年而言，使用社交媒体对心理健康不会产生负面影响
理由：大多数青少年对社交媒体的使用是适度的，那些每天使用超过4小时的人的心理健康可能本身存在一些问题</t>
  </si>
  <si>
    <t>否_x000D_
_x000D_
材料存在偏见</t>
  </si>
  <si>
    <t>一般_x000D_
_x000D_
材料中采访的是五位青年博主，这并不能代表大多数的青少年</t>
  </si>
  <si>
    <t>一般_x000D_
_x000D_
存在以偏概全</t>
  </si>
  <si>
    <t>否_x000D_
_x000D_
以偏概全，无实际意义表明观点</t>
  </si>
  <si>
    <t>否_x000D_
_x000D_
材料指出了社交媒体对一部分青年有积极影响，对一部分青年有负面影响，刚好支撑我的立场</t>
  </si>
  <si>
    <t>观点：社交媒体并不是导致青少年心理问题的真正原因，而只是“背锅”的对象
理由：调查发现，每天使用社交媒体超过4小时的青少年具有更高的焦虑水平，但如果把他们的人际关系也考虑在内就会发现，这些青少年对自己的家庭关系和朋友关系质量的评价都比较低</t>
  </si>
  <si>
    <t>否_x000D_
_x000D_
存在逻辑漏洞，不能支撑我的立场</t>
  </si>
  <si>
    <t>一般_x000D_
_x000D_
逻辑漏洞，理由不支撑文中的观点</t>
  </si>
  <si>
    <t>基本无效_x000D_
_x000D_
社交媒体是有一定影响的，不见得所有信息的shoubian</t>
  </si>
  <si>
    <t>这说明社交媒体对青少年的心理健康有负面影响。有研究调查了1000多名青少年，发现那些每天使用社交媒体超过4小时的青少年的焦虑水平比其它青少年更高。而且近10年的数据也显示，随着社交媒体的普及，存在心理问题的青少年比例也逐年增高。</t>
  </si>
  <si>
    <t>一般_x000D_
_x000D_
理由一只能说明现象，不能解释成因。理由二只看到表像，未察觉本质</t>
  </si>
  <si>
    <t>否_x000D_
_x000D_
只有表象，未解释成因</t>
  </si>
  <si>
    <t>一般_x000D_
_x000D_
只是说理，未进行有效试验</t>
  </si>
  <si>
    <t>一般_x000D_
_x000D_
可以解释一部分原因，但并不充分</t>
  </si>
  <si>
    <t>反驳观点1</t>
  </si>
  <si>
    <t>否_x000D_
_x000D_
可以解释一部分原因，但并不充分</t>
  </si>
  <si>
    <t>长时间使用社交媒体必然会导致青少年焦虑，因为社交媒体上普遍存在“比较文化”，加上铺天盖地的“完美生活”的展示，会让青少年对自己的生活感到不满，降低幸福感和自尊心，导致社交退缩、自我怀疑，最终引发心理健康危机。</t>
  </si>
  <si>
    <t>一般_x000D_
_x000D_
只解释了一部分成因，并不全面</t>
  </si>
  <si>
    <t>反驳观点2</t>
  </si>
  <si>
    <t>否_x000D_
_x000D_
只解释了一部分成因，并不全面</t>
  </si>
  <si>
    <t>所以，对大多数青少年而言，使用社交媒体对心理健康不会产生负面影响。比较文化随处都有，不只是社交媒体上才有。此外，大多数青少年对社交媒体的使用是适度的，那些每天使用超过4小时的人的心理健康可能本身存在一些问题。</t>
  </si>
  <si>
    <t>反驳观点4</t>
  </si>
  <si>
    <t>否_x000D_
_x000D_
只解释了一部分原因，并不全面</t>
  </si>
  <si>
    <t>一般_x000D_
_x000D_
数据量较少，且样本随机性过大</t>
  </si>
  <si>
    <t>非常有效_x000D_
_x000D_
合理，但解释不充分</t>
  </si>
  <si>
    <t>否_x000D_
_x000D_
合理，但解释不充分</t>
  </si>
  <si>
    <t>他们观点不能代表所有青少年，尤其是那些在社交媒体上遭遇负面经历（比如网络欺凌）的青少年。社交媒体确实为表达自我与艺术创作提供了自由的环境，但接受采访的5名青少年肯定其中比较出众的，他们愿意分享自己的积极体验，但这是一种假象。</t>
  </si>
  <si>
    <t>反驳观点5</t>
  </si>
  <si>
    <t>否_x000D_
_x000D_
不能只关注特殊样本</t>
  </si>
  <si>
    <t>因此，社交媒体并不是导致青少年心理问题的真正原因，而只是“背锅”的对象。虽然调查发现，每天使用社交媒体超过4小时的青少年具有更高的焦虑水平，但如果把他们的人际关系也考虑在内就会发现，这些青少年对自己的家庭关系和朋友关系质量的评价都比较低。</t>
  </si>
  <si>
    <t>因此，认为社交媒体对青少年的心理健康没有不良影响是不负责任的！社交媒体上的很多内容像“电子鸦片”一样，具有极强的吸引力和成瘾性。如果成瘾都不算心理问题，那什么才算？而且现在很多人都在使用社交媒体，所以这已经是一种集体成瘾了。</t>
  </si>
  <si>
    <t>不能支持_x000D_
_x000D_
社交媒体是一种社会变迁的产物，无法抵制时代的变化，观点保守</t>
  </si>
  <si>
    <t>非常有效_x000D_
_x000D_
观点很合理</t>
  </si>
  <si>
    <t>否_x000D_
_x000D_
与我的观点相符</t>
  </si>
  <si>
    <t>不能支持_x000D_
_x000D_
青少年的问题，不是社交媒体的问题</t>
  </si>
  <si>
    <t xml:space="preserve">观点：青少年可能是因为感觉到焦虑才长时间呆在社交媒体上，而不是因为使用社交媒体才导致了焦虑等的心理健康问题。
理由:如果一个人在现实中和家人和朋友关系很好，他的心理问题能及时排解，又怎么会花4个小时在社交媒体上？
</t>
  </si>
  <si>
    <t>一般_x000D_
_x000D_
可能原因</t>
  </si>
  <si>
    <t>不能支持_x000D_
_x000D_
夸大了</t>
  </si>
  <si>
    <t>基本无效_x000D_
_x000D_
太过绝对</t>
  </si>
  <si>
    <t>一般_x000D_
_x000D_
紧密相关</t>
  </si>
  <si>
    <t xml:space="preserve">观点：但这是一种假象。他们观点不能代表所有青少年，尤其是那些在社交媒体上遭遇负面经历（比如网络欺凌）的青少年。
理由：社交媒体确实为表达自我与艺术创作提供了自由的环境，但接受采访的5名青少年肯定其中比较出众的，他们愿意分享自己的积极体验，
</t>
  </si>
  <si>
    <t>充分支持_x000D_
_x000D_
理由充分且有效地支持了观点，无错误。</t>
  </si>
  <si>
    <t>否_x000D_
_x000D_
材料对我的观点无影响。</t>
  </si>
  <si>
    <t>非常有效_x000D_
_x000D_
观点与主题紧密相关且合理。</t>
  </si>
  <si>
    <t>一般_x000D_
_x000D_
观点太过绝对，以偏概全。</t>
  </si>
  <si>
    <t>一般_x000D_
_x000D_
观点与主题联系程度较高，但太过绝对。</t>
  </si>
  <si>
    <t>一般_x000D_
_x000D_
理由所举例子不具有代表性，5名博主不可能代表所有的青少年。</t>
  </si>
  <si>
    <t>一般_x000D_
_x000D_
观点与主题相关程度较高，不过有些偏颇。</t>
  </si>
  <si>
    <t>否_x000D_
_x000D_
材料对我的立场无影响。</t>
  </si>
  <si>
    <t>否_x000D_
_x000D_
材料使我更坚定了自己的立场。</t>
  </si>
  <si>
    <t>充分支持_x000D_
_x000D_
理由充分且有效的支持了观点，且无错误。</t>
  </si>
  <si>
    <t>观点是社交媒体对青少年心理健康产生了负面影响。理由是由纵向追踪研究以及横向对比研究真实数据分析发现社交平台的使用的确对青少年的焦虑水平产生了负面影响。</t>
  </si>
  <si>
    <t>充分支持_x000D_
_x000D_
由横向对比及纵向追踪实验得出，数据真实</t>
  </si>
  <si>
    <t>否_x000D_
_x000D_
与我的观点一致，没有分歧。</t>
  </si>
  <si>
    <t>观点是社交媒体不一定对青少年的心理健康存在负面影响，理由是我们不知道社交平台的使用与心理健康下降的关系因果，有可能实现心理健康出现问题才导致了社交媒体过度使用。</t>
  </si>
  <si>
    <t xml:space="preserve">一般_x000D_
_x000D_
以偏概全，缺乏数据支撑。社交媒体成瘾并非指针对特定有心理健康问题的儿童，社交媒体成因适用于非常广泛的人群，因为社交媒体的趣味性以及思维的惰性，所以心理健康的青少年也有可能过度使用。
</t>
  </si>
  <si>
    <t>一般_x000D_
_x000D_
观点存在偏见，不够全面。</t>
  </si>
  <si>
    <t>否_x000D_
_x000D_
此段论点没有数据支撑力量薄弱且存在偏见，不能动摇我的观点。</t>
  </si>
  <si>
    <t>观点是社交媒体度青少年的心理健康产生了负面影响，理由是社交平台具备比较，完美生活等特点，市青少年被无意中滋生的攀比心态左右，降低他们的生活幸福感。</t>
  </si>
  <si>
    <t>一般_x000D_
_x000D_
较为充分但考虑仍不够全面，只考虑了部分人群可易受社交媒体的影响，没有分析所有社交媒体用户，比如有的青少年心理将康水平较好，他们有强大的不易撼动的自我定位以及自我认知，不会轻易受他人看法的影响，这类特定青少年金可能不存在上述问题。</t>
  </si>
  <si>
    <t>非常有效_x000D_
_x000D_
紧密相关，且十分合理，符合社会现状和生活实际。</t>
  </si>
  <si>
    <t>在已有材料的基础上提供了新的论点。</t>
  </si>
  <si>
    <t>否_x000D_
_x000D_
与我之前的观点高度契合。</t>
  </si>
  <si>
    <t>观点是社交媒体对青少年的心理健康不存在负面影响，理由是比较文化并不只在社交媒体上存在，那些在社交平台上受到了影响的人群可能是本身就心理健康存在问题的特定人群，大多数普通青少年不会受到社交媒体的影响。</t>
  </si>
  <si>
    <t>反驳了上一观点</t>
  </si>
  <si>
    <t>否_x000D_
_x000D_
此材料论点不具说服力，没有试验和相关数据提供支撑。</t>
  </si>
  <si>
    <t>观点是社交媒体的使用不仅对青少年心理健康没有负面影响，反而在一定程度上对青少年心理健康有促进作用。理由是采访了几名青少年表示他们个人经历显示社交媒体的使用使他们收获了鼓励及赞美，增强了他们的自我效能感，从而提升了心理健康。</t>
  </si>
  <si>
    <t>一般_x000D_
_x000D_
采样太少了，这五名青少年具备很强的随机性，他们的特殊经历很有可能偏向了同一方向，而且这五个人并不能反映整个青少年群体的情况，所以这五个人的采访结果并没有说服力。</t>
  </si>
  <si>
    <t>一般_x000D_
_x000D_
紧密相关，但由于采样样本数量太小，所以不具备太强说服力。</t>
  </si>
  <si>
    <t>在已有材料的基础上提出了新观点。</t>
  </si>
  <si>
    <t>否_x000D_
_x000D_
这五个人的采样随机性过强且样本量实在太少，缺少说服力。</t>
  </si>
  <si>
    <t>观点是社交媒体的使用不一定能为青少年心理健康带来积极影响。理由是这五个被采访的青少年无法较好的反映整个青少年群体的情况。</t>
  </si>
  <si>
    <t>反驳上一材料的观点。</t>
  </si>
  <si>
    <t>否_x000D_
_x000D_
与我原有观点高度契合。</t>
  </si>
  <si>
    <t>观点是社交媒体的使用不一定给青少年心理健康带来负面影响。理由是这些显示过量使用社交媒体的青少年本身就可能存在一定的心理健康问题，所以不能把其心理健康问题完全归咎于社交媒体的使用。</t>
  </si>
  <si>
    <t>为材料二提供了补充和映证。</t>
  </si>
  <si>
    <t>是_x000D_
_x000D_
4_x000D_
_x000D_
由此材料可看出确实不一定是社交平台的使用导致了青少年心理健康危机，有可能是心理健康危机导致了社交媒体的过量使用。</t>
  </si>
  <si>
    <t>观点是社交媒体对青少年的心理健康有负面影响。理由是社交媒体成因并不是针对某某个特定群体的个别现象，而是面向全社会的很广泛的群体行为，所以社交媒体的确为青少年心理健康造成负面影响。</t>
  </si>
  <si>
    <t>充分支持_x000D_
_x000D_
非常全面的分析了整个社会全体成员，但是其可信度存在疑问，因为并没有把心理健康危机人群和心理健康水平良好的人群分开检验其社交平台成瘾程度是否存在显著，所以不完全具有说服力。</t>
  </si>
  <si>
    <t>一般_x000D_
_x000D_
但是其可信度存在疑问，因为并没有把心理健康危机人群和心理健康水平良好的人群分开检验其社交平台成瘾程度是否存在显著，所以不完全具有说服力。</t>
  </si>
  <si>
    <t>否_x000D_
_x000D_
应证了我的原观点，</t>
  </si>
  <si>
    <t>这说明社交媒体对青少年的心理健康有负面影响。
有研究调查了1000多名青少年，发现那些每天使用社交媒体超过4小时的青少年的焦虑水平比其它青少年更高。而且近10年的数据也显示，随着社交媒体的普及，存在心理问题的青少年比例也逐年增高</t>
  </si>
  <si>
    <t>充分支持_x000D_
_x000D_
理由充分且有效地支持了观点，无错误</t>
  </si>
  <si>
    <t>否_x000D_
_x000D_
他是支持我所说的弊的</t>
  </si>
  <si>
    <t>不是因为使用社交媒体才导致了焦虑等的心理健康问题
如果一个人在现实中和家人和朋友关系很好，他的心理问题能及时排解，又怎么会花4个小时在社交媒体上？</t>
  </si>
  <si>
    <t>一般_x000D_
_x000D_
理由不够充分，没有有力的事实来证明</t>
  </si>
  <si>
    <t xml:space="preserve">非常有效_x000D_
_x000D_
观点和主题紧密相关，观点合理，不存在偏见等问题
</t>
  </si>
  <si>
    <t>否_x000D_
_x000D_
材料不具备有力的证明性</t>
  </si>
  <si>
    <t>充分支持_x000D_
_x000D_
理由是否充分且有效地支持了观点，不存在逻辑漏洞或推理错误</t>
  </si>
  <si>
    <t>为材料一提供⽀持和解释</t>
  </si>
  <si>
    <t>反驳材料三，补充材料二</t>
  </si>
  <si>
    <t>否_x000D_
_x000D_
论据不够有力</t>
  </si>
  <si>
    <t>社交媒体对青少年的心理健康存在积极影响
因为青少年可以在这里找到支持和理解自己的人</t>
  </si>
  <si>
    <t>是_x000D_
_x000D_
6_x000D_
_x000D_
社交媒体的利又多了一面</t>
  </si>
  <si>
    <t>接受采访的5名青少年观点不能代表所有青少年，尤其是那些在社交媒体上遭遇负面经历（比如网络欺凌）的青少年
社交媒体确实为表达自我与艺术创作提供了自由的环境，但接受采访的5名青少年肯定其中比较出众的，他们愿意分享自己的积极体验，但这是一种假象</t>
  </si>
  <si>
    <t>是_x000D_
_x000D_
5_x000D_
_x000D_
确实5个人不能代表整体</t>
  </si>
  <si>
    <t>社交媒体并不是导致青少年心理问题的真正原因，而只是“背锅”的对象。
如果把每天使用社交媒体超过4小时的青少年的人际关系也考虑在内就会发现，这些青少年对自己的家庭关系和朋友关系质量的评价都比较低</t>
  </si>
  <si>
    <t>否_x000D_
_x000D_
材料的逻辑错误，考虑不充分，无意义</t>
  </si>
  <si>
    <t>社交媒体对青少年的心理健康没有不良影响是不负责任的
认为社交媒体上的很多内容像“电子鸦片”一样，具有极强的吸引力和成瘾性，现在很多人都在使用社交媒体，所以这已经是一种集体成瘾了</t>
  </si>
  <si>
    <t>一般_x000D_
_x000D_
理由不能有效支持观点，而且很多人使用社交媒体是生活所需要的，不是集体成瘾</t>
  </si>
  <si>
    <t>基本无效_x000D_
_x000D_
观点有偏见且不合理</t>
  </si>
  <si>
    <t>反驳材料四</t>
  </si>
  <si>
    <t>否_x000D_
_x000D_
材料说法较为偏见</t>
  </si>
  <si>
    <t>一般_x000D_
_x000D_
能够支持但是本身被试存在群体偏差</t>
  </si>
  <si>
    <t>一般_x000D_
_x000D_
能支持</t>
  </si>
  <si>
    <t>反驳材料一，说的有道理</t>
  </si>
  <si>
    <t>支持材料二点出社交媒体的一方面特性</t>
  </si>
  <si>
    <t>一般_x000D_
_x000D_
相关合理局限</t>
  </si>
  <si>
    <t>说明积极影响反驳消极影响</t>
  </si>
  <si>
    <t>观点：他们观点不能代表所有青少年，尤其是那些在社交媒体上遭遇负面经历（比如网络欺凌）的青少年。
理由：社交媒体确实为表达自我与艺术创作提供了自由的环境，但接受采访的5名青少年肯定其中比较出众的，他们愿意分享自己的积极体验，但这是一种假象</t>
  </si>
  <si>
    <t>观点：因此，社交媒体并不是导致青少年心理问题的真正原因，而只是“背锅”的对象。
理由：虽然调查发现，每天使用社交媒体超过4小时的青少年具有更高的焦虑水平，但如果把他们的人际关系也考虑在内就会发现，这些青少年对自己的家庭关系和朋友关系质量的评价都比较低</t>
  </si>
  <si>
    <t>延展材料12等</t>
  </si>
  <si>
    <t>一般_x000D_
_x000D_
想必这位一定很有责任心，我认为这是正确的</t>
  </si>
  <si>
    <t>一般_x000D_
_x000D_
相关合理</t>
  </si>
  <si>
    <t>正义感爆棚，支持</t>
  </si>
  <si>
    <t>有负面影响。数据显示，社交社交媒体对青少年的心理健康有负面影响。</t>
  </si>
  <si>
    <t>充分支持_x000D_
_x000D_
数据很有说服力</t>
  </si>
  <si>
    <t>是_x000D_
_x000D_
4_x000D_
_x000D_
因为数据显示社交媒体确实影响青少年心理健康。</t>
  </si>
  <si>
    <t>没有负面影响，理由是是因为使用社交媒体才导致了焦虑等的心理健康问题。</t>
  </si>
  <si>
    <t>一般_x000D_
_x000D_
因为不是很充分</t>
  </si>
  <si>
    <t>非常有效_x000D_
_x000D_
相关，合理</t>
  </si>
  <si>
    <t>反驳了材料1，指出了材料1完全因为社交媒体导致焦虑的错误</t>
  </si>
  <si>
    <t>否_x000D_
_x000D_
材料中的理由不是很充分</t>
  </si>
  <si>
    <t>产生了负面影响，理由：社交媒体上普遍存在“比较文化”，加上铺天盖地的“完美生活”的展示，会让青少年对自己的生活感到不满，降低幸福感和自尊心，导致社交退缩、自我怀疑，最终引发心理健康危机。</t>
  </si>
  <si>
    <t>一般_x000D_
_x000D_
存在逻辑漏洞，不一定会使青少年对自己的生活不满，</t>
  </si>
  <si>
    <t>一般_x000D_
_x000D_
紧密，但是存在偏见</t>
  </si>
  <si>
    <t>为材料1提供支持</t>
  </si>
  <si>
    <t>否_x000D_
_x000D_
材料不是很有说服力</t>
  </si>
  <si>
    <t>没有影响。大多数青少年对社交媒体的使用是适度的，那些每天使用超过4小时的人的心理健康可能本身存在一些问题。所以，对大多数青少年而言，使用社交媒体对心理健康不会产生负面影响。</t>
  </si>
  <si>
    <t>否_x000D_
_x000D_
材料理由不够充分</t>
  </si>
  <si>
    <t>没有负面影响，理由：有记者采访了某社交媒体的5名青少年博主，他们表示，自己表达的观点和创作的作品获得了很多网友的鼓励和认可，感到自己被理解也更自信了。</t>
  </si>
  <si>
    <t>不能支持_x000D_
_x000D_
理由这是5个青少年博主，以偏概全</t>
  </si>
  <si>
    <t>基本无效_x000D_
_x000D_
不相干，有积极影响不代表就没有消极影响。</t>
  </si>
  <si>
    <t>否_x000D_
_x000D_
材料无效</t>
  </si>
  <si>
    <t>产生了负面影响。理由：接受采访的5名青少年肯定其中比较出众的，他们愿意分享自己的积极体验，但这是一种假象。他们观点不能代表所有青少年，尤其是那些在社交媒体上遭遇负面经历（比如网络欺凌）的青少年。</t>
  </si>
  <si>
    <t>反驳了材料5，指出了材料5以偏概全的问题，</t>
  </si>
  <si>
    <t>没有负面影响。
青少年对自己的家庭关系和朋友关系质量的评价都比较低。因此，社交媒体并不是导致青少年心理问题的真正原因，而只是“背锅”的对象。</t>
  </si>
  <si>
    <t>否_x000D_
_x000D_
不能使我完全改变立场</t>
  </si>
  <si>
    <t xml:space="preserve">有负面影响。社交媒体上的很多内容像“电子鸦片”一样，具有极强的吸引力和成瘾性。
</t>
  </si>
  <si>
    <t>一般_x000D_
_x000D_
理由不充分</t>
  </si>
  <si>
    <t>一般_x000D_
_x000D_
相关，但是理由不合理，不能说“现在很多人都在使用社交媒体，所以这已经是一种集体成瘾了。”</t>
  </si>
  <si>
    <t>否_x000D_
_x000D_
观点和我的论点一样</t>
  </si>
  <si>
    <t>社交媒体对青少年的心理健康有负面影响。
每天使用社交媒体超过4小时的青少年的焦虑水平比其它青少年更高，随着社交媒体的普及，存在心理问题的青少年比例也逐年增高</t>
  </si>
  <si>
    <t>一般_x000D_
_x000D_
1000多青少年范围太小。不具有代表性，且没有排除其他因素对青少年心理的影响</t>
  </si>
  <si>
    <t xml:space="preserve">青少年可能是因为感觉到焦虑才长时间呆在社交媒体上，而不是因为使用社交媒体才导致了焦虑等的心理健康问题
如果现实生活幸福不会花那么多时间在社交媒体上
</t>
  </si>
  <si>
    <t>一般_x000D_
_x000D_
有失偏颇，有些人就是被社交媒体吸引，沉迷网络世界，二者可能存在因果关系，但没有那么绝对</t>
  </si>
  <si>
    <t>非常有效_x000D_
_x000D_
这种可能性是真实存在的，在社交媒体宣泄，寻求慰藉</t>
  </si>
  <si>
    <t>反驳了材料一，指出二者因果关系也许恰恰相反</t>
  </si>
  <si>
    <t>是_x000D_
_x000D_
5_x000D_
_x000D_
现实失意无法排解确实可能会在网络是寻找安慰，以此逃避现实</t>
  </si>
  <si>
    <t>一般_x000D_
_x000D_
理由很有道理，但这种事情不一定会影响到青少年，主要要看青少年的辨别力</t>
  </si>
  <si>
    <t>一般_x000D_
_x000D_
必然过于绝对</t>
  </si>
  <si>
    <t>是_x000D_
_x000D_
6_x000D_
_x000D_
有点绝对，但确实存在这种不良影响</t>
  </si>
  <si>
    <t>对大多数青少年而言，使用社交媒体对心理健康不会产生负面影响。
比较文化随处都有，不只是社交媒体上才有，大多数青少年对社交媒体的使用是适度的，那些每天使用超过4小时的人的心理健康可能本身存在一些问题</t>
  </si>
  <si>
    <t>反驳了材料三，指出比较文化随处可见</t>
  </si>
  <si>
    <t>是_x000D_
_x000D_
4_x000D_
_x000D_
大部分青少年不会受网络负面影响</t>
  </si>
  <si>
    <t>充分支持_x000D_
_x000D_
青少年可以在社交媒体上得到认同感</t>
  </si>
  <si>
    <t>非常有效_x000D_
_x000D_
积极影响是毋庸置疑的</t>
  </si>
  <si>
    <t>反驳材料三，指出获得认同会提高自尊心和幸福感</t>
  </si>
  <si>
    <t>是_x000D_
_x000D_
3_x000D_
_x000D_
青少年能在社交媒体上收获认同，实现价值</t>
  </si>
  <si>
    <t>社交媒体对青年的积极作用是假象
被采访的青少年出众，不能代表其他人</t>
  </si>
  <si>
    <t>反驳了材料5，指出出众的青少年不具有代表性</t>
  </si>
  <si>
    <t>是_x000D_
_x000D_
6_x000D_
_x000D_
网络是双刃剑，个别人的成功不能代表受害者</t>
  </si>
  <si>
    <t xml:space="preserve">社交媒体并不是导致青少年心理问题的真正原因，而只是“背锅”的对象。
长时间使用社交媒体的青少年对自己的家庭关系和朋友关系质量的评价都比较低
</t>
  </si>
  <si>
    <t>反驳材料一，支持材料二</t>
  </si>
  <si>
    <t>是_x000D_
_x000D_
5_x000D_
_x000D_
人际关系等其他因素也会对焦虑水平造成影响</t>
  </si>
  <si>
    <t>认为社交媒体对青少年的心理健康没有不良影响是不负责任的
社交媒体上的很多内容像“电子鸦片”一样，具有极强的吸引力和成瘾性</t>
  </si>
  <si>
    <t>一般_x000D_
_x000D_
使用社交媒体不一定就会上瘾，重点在个人</t>
  </si>
  <si>
    <t>是_x000D_
_x000D_
7_x000D_
_x000D_
社交媒体会成瘾</t>
  </si>
  <si>
    <t>观点：社交媒体对青少年的心理健康有负面影响
理由：与社交媒体的接触越多，青少年的心理健康水平越低</t>
  </si>
  <si>
    <t>一般_x000D_
_x000D_
理由没有控制无关变量，青少年不完全是因为社交媒体的影响导致心理问题的高发</t>
  </si>
  <si>
    <t xml:space="preserve">否_x000D_
_x000D_
理由不够充分
</t>
  </si>
  <si>
    <t>观点：社交媒体并不是引起青少年心理健康的症结
理由：社交媒体为那些感到焦虑的年轻人提供了一个途径，是青少年选择了社交媒体</t>
  </si>
  <si>
    <t>不能支持_x000D_
_x000D_
归因错误，将青少年的心理健康问题归因于不和谐的人际关系，把社交媒体对青少年的影响撇得一干二净</t>
  </si>
  <si>
    <t>基本无效_x000D_
_x000D_
观点反过来质问了主题，试图去对社交媒体对人的影响做出归因，但非常不合理</t>
  </si>
  <si>
    <t>反驳了材料1，指出青少年不一定是因为社交媒体而导致自身的心理健康问题</t>
  </si>
  <si>
    <t>否_x000D_
_x000D_
理由与观点不合理</t>
  </si>
  <si>
    <t>观点：社交媒体会导致青少年焦虑
理由：“比较文化”盛行于社交媒体，给青少年造成了心理健康问题</t>
  </si>
  <si>
    <t>一般_x000D_
_x000D_
理由以偏概全，试图将社交媒体的“比较文化”视为社交媒体的全部，过分夸大地社交媒体的负面影响，结论也是一刀切</t>
  </si>
  <si>
    <t>一般_x000D_
_x000D_
观点与主题相关，但是不够合理</t>
  </si>
  <si>
    <t>否_x000D_
_x000D_
理由不够充分</t>
  </si>
  <si>
    <t>观点：社交媒体对心理健康不会产生负面影响
理由：比较文化并不是社交媒体独有的，青少年的心理问题不能一概而全</t>
  </si>
  <si>
    <t>反驳了材料3，指出社交媒体的比较文化并不是社交媒体独有的</t>
  </si>
  <si>
    <t>否_x000D_
_x000D_
观点过于牵强不具有说服力</t>
  </si>
  <si>
    <t>观点：社交媒体对青少年心理健康有积极影响，青少年可以找到支持和理解自己的人
理由：青少年利用社交媒体进行创作，受到了认可与鼓励，让自己变得更自信</t>
  </si>
  <si>
    <t>一般_x000D_
_x000D_
理由有效地支持了观点，逻辑合理，但不够充分，5名青少年博主的例子过于少了，且大多数人也并不是博主而是社交媒体的看客</t>
  </si>
  <si>
    <t>非常有效_x000D_
_x000D_
观点与主题相关且合理</t>
  </si>
  <si>
    <t>是_x000D_
_x000D_
4_x000D_
_x000D_
社交媒体面临的污名化使得我过分忽略了它的积极影响</t>
  </si>
  <si>
    <t>观点：社交媒体的负面影响并不会因为社交媒体的积极影响得到削弱
理由：确实存在在社交媒体上遭遇负面经理的青少年</t>
  </si>
  <si>
    <t>反驳了材料5，指出社交媒体的负面影响并不会因为社交媒体的积极影响得到削弱</t>
  </si>
  <si>
    <t>否_x000D_
_x000D_
该理由在我立场的考虑范围内</t>
  </si>
  <si>
    <t>观点：社交媒体并不是导致青少年心理问题的真正原因
理由：长时间使用社交媒体，且有心理问题的青少年往往人际关系很糟糕</t>
  </si>
  <si>
    <t>一般_x000D_
_x000D_
存在逻辑问题，社交媒体的广泛使用不代表对社交媒体有集体成瘾</t>
  </si>
  <si>
    <t>反驳了材料2和材料7，指出撇清社交媒体对青少年心理健康的影响是不负责任的</t>
  </si>
  <si>
    <t>否_x000D_
_x000D_
与自身的立场的考虑一致</t>
  </si>
  <si>
    <t>观点：说明社交媒体对青少年的心理健康有负面影响
理由：每天使用社交媒体超过4小时的青少年的焦虑水平比其它青少年更高。而且近10年的数据也显示，随着社交媒体的普及，存在心理问题的青少年比例也逐年增高。</t>
  </si>
  <si>
    <t>一般_x000D_
_x000D_
理由充分支持了观点，但对青少年造成影响的一些其他原因并不能够被排除。</t>
  </si>
  <si>
    <t>否_x000D_
_x000D_
材料比较能支持我的想法，但不能改变我的观点。</t>
  </si>
  <si>
    <t>观点：青少年可能是因为感觉到焦虑才长时间呆在社交媒体上，而不是因为使用社交媒体才导致了焦虑等的心理健康问题。
理由：如果一个人在现实中和家人和朋友关系很好，他的心理问题能及时排解，不会花4个小时在社交媒体上</t>
  </si>
  <si>
    <t>不能支持_x000D_
_x000D_
理由的逻辑存在漏洞，一个人在现实中和家人和朋友关系很好，他的心理问题能及时排解，也有可能花四小时在社交媒体上</t>
  </si>
  <si>
    <t>一般_x000D_
_x000D_
观点和主题的关系紧密，也很合理，但是理由并不充分，使观点的有效性降低。</t>
  </si>
  <si>
    <t>在已有材料的基础上提出了⼀个新的观点，提出了社交媒体和青少年焦虑的因果的不同方向性。</t>
  </si>
  <si>
    <t>否_x000D_
_x000D_
理由稀烂，存在偏颇，无法让我认同。</t>
  </si>
  <si>
    <t>一般_x000D_
_x000D_
理由充分切有效，逻辑比较合理，能充分支持提供的观点，但过于绝对</t>
  </si>
  <si>
    <t>一般_x000D_
_x000D_
观点和主题的关系没有十分密切，且长时间使用社交媒体会带来一定程度的问题不代表使用社交媒体一定会产生负面影响</t>
  </si>
  <si>
    <t>否_x000D_
_x000D_
材料太过绝对且没有证据和数据支撑。</t>
  </si>
  <si>
    <t>观点：对大多数青少年而言，使用社交媒体对心理健康不会产生负面影响
理由：比较文化随处都有，不只是社交媒体上才有。</t>
  </si>
  <si>
    <t>反驳了材料3，指出了其中所存在的问题</t>
  </si>
  <si>
    <t>否_x000D_
_x000D_
过于绝对且没有证据，无法让人信服。</t>
  </si>
  <si>
    <t>一般_x000D_
_x000D_
存在以偏概全，不是所有使用社交媒体的青少年都能够像博主一样获得鼓励和认可，且样本太少，证据不充分。</t>
  </si>
  <si>
    <t>基本无效_x000D_
_x000D_
社交媒体对青少年的心理健康存在积极影响并不代表其对青少年就不存在负面影响。</t>
  </si>
  <si>
    <t>否_x000D_
_x000D_
观点和主题的关联不大，且证据不充分。</t>
  </si>
  <si>
    <t>观点：社交媒体确实可能为青少年带来一些负面影响。
理由：接受采访的5名青少年肯定其中比较出众的，他们愿意分享自己的积极体验，但这是一种假象。他们观点不能代表所有青少年，尤其是那些在社交媒体上遭遇负面经历（比如网络欺凌）的青少年</t>
  </si>
  <si>
    <t xml:space="preserve">反驳了材料5，指出了材料5中的某⼀问题 </t>
  </si>
  <si>
    <t>否_x000D_
_x000D_
这个材料能够支撑我的想法以及观点。</t>
  </si>
  <si>
    <t>观点：社交媒体并不是导致青少年心理问题的真正原因，而只是“背锅”的对象
理由：把使用社交媒体超过4小时的青少年的人际关系也考虑在内就会发现，这些青少年对自己的家庭关系和朋友关系质量的评价都比较低</t>
  </si>
  <si>
    <t>否_x000D_
_x000D_
观点过于绝对，无法证明社交媒体不是导致青少年的原因之一</t>
  </si>
  <si>
    <t>一般_x000D_
_x000D_
理由能够支持观点，但是存在一些以偏概全</t>
  </si>
  <si>
    <t>一般_x000D_
_x000D_
观点较为偏激</t>
  </si>
  <si>
    <t>反驳了材料4中的观点</t>
  </si>
  <si>
    <t>否_x000D_
_x000D_
观点和措辞较为偏激，且没有证据支撑，无法令我改变想法。</t>
  </si>
  <si>
    <t>社交媒体对青少年的心理健康有负面影响
随着社交媒体的普及，存在心理问题的青少年比例也逐年增高</t>
  </si>
  <si>
    <t>是_x000D_
_x000D_
5_x000D_
_x000D_
社交媒体或许对使用时间长的青少年产生负面影响</t>
  </si>
  <si>
    <t>青少年可能是因为感觉到焦虑才长时间呆在社交媒体上
如果一个人在现实中和家人和朋友关系很好，他的心理问题能及时排解，就不会在社交媒体上花很多时间</t>
  </si>
  <si>
    <t>非常有效_x000D_
_x000D_
观点与主题联系紧密，说明了不一定是使用社交媒体才有的负面影响</t>
  </si>
  <si>
    <t>是_x000D_
_x000D_
6_x000D_
_x000D_
可能是因为已经焦虑才长时间使用社交媒体</t>
  </si>
  <si>
    <t>非常有效_x000D_
_x000D_
观点与主题联系紧密，在社交媒体上大多都是精心设计的内容与视频，让人容易产生羡慕等情绪，从而不满现状</t>
  </si>
  <si>
    <t>是_x000D_
_x000D_
5_x000D_
_x000D_
可能本来是焦虑的，在使用社交媒体后，因为其他的情绪更加焦虑了</t>
  </si>
  <si>
    <t>使用社交媒体对心理健康不会产生负面影响
大多数青少年对社交媒体的使用是适度的，那些每天使用超过4小时的人的心理健康可能本身存在一些问题</t>
  </si>
  <si>
    <t>否_x000D_
_x000D_
每天使用超过4小时的人的心理健康不一定存在一些问题</t>
  </si>
  <si>
    <t>充分支持_x000D_
_x000D_
理由充分且有效地支持了观点，不存在逻辑漏洞或推理错误，不过有些以偏概全</t>
  </si>
  <si>
    <t>非常有效_x000D_
_x000D_
与主题联系紧密，大多数人在社交媒体真的会遇到一些志同道合的朋友</t>
  </si>
  <si>
    <t>是_x000D_
_x000D_
6_x000D_
_x000D_
是否有负面情绪还是要看具体遇到的经历</t>
  </si>
  <si>
    <t>接受采访的5名青少年不能代表所有青少年
接受采访的人肯定是其中比较出众的</t>
  </si>
  <si>
    <t>否_x000D_
_x000D_
虽然接受采访的人是比较出众的，但是能带给还在奋斗的青少年一些鼓励和期望</t>
  </si>
  <si>
    <t>社交媒体并不是导致青少年心理问题的真正原因
这些青少年对自己的家庭关系和朋友关系质量的评价都比较低</t>
  </si>
  <si>
    <t>是_x000D_
_x000D_
7_x000D_
_x000D_
青少年产生负面情绪的地方不一定在社交媒体</t>
  </si>
  <si>
    <t>社交媒体对青少年的心理健康没有不良影响是不负责任的
社交媒体上的很多内容像“电子鸦片”一样，具有极强的吸引力和成瘾性</t>
  </si>
  <si>
    <t>一般_x000D_
_x000D_
理由支持效果一般，有些以偏概全</t>
  </si>
  <si>
    <t>一般_x000D_
_x000D_
观点与主题联系一般，不是所有使用社交媒体的青少年都会成瘾</t>
  </si>
  <si>
    <t>否_x000D_
_x000D_
负面情绪的产生不一定在社交媒体</t>
  </si>
  <si>
    <t>一般_x000D_
_x000D_
理由有效支持了观点，但无法证明青少年的心理问题比例升高是由于社交媒体的普及导致的，忽略了其他变量如社会压力的影响</t>
  </si>
  <si>
    <t>否_x000D_
_x000D_
仍然认为社交媒体对青少年的心理健康有负面影响</t>
  </si>
  <si>
    <t>不能支持_x000D_
_x000D_
理由没有说服力，无数据支持，只是一种推测。无法说明心理问题与使用社交媒体的逻辑关系</t>
  </si>
  <si>
    <t>一般_x000D_
_x000D_
观点与主题紧密相关，且观点的推断合理</t>
  </si>
  <si>
    <t>一般_x000D_
_x000D_
理由能够有效支持该观点，但缺乏数据调查支持</t>
  </si>
  <si>
    <t>一般_x000D_
_x000D_
观点和主题紧密相关，但其中使用的“必然”一词过于偏激，排除了其他可能的情况</t>
  </si>
  <si>
    <t>反驳了材料2、3</t>
  </si>
  <si>
    <t>观点：社交媒体对青少年的心理健康存在积极影响，因为青少年可以在这里找到支持和理解自己的人
理由：有记者采访了某社交媒体的5名青少年博主，他们表示，自己表达的观点和创作的作品获得了很多网友的鼓励和认可，感到自己被理解也更自信了</t>
  </si>
  <si>
    <t>不能支持_x000D_
_x000D_
采访的样本量过少，存在一些人在社交媒体上受到打压而产生心理问题，因而理由以偏概全</t>
  </si>
  <si>
    <t>一般_x000D_
_x000D_
观点和主题紧密相关，且合理</t>
  </si>
  <si>
    <t>观点：社交媒体确实为表达自我与艺术创作提供了自由的环境，但接受采访的5名青少年的观点不能代表所有青少年，尤其是那些在社交媒体上遭遇负面经历（比如网络欺凌）的青少年
理由：接受采访的5名青少年肯定其中比较出众的，他们愿意分享自己的积极体验</t>
  </si>
  <si>
    <t>反驳了材料1，为材料2提供支持和解释</t>
  </si>
  <si>
    <t>不能支持_x000D_
_x000D_
理由支持了观点，但许多人使用社交媒体无法证明使用者都存在成瘾行为，因此存在逻辑漏洞</t>
  </si>
  <si>
    <t>一般_x000D_
_x000D_
观点和主题相关，且合理</t>
  </si>
  <si>
    <t>一般_x000D_
_x000D_
使用社交媒体超过四小时的青少年焦虑水平可以较好反映观点。但是后续近十年的数据存疑，社交媒体的普及和青少年心理问题的比例的相关性不足以从中推出。近十年社会变化的其他因素也很多，会不会可能是其他因素对青少年心理的负面影响大于社交媒体的正面影响呢？我们不得而知，需要更严谨的变量控制</t>
  </si>
  <si>
    <t>否_x000D_
_x000D_
观点合理性不高，不足以说服我</t>
  </si>
  <si>
    <t>一般_x000D_
_x000D_
反问句具有说服力，但是这样的反问并不严谨，这样的反问同样无法证明四个小时的社交媒体和心理健康之间的因果关系究竟如何。</t>
  </si>
  <si>
    <t xml:space="preserve">一般_x000D_
_x000D_
观点合理性存疑，理由的充分性低
</t>
  </si>
  <si>
    <t>否_x000D_
_x000D_
理由对观点的证明程度不够，不足以引起我对这个观点的高度认同</t>
  </si>
  <si>
    <t>一般_x000D_
_x000D_
我无法从中看出“比较文化”和“完美生活”的展示究竟会使青少年自我怀疑还是会使青少年获得动力。</t>
  </si>
  <si>
    <t>一般_x000D_
_x000D_
存在一定偏见，认为这样的比较和展示必定引起青少年自我怀疑。事实上社会中的比较比比皆是，我们许多人从小就在被父母与其他人进行大量的比较</t>
  </si>
  <si>
    <t>否_x000D_
_x000D_
理由的严谨性低</t>
  </si>
  <si>
    <t>否_x000D_
_x000D_
材料中的理由需要进一步证明</t>
  </si>
  <si>
    <t>一般_x000D_
_x000D_
有具体的调查，但是调查的青少年数量少，且均为青少年博主，身份上有共性，偶然性大</t>
  </si>
  <si>
    <t>一般_x000D_
_x000D_
观点和主题密切相关，但是调查的部分持保留意见，严谨性过低</t>
  </si>
  <si>
    <t>否_x000D_
_x000D_
我认为调查的偶然性过大，观点对我的影响小</t>
  </si>
  <si>
    <t>否_x000D_
_x000D_
材料中理由的主观性高。</t>
  </si>
  <si>
    <t>观点：社交媒体并不是导致青少年心理问题的真正原因，而只是“背锅”的对象。
理由：每天使用社交媒体超过4小时的青少年具有更高的焦虑水平，但如果把他们的人际关系也考虑在内就会发现，这些青少年对自己的家庭关系和朋友关系质量的评价都比较低</t>
  </si>
  <si>
    <t>一定程度支持了材料二</t>
  </si>
  <si>
    <t>否_x000D_
_x000D_
材料中对因果关系的说明并不严谨，更像是一种猜测，需要进一步调查增加严谨性</t>
  </si>
  <si>
    <t>不能支持_x000D_
_x000D_
社交媒体的成瘾性大小无法判断，很多人使用社交媒体也不能说明这是一种集体成瘾。理由有效性太低，主观性过强，逻辑不严谨</t>
  </si>
  <si>
    <t>基本无效_x000D_
_x000D_
观点合理性存疑，明显存在偏见</t>
  </si>
  <si>
    <t>否_x000D_
_x000D_
过于主观的材料说明和不充分的理由</t>
  </si>
  <si>
    <t>一般_x000D_
_x000D_
理由从实验调查和社会普查两方面说明了社交媒体对青少年心理状态的影响。但可能是社交媒体中的其他因素导致了该原因，如负能量，需要进一步探究。</t>
  </si>
  <si>
    <t>否_x000D_
_x000D_
社交媒体对青少年心理健康产生了负面影响。</t>
  </si>
  <si>
    <t>一般_x000D_
_x000D_
通过反证证明观点。但理由本身就可能出错。有关系好也经常在社交媒体上的人，也有不在社交媒体但仍焦虑的人。</t>
  </si>
  <si>
    <t>一般_x000D_
_x000D_
从问题的方向性对主题产生质疑，但说服力不足。</t>
  </si>
  <si>
    <t>否_x000D_
_x000D_
材料说服力不足，逻辑不够严密。</t>
  </si>
  <si>
    <t>充分支持_x000D_
_x000D_
从“比较文化”方面指出社交媒体对青少年心理健康的损害。</t>
  </si>
  <si>
    <t>一般_x000D_
_x000D_
与主题关系密切，但太过绝对。不一定所有使用社交媒体的青少年都会产生焦虑。</t>
  </si>
  <si>
    <t>否_x000D_
_x000D_
在社交媒体风气方面，的确可能对青少年心理造成负面影响。</t>
  </si>
  <si>
    <t>否_x000D_
_x000D_
材料以偏概全</t>
  </si>
  <si>
    <t>一般_x000D_
_x000D_
理由支持了观点，但被试较少，说服力不强。并且只说明了网友鼓励，没有说明黑粉，网络暴力的影响。</t>
  </si>
  <si>
    <t>基本无效_x000D_
_x000D_
观点合理但不充分，社交媒体有利有弊，并不是存在积极影响就不会产生负面影响。</t>
  </si>
  <si>
    <t>否_x000D_
_x000D_
并不是存在积极影响就不会产生负面影响。</t>
  </si>
  <si>
    <t>观点：5名青少年的观点不能代表所有青少年。
理由：接受采访的5名青少年肯定其中比较出众的，他们愿意分享自己的积极体验，但这是一种假象。在社交媒体上遭遇负面经历（比如网络欺凌）的青少年没有被说明。</t>
  </si>
  <si>
    <t>否_x000D_
_x000D_
材料5中已表明青少年的例子不能作为参考。</t>
  </si>
  <si>
    <t>支持2</t>
  </si>
  <si>
    <t>否_x000D_
_x000D_
理由逻辑不清导致观点说服力不足</t>
  </si>
  <si>
    <t>一般_x000D_
_x000D_
从成瘾性角度说明社交媒体的影响，但对成瘾的原因的结果阐述不清晰。</t>
  </si>
  <si>
    <t>一般_x000D_
_x000D_
说明或多或少的成瘾性也算是负面影响。</t>
  </si>
  <si>
    <t>否_x000D_
_x000D_
成瘾性确实属于负面影响。</t>
  </si>
  <si>
    <t>社交媒体对青少年的心理健康有负面影响</t>
  </si>
  <si>
    <t>一般_x000D_
_x000D_
社交媒体确实对青少年的焦虑等心理状态存在影响，但是近十年的数据仅显示青少年心理问题和社交媒体普及存在相关关系而非因果关系，也可能存在其他因素导致此现象，此处认为论证不太严谨。</t>
  </si>
  <si>
    <t>否_x000D_
_x000D_
基本证明了我的观点。</t>
  </si>
  <si>
    <t>一般_x000D_
_x000D_
只有理论没有具体的实验说明，论证不严谨。但确实提供了另一种可能性，谁是因谁是果确实值得商榷。</t>
  </si>
  <si>
    <t>一般_x000D_
_x000D_
与主题紧密相关，但是仅局限于猜测，论证并不有力。</t>
  </si>
  <si>
    <t>反驳了材料一的结论，指出材料一中的论证漏洞。</t>
  </si>
  <si>
    <t>否_x000D_
_x000D_
确实没有想到焦虑才是导致社交媒体使用时间长的原因这一点，开拓新思路，但是没有提供足够的数据前我不会改变我的立场，因为它论证不充足。</t>
  </si>
  <si>
    <t>充分支持_x000D_
_x000D_
理由充分支持了观点，‘比较文化’和‘完美生活的展示’会导致青少年的焦虑。</t>
  </si>
  <si>
    <t>非常有效_x000D_
_x000D_
观点与主题紧密相关且观点合理，但是是不是所有青少年都会对这样的网络环境产生同样的焦虑、不满的心理其实不得而知，这是不是在已知结论基础上对现实的有偏猜测呢。</t>
  </si>
  <si>
    <t>为材料一提供支持和解释。</t>
  </si>
  <si>
    <t>否_x000D_
_x000D_
逻辑说得通，也支持我的观点。</t>
  </si>
  <si>
    <t>对大多数青少年而言，使用社交媒体对心理健康不会产生负面影响。
比较文化随处都有，另外大多数青少年对社交媒体的使用是适度的，那些每天使用超过4小时的人的心理健康可能本身存在一些问题</t>
  </si>
  <si>
    <t>否_x000D_
_x000D_
逻辑不严谨，不接受此观点。</t>
  </si>
  <si>
    <t>充分支持_x000D_
_x000D_
理由充分支持该观点不存在逻辑错误。</t>
  </si>
  <si>
    <t>一般_x000D_
_x000D_
社交媒体确实存在积极影响，但是其积极性和消极性是相互独立的，证明他有积极作用并不能证明他没有消极作用。所以和主题关系其实不大。</t>
  </si>
  <si>
    <t>提出新观点，社交媒体对青少年的心理健康存在积极影响。</t>
  </si>
  <si>
    <t>否_x000D_
_x000D_
如前所说，积极性和消极性相互独立，所以不影响我对消极影响的看法。</t>
  </si>
  <si>
    <t>他们观点不能代表所有青少年，尤其是那些在社交媒体上遭遇负面经历的青少年。</t>
  </si>
  <si>
    <t>否_x000D_
_x000D_
这则材料本质上是支持我的观点的但是我怎么看怎么不对劲，先不采纳。</t>
  </si>
  <si>
    <t>社交媒体并不是导致青少年心理问题的真正原因，而只是“背锅”的对象，人际关系才是幕后黑手。</t>
  </si>
  <si>
    <t>为材料二提供支持和解释。</t>
  </si>
  <si>
    <t>是_x000D_
_x000D_
8_x000D_
_x000D_
终于盼来了材料二的调查结果，既然有充足的证据那我就改立场了。</t>
  </si>
  <si>
    <t>社交媒体上的很多内容具有极强的吸引力和成瘾性，认为社交媒体对青少年的心理健康没有不良影响是不负责任的。</t>
  </si>
  <si>
    <t>一般_x000D_
_x000D_
所指的成瘾是什么程度没有给出准确描述，如果说绝大多数人都在使用社交媒体，那应该认为这是现代社会所必须的社交媒体使用的强度了，也谈不上成瘾。</t>
  </si>
  <si>
    <t>一般_x000D_
_x000D_
在论述社交媒体的影响，但是观点过激。</t>
  </si>
  <si>
    <t>反驳材料七认为社交媒体完全无害的看法。</t>
  </si>
  <si>
    <t>是_x000D_
_x000D_
7_x000D_
_x000D_
刚刚确实符合预期之后立场改变过大了，但我认为按照之前的观点也可以解释本材料的现象，那么这还该不该归咎于社交媒体呢。</t>
  </si>
  <si>
    <t>社交媒体对青少年的心理健康有负面影响，有研究调查</t>
  </si>
  <si>
    <t>一般_x000D_
_x000D_
以偏概全，只看负面不看正面</t>
  </si>
  <si>
    <t>否_x000D_
_x000D_
这些证据我有考虑但最终得出这个分数是我的最终选择</t>
  </si>
  <si>
    <t>少年可能是因为感觉到焦虑才长时间呆在社交媒体上，而不是因为使用社交媒体才导致了焦虑等的心理健康问题</t>
  </si>
  <si>
    <t>一般_x000D_
_x000D_
很好的反驳，考虑事情的因果</t>
  </si>
  <si>
    <t>非常有效_x000D_
_x000D_
很好的对一的反驳</t>
  </si>
  <si>
    <t>反驳一</t>
  </si>
  <si>
    <t>一般_x000D_
_x000D_
以偏概全，没有道理的因果关系推理</t>
  </si>
  <si>
    <t>基本无效_x000D_
_x000D_
没有直接的逻辑关系</t>
  </si>
  <si>
    <t>反驳二</t>
  </si>
  <si>
    <t>对大多数青少年而言，使用社交媒体对心理健康不会产生负面影响。那些每天使用超过4小时的人的心理健康可能本身存在一些问题</t>
  </si>
  <si>
    <t>反驳三</t>
  </si>
  <si>
    <t>一般_x000D_
_x000D_
一样的，这个东西他就不能只考虑一方面的因素</t>
  </si>
  <si>
    <t>一般_x000D_
_x000D_
个案，抽样偏差</t>
  </si>
  <si>
    <t>提出了社交媒体对青少年有积极影响的观点</t>
  </si>
  <si>
    <t>他们观点不能代表所有青少年</t>
  </si>
  <si>
    <t>反驳五</t>
  </si>
  <si>
    <t>社交媒体并不是导致青少年心理问题的真正原因。每天使用社交媒体超过4小时的青少年具有更高的焦虑水平，但如果把他们的人际关系也考虑在内就会发现，这些青少年对自己的家庭关系和朋友关系质量的评价都比较低</t>
  </si>
  <si>
    <t>反驳六</t>
  </si>
  <si>
    <t>认为社交媒体对青少年的心理健康没有不良影响是不负责任的。社交媒体上的很多内容像“电子鸦片”一样，具有极强的吸引力和成瘾性</t>
  </si>
  <si>
    <t>观点是社交媒体对青少年的心理健康有负面影响
理由是研究调查发现每天使用社交媒体超过4小时的青少年的焦虑水平更高，而且存在心理问题的青少年比例也在逐年增高</t>
  </si>
  <si>
    <t>充分支持_x000D_
_x000D_
因为有调查数据的支持</t>
  </si>
  <si>
    <t>否_x000D_
_x000D_
因为我一猜就是这样</t>
  </si>
  <si>
    <t>观点是青少年是因为感到焦虑才长时间使用社交媒体而不是因为使用社交媒体才焦虑
理由是假设了一个人如果跟现实中的人关系好就不会花长时间在社交媒体上</t>
  </si>
  <si>
    <t>不能支持_x000D_
_x000D_
因为我自己跟现实中的家人和朋友关系就很好，但是我仍然每天花大量时间在社交媒体上</t>
  </si>
  <si>
    <t>基本无效_x000D_
_x000D_
很不合理，万一就是有的问题无法和身边人说，只能通过社交媒体消磨时光呢？</t>
  </si>
  <si>
    <t>反驳了材料1，指出了青少年并不是因为使用社交媒体才焦虑而是因为焦虑才使用社交媒体</t>
  </si>
  <si>
    <t>否_x000D_
_x000D_
材料2说的不对</t>
  </si>
  <si>
    <t>观点是长时间使用社交媒体会导致青少年焦虑
理由是社交媒体上普遍存在“比较文化”，通过与优越生活的对比，青少年会觉得幸福感下降</t>
  </si>
  <si>
    <t>充分支持_x000D_
_x000D_
说的很对</t>
  </si>
  <si>
    <t>非常有效_x000D_
_x000D_
我认为说得很好</t>
  </si>
  <si>
    <t>支持了材料1，补充说明了为什么长时间使用社交媒体的青少年的焦虑水平更高且心理问题也变多</t>
  </si>
  <si>
    <t>否_x000D_
_x000D_
因为我知道社交媒体确实这么多导致青少年焦虑的问题</t>
  </si>
  <si>
    <t>观点是使用社交媒体对心理健康不会产生负面影响</t>
  </si>
  <si>
    <t>反驳了材料3，但是我认为它太片面了</t>
  </si>
  <si>
    <t>否_x000D_
_x000D_
我不认同</t>
  </si>
  <si>
    <t>观点是社交媒体对青少年的心理健康存在积极影响
理由是有记者采访了某社交媒体的5名青少年博主，他们表示，自己表达的观点和创作的作品获得了很多网友的鼓励和认可，感到自己被理解也更自信了。</t>
  </si>
  <si>
    <t>一般_x000D_
_x000D_
太片面了，仅仅采访了五个博主而已</t>
  </si>
  <si>
    <t>一般_x000D_
_x000D_
更多的青少年不是博主</t>
  </si>
  <si>
    <t>反驳了材料3，但我不认同</t>
  </si>
  <si>
    <t>观点是不是所有的青少年都能从社交媒体中得到正面影响
理由是接受采访的5名青少年肯定其中比较出众的，他们愿意分享自己的积极体验，但这是一种假象</t>
  </si>
  <si>
    <t>否_x000D_
_x000D_
因为他说得对</t>
  </si>
  <si>
    <t>观点是社交媒体并不是导致青少年心理问题的真正原因
理由是虽然调查发现，每天使用社交媒体超过4小时的青少年具有更高的焦虑水平，但如果把他们的人际关系也考虑在内就会发现，这些青少年对自己的家庭关系和朋友关系质量的评价都比较低。</t>
  </si>
  <si>
    <t>观点是社交媒体让很多未成年人集体成瘾
理由是社交媒体上的很多内容像“电子鸦片”一样，具有极强的吸引力和成瘾性。如果成瘾都不算心理问题，那什么才算？而且现在很多人都在使用社交媒体，所以这已经是一种集体成瘾了</t>
  </si>
  <si>
    <t>充分支持_x000D_
_x000D_
说得好</t>
  </si>
  <si>
    <t>非常有效_x000D_
_x000D_
说得对</t>
  </si>
  <si>
    <t>否_x000D_
_x000D_
我觉得它说得对</t>
  </si>
  <si>
    <t>观点：社交媒体对青少年的心理健康有负面影响。
理由：那些每天使用社交媒体超过4小时的青少年的焦虑水平比其它青少年更高，随着社交媒体的普及，存在心理问题的青少年比例也逐年增高</t>
  </si>
  <si>
    <t>充分支持_x000D_
_x000D_
该理由用数据充分表现了社交媒体对青少年焦虑增长做出的贡献，在一定程度上能够反映其负面影响，但是理由的选取存在一定偏见，如这些数据背后的影响因素可能不只有社交媒体一种，有可能出现片面解释</t>
  </si>
  <si>
    <t>否_x000D_
_x000D_
我的观点中承认社交媒体的不利因素和其有利一面，因此与材料一不矛盾</t>
  </si>
  <si>
    <t>观点：青少年的心理健康问题与社交媒体的使用的关系可能是相关关系，没有因果关系
理由：青少年可能是因为感觉到焦虑才长时间呆在社交媒体上，而不是因为使用社交媒体才导致了焦虑等的心理健康问题</t>
  </si>
  <si>
    <t>一般_x000D_
_x000D_
材料二的理由只是从理论分析的角度说明这一观点，并没有给出实际的数据，不能有效证明观点</t>
  </si>
  <si>
    <t>一般_x000D_
_x000D_
该观点本身提供了一个思考角度，但是存在明显偏见，而且该观点只停留在猜测阶段</t>
  </si>
  <si>
    <t>否_x000D_
_x000D_
材料二的观点有效性不强，例证不充分</t>
  </si>
  <si>
    <t>一般_x000D_
_x000D_
比较文化等只是社交媒体影响青年的心理机制的一种可能性，材料三例证并没有有效证明两者因果关系</t>
  </si>
  <si>
    <t>一般_x000D_
_x000D_
材料三观点存在明显偏见，并没有足够的充分的证明</t>
  </si>
  <si>
    <t>支持材料一，反驳材料二</t>
  </si>
  <si>
    <t>否_x000D_
_x000D_
材料三理由不充分</t>
  </si>
  <si>
    <t>一般_x000D_
_x000D_
材料五中的论证因果关系没有得到充分证明，且例证所筛选人群单一</t>
  </si>
  <si>
    <t>一般_x000D_
_x000D_
社交媒体对心理健康存在积极作用能够补充社交媒体的作用，但不能有效反驳该观点</t>
  </si>
  <si>
    <t>否_x000D_
_x000D_
论证存在片面性</t>
  </si>
  <si>
    <t>观点：材料五观点不能代表所有青少年
理由：材料五选取人群不具有代表性</t>
  </si>
  <si>
    <t>该材料中和了前五个材料的观点</t>
  </si>
  <si>
    <t>否_x000D_
_x000D_
与我的立场较为一致</t>
  </si>
  <si>
    <t>观点：社交媒体并不是导致青少年心理问题的真正原因
理由：每天使用社交媒体超过4小时的青少年具有更高的焦虑水平，但如果把他们的人际关系也考虑在内就会发现，这些青少年对自己的家庭关系和朋友关系质量的评价都比较低</t>
  </si>
  <si>
    <t>支持了材料二，材料四</t>
  </si>
  <si>
    <t>观点：认为社交媒体对青少年的心理健康没有不良影响是不负责任的！
理由：社交媒体具有极强的吸引力和成瘾性</t>
  </si>
  <si>
    <t>不能支持_x000D_
_x000D_
该材料的论证只是在抒发感情，没有有效论证电子成瘾和对青少年的心理健康的负面影响的关系</t>
  </si>
  <si>
    <t>基本无效_x000D_
_x000D_
只用不负责任来解释问题是对问题的不负责任</t>
  </si>
  <si>
    <t>否_x000D_
_x000D_
材料八无效</t>
  </si>
  <si>
    <t>观点：有负面影响
理由：发现那些每天使用社交媒体超过4小时的青少年的焦虑水平比其它青少年更高</t>
  </si>
  <si>
    <t>一般_x000D_
_x000D_
存在逻辑漏洞：没有考虑第三变量的存在：社交媒体和心理健康具有相关性但并不能说明具有因果性：也有可能是比如留守儿童使用手机时间更长，但是是留守这一因素导致焦虑而不是社交媒体</t>
  </si>
  <si>
    <t>否_x000D_
_x000D_
这个材料逻辑有漏洞，什么也说明不了</t>
  </si>
  <si>
    <t>没有产生负面影响
理由：社交媒体和焦虑的关系可能是反过来的，因为感觉到焦虑才长时间呆在社交媒体上，而不是因为使用社交媒体才导致了焦虑等的心理健康问题</t>
  </si>
  <si>
    <t>一般_x000D_
_x000D_
这种猜测是完全合理的：社交媒体和焦虑的关系可能是反过来的。但是这只是一种猜测，所以既不能证明有负面影响也不能证明无负面影响</t>
  </si>
  <si>
    <t>一般_x000D_
_x000D_
不是很相关：猜测不饿能说明任何东西，我们要探究的是正向逻辑而不是反向逻辑</t>
  </si>
  <si>
    <t>反驳材料二，认为因果关系可能倒过来</t>
  </si>
  <si>
    <t>否_x000D_
_x000D_
这个材料反向逻辑思考，于问题研究无益，只是一种猜测既不能证明有负面影响也不能证明无负面影响</t>
  </si>
  <si>
    <t>社交媒体对青少年的心理健康产生了负面影响
理由：社交媒体上普遍存在“比较文化”</t>
  </si>
  <si>
    <t>充分支持_x000D_
_x000D_
充分支持，合理有效</t>
  </si>
  <si>
    <t>非常有效_x000D_
_x000D_
紧密结合</t>
  </si>
  <si>
    <t>为材料1提供⽀持和解释：比较文化也许是一个中间变量</t>
  </si>
  <si>
    <t>观点社交媒体对心理健康不会产生负面影响
理由：比较文化随处都有，不只是社交媒体上才有；每天使用超过4小时的人的心理健康可能本身存在一些问题</t>
  </si>
  <si>
    <t>反驳材料3比较文化的观点，但可惜反而证明了；
反驳材料二长时间使用社交媒体的观点，但可惜逻辑不通顺，与主题无关</t>
  </si>
  <si>
    <t>观点：会产生积极影响
理由：5名青少年博主，他们表示，自己表达的观点和创作的作品获得了很多网友的鼓励和认可，感到自己被理解也更自信了。</t>
  </si>
  <si>
    <t>不能支持_x000D_
_x000D_
1我们不是在讨论积极影响，是在讨论消极影响
2以偏概全：青少年博主不等于青少年。大部分人不是博主</t>
  </si>
  <si>
    <t>基本无效_x000D_
_x000D_
观点和主题脱节：我们不是在讨论积极影响，是在讨论消极影响</t>
  </si>
  <si>
    <t>在已有材料的基础上提出了⼀个新的观点：积极影响，但可惜跑题了</t>
  </si>
  <si>
    <t>否_x000D_
_x000D_
跑题；以偏概全，材料无效</t>
  </si>
  <si>
    <t>观点：有负面影响，材料5以偏概全
理由：接受采访的5名青少年肯定其中比较出众的，他们愿意分享自己的积极体验，但这是一种假象。他们观点不能代表所有青少年</t>
  </si>
  <si>
    <t>反驳材料5，指出以偏概全的问题</t>
  </si>
  <si>
    <t>否_x000D_
_x000D_
材料吻合我的观点，和我的预判一致</t>
  </si>
  <si>
    <t>观点：没有负面影响
理由：人际关系是社交媒体和焦虑的第三变量</t>
  </si>
  <si>
    <t>对材料1的批判：第三变量问题</t>
  </si>
  <si>
    <t>否_x000D_
_x000D_
只能说明材料1的材料无效，但是并没有反驳我在开头的想法</t>
  </si>
  <si>
    <t>观点：有负面影响
理由：具有极强的吸引力和成瘾性具有极强的吸引力和成瘾性</t>
  </si>
  <si>
    <t>充分支持_x000D_
_x000D_
有效且无漏洞：明确指出成瘾性问题</t>
  </si>
  <si>
    <t>非常有效_x000D_
_x000D_
例证有效</t>
  </si>
  <si>
    <t>在已有材料的基础上提出了⼀个新的观点：例证成瘾性</t>
  </si>
  <si>
    <t>是_x000D_
_x000D_
2_x000D_
_x000D_
我的立场没变，一开始点错了
这个材料正好印证了我的观点，资本与娱乐结合必然会产生很多畸形的事物：比如成瘾性事物</t>
  </si>
  <si>
    <t>充分支持_x000D_
_x000D_
材料的研究结果确实证明了社交媒体的负面影响。</t>
  </si>
  <si>
    <t>否_x000D_
_x000D_
这段材料与我的观点比较符合。</t>
  </si>
  <si>
    <t>不能支持_x000D_
_x000D_
这个理由更像是某个人的某种观点。首先这只是一个表述，没有任何证据等客观材料。其次，这的确是一种可能，但也不代表使用社交媒体意味着现实关怀缺失。</t>
  </si>
  <si>
    <t>基本无效_x000D_
_x000D_
观点反向阐述了主题，相关不太紧密，并且存在一定的偏见。</t>
  </si>
  <si>
    <t>否_x000D_
_x000D_
这个材料不太具有说服力，也没有批判地看待更多情况。</t>
  </si>
  <si>
    <t>一般_x000D_
_x000D_
理由比较有道理，但太过绝对</t>
  </si>
  <si>
    <t>一般_x000D_
_x000D_
与主题相关，但表述方式太过绝对</t>
  </si>
  <si>
    <t>解释了材料1</t>
  </si>
  <si>
    <t>否_x000D_
_x000D_
比较支持我的立场，但太极端，不能对我的立场产生影响。</t>
  </si>
  <si>
    <t>否_x000D_
_x000D_
观点自身可说服性不强。</t>
  </si>
  <si>
    <t>观点：交媒体对青少年的心理健康存在积极影响，因为青少年可以在这里找到支持和理解自己的人。
理由：因为青少年可以在这里找到支持和理解自己的人。有记者采访了某社交媒体的5名青少年博主，他们表示，自己表达的观点和创作的作品获得了很多网友的鼓励和认可，感到自己被理解也更自信了。</t>
  </si>
  <si>
    <t>充分支持_x000D_
_x000D_
理由以实例证明了社交媒体的积极影响。</t>
  </si>
  <si>
    <t>基本无效_x000D_
_x000D_
积极影响存在不代表负面影响不存在，一件事物本身就是有利有弊的，主题本身讨论的是负面影响，而非影响正面多还是负面多。</t>
  </si>
  <si>
    <t>否_x000D_
_x000D_
观点不符合主题。</t>
  </si>
  <si>
    <t>观点：社交媒体确实为表达自我与艺术创作提供了自由的环境
理由：但接受采访的5名青少年肯定其中比较出众的，他们愿意分享自己的积极体验，但这是一种假象。他们观点不能代表所有青少年，尤其是那些在社交媒体上遭遇负面经历（比如网络欺凌）的青少年。</t>
  </si>
  <si>
    <t>否_x000D_
_x000D_
观点自身存在漏洞。</t>
  </si>
  <si>
    <t>一定程度上反驳材料1，支持材料2</t>
  </si>
  <si>
    <t>是_x000D_
_x000D_
5_x000D_
_x000D_
材料使我对这个问题二元因素以外的条件有了充分认识。</t>
  </si>
  <si>
    <t>观点：社交媒体对青少年的心理健康没有不良影响是不负责任的
理由：社交媒体上的很多内容像“电子鸦片”一样，具有极强的吸引力和成瘾性。如果成瘾都不算心理问题，那什么才算？而且现在很多人都在使用社交媒体，所以这已经是一种集体成瘾了</t>
  </si>
  <si>
    <t>一般_x000D_
_x000D_
理由符合观点，但没有实例和数据，仅提出了这种现象。</t>
  </si>
  <si>
    <t>一般_x000D_
_x000D_
提出的问题（社交媒体的负面影响）确实是事实，但观点偏激且极端。</t>
  </si>
  <si>
    <t>否_x000D_
_x000D_
观点极端。</t>
  </si>
  <si>
    <t>一般_x000D_
_x000D_
1000多名青少年的样本量有点小，应当再扩大样本量，从而使得实验结果的检验力更高</t>
  </si>
  <si>
    <t>是_x000D_
_x000D_
6_x000D_
_x000D_
显然，在这项实验中，社交媒体给大多数青少年带来了负面的情绪体验</t>
  </si>
  <si>
    <t>一般_x000D_
_x000D_
以偏概全了有点</t>
  </si>
  <si>
    <t>一般_x000D_
_x000D_
这个属于是你自己都搞不清楚是哪个变量控制哪个变量了，不如去做实验，别让我在这里分析来分析去的，显得我像个傻子</t>
  </si>
  <si>
    <t>是_x000D_
_x000D_
6_x000D_
_x000D_
我逐渐感受到了社交媒体带来的负面情绪感受</t>
  </si>
  <si>
    <t>一般_x000D_
_x000D_
我切身感受到了 谢谢</t>
  </si>
  <si>
    <t>非常有效_x000D_
_x000D_
哥，求你了别骂我了，我就是一个阴暗的阿宅，现在还被困在这里享受社交媒体带来的负面情绪，我真的要破防了</t>
  </si>
  <si>
    <t xml:space="preserve">支持了材料3 </t>
  </si>
  <si>
    <t>是_x000D_
_x000D_
7_x000D_
_x000D_
红温了</t>
  </si>
  <si>
    <t>支持了材料123</t>
  </si>
  <si>
    <t>是_x000D_
_x000D_
8_x000D_
_x000D_
我现在逐渐感受到了社交媒体带给我的强烈的负面情绪，并且还附带精神上的侮辱，我感觉我不是一个正常的大学生而是一只阴暗的爬虫（阴暗地爬行~）</t>
  </si>
  <si>
    <t>不能支持_x000D_
_x000D_
我在网上净喜欢和别人对线</t>
  </si>
  <si>
    <t>基本无效_x000D_
_x000D_
你说的都对</t>
  </si>
  <si>
    <t>反驳了1234</t>
  </si>
  <si>
    <t>是_x000D_
_x000D_
9_x000D_
_x000D_
当我在答题间隙看到了朋友圈其他人享受着夕阳的余晖，或站在天桥之上欣赏车辆川流不息和城市傍晚的灯光；或驰骋在操场之上享受着运动带来的健康与快乐；或躺在宿舍的床上与舍友闲谈游戏，而我只能在这里坐牢。我更加深切地感受到了社交媒体带给我的负面情绪。至少在这个晚上，我仿佛与其他同学隔了一层厚障壁</t>
  </si>
  <si>
    <t>是_x000D_
_x000D_
9_x000D_
_x000D_
情绪是循序渐进的；傍晚的时间是被耽误的；饭是没有吃完的，这不仅仅是社交媒体带给我的负面情绪，更是现实给我的无限压力</t>
  </si>
  <si>
    <t>否_x000D_
_x000D_
我已经红温了</t>
  </si>
  <si>
    <t>要结束啦！！！！！！！！！！！</t>
  </si>
  <si>
    <t>不能支持_x000D_
_x000D_
要结束啦！！！！！！！！！！！</t>
  </si>
  <si>
    <t>基本无效_x000D_
_x000D_
要结束啦！！！！！！！！！！！</t>
  </si>
  <si>
    <t>否_x000D_
_x000D_
要结束啦！！！！！！！！！！！</t>
  </si>
  <si>
    <t>否_x000D_
_x000D_
社交媒体确实对青少年的心里健康有负面影响，观点和理由正确</t>
  </si>
  <si>
    <t>观点：青少年可能是因为感觉到焦虑才长时间呆在社交媒体上，而不是因为使用社交媒体才导致了焦虑等的心理健康问题。
理由：。如果一个人在现实中和家人和朋友关系很好，他的心理问题能及时排解，又怎么会花4个小时在社交媒体上？</t>
  </si>
  <si>
    <t>不能支持_x000D_
_x000D_
存在逻辑漏洞，花4个小时在社交媒体上并不一定说明有心理问题</t>
  </si>
  <si>
    <t>否_x000D_
_x000D_
此观点不合理</t>
  </si>
  <si>
    <t>不能支持_x000D_
_x000D_
理由以偏概全，社交媒体上既存在比较文化，也存在着正能量</t>
  </si>
  <si>
    <t>一般_x000D_
_x000D_
观点不合理</t>
  </si>
  <si>
    <t>否_x000D_
_x000D_
观点支持了我的立场</t>
  </si>
  <si>
    <t>反驳了材料三，指出了材料中长时间使用社交媒体必然会导致青少年焦虑的观点</t>
  </si>
  <si>
    <t>否_x000D_
_x000D_
观点不合理，不能改变我的立场</t>
  </si>
  <si>
    <t>不能支持_x000D_
_x000D_
理由不能充分有效的支持观点，只采访了5名博主，人数太少无法说明观点</t>
  </si>
  <si>
    <t>基本无效_x000D_
_x000D_
观点与主题无关，没有回答社交媒体是否对青少年的心理健康产生了负面影响</t>
  </si>
  <si>
    <t>否_x000D_
_x000D_
此材料无效</t>
  </si>
  <si>
    <t>反驳了材料5，指出了5名青少年的观点不能代表所有青少年</t>
  </si>
  <si>
    <t>否_x000D_
_x000D_
观点不合理</t>
  </si>
  <si>
    <t>不能支持_x000D_
_x000D_
推理错误，使用社交媒体不意味着成瘾</t>
  </si>
  <si>
    <t>非常有效_x000D_
_x000D_
观点合理，与主题紧密相关</t>
  </si>
  <si>
    <t>一般_x000D_
_x000D_
调查样本不够大而且可能抽样存在一定误差。而且无法证明社交媒体的普及和存在心理问题的青少年比例也逐年增高之间存在因果关系。</t>
  </si>
  <si>
    <t>否_x000D_
_x000D_
材料1认为社交媒体对青少年的心理健康有负面影响，和我的立场不符，但理由无法很好的支撑其观点，因此不能动摇我的立场。</t>
  </si>
  <si>
    <t>一般_x000D_
_x000D_
理由一定程度上支持了观点，但有一些主观臆断，而且和观点的联系不够紧密。</t>
  </si>
  <si>
    <t>非常有效_x000D_
_x000D_
观点和主题关系紧密，且措辞严谨，提供了合理的可能思路。</t>
  </si>
  <si>
    <t>抓住材料1中不能证明因果关系的漏洞，反驳了材料1。</t>
  </si>
  <si>
    <t>否_x000D_
_x000D_
材料2立场与我一致</t>
  </si>
  <si>
    <t>一般_x000D_
_x000D_
理由合理且能够支持该观点，但缺少实例</t>
  </si>
  <si>
    <t>一般_x000D_
_x000D_
该观点和主题关系紧密，但该观点过于绝对，“必然”一词或许带有主观判断。</t>
  </si>
  <si>
    <t>支持了材料1，和材料2对立但并没有针对性的反驳</t>
  </si>
  <si>
    <t>否_x000D_
_x000D_
该材料认为长时间使用社交媒体会导致青少年焦虑，我并不排斥这一观点，但认为材料中讲的过于绝对和严重，所以只酌情参考。因此起虽然和我的立场不同但我认为也可以一定程度上支持我的立场。</t>
  </si>
  <si>
    <t>支持了材料2，针对性的反驳了材料3</t>
  </si>
  <si>
    <t>否_x000D_
_x000D_
我认可材料4的论据，但不认可其观点，仅参考其理由部分，我的立场不变。</t>
  </si>
  <si>
    <t>一般_x000D_
_x000D_
理由部分给出的样本太少，有可能会以偏概全。</t>
  </si>
  <si>
    <t>一般_x000D_
_x000D_
观点和主题不够相关。社交媒体对青少年的心理健康是否有积极影响不影响对社交媒体对青少年的心理健康是否产生了负面影响。</t>
  </si>
  <si>
    <t>进一步深入了材料2，和材料2,4立场统一。</t>
  </si>
  <si>
    <t>否_x000D_
_x000D_
我的立场中本来就包含有社交媒体对青少年的心理健康存在积极影响这一点，</t>
  </si>
  <si>
    <t>观点：社交媒体对青少年的心理健康存在积极影响是一种假象
理由：社交媒体确实为表达自我与艺术创作提供了自由的环境，但接受采访的5名青少年肯定其中比较出众的，他们观点不能代表所有青少年，尤其是那些在社交媒体上遭遇负面经历（比如网络欺凌）的青少年。</t>
  </si>
  <si>
    <t>抓住材料5的漏洞，针对性的反驳了材料5</t>
  </si>
  <si>
    <t>否_x000D_
_x000D_
材料5和6展示了社交媒体影响的两面性，而这与我的立场不矛盾。且材料6并不能体现负面影响的程度，因此不改变我的立场。</t>
  </si>
  <si>
    <t>在材料1的基础上提出了相反的观点，和材料2呼应。</t>
  </si>
  <si>
    <t>否_x000D_
_x000D_
该材料很有效，但“心理健康的负面影响”不仅仅包含“心理问题”，所以我不改变立场。</t>
  </si>
  <si>
    <t>不能支持_x000D_
_x000D_
1.理由和观点联系不紧密。2.理由的主题是“很多人”，观点的主体是“青少年”</t>
  </si>
  <si>
    <t>一般_x000D_
_x000D_
观点和主题有关，但讨论责任有些偏题。而且带有偏见，主观意愿强。</t>
  </si>
  <si>
    <t>反驳材料4和材料7</t>
  </si>
  <si>
    <t>否_x000D_
_x000D_
该材料主观色彩过强，不予参考。</t>
  </si>
  <si>
    <t>一般_x000D_
_x000D_
“每天使用社交媒体超过4小时的青少年的焦虑水平比其它青少年更高。”可能更能支持使用时长与负面影响有关系而不是有没有负面影响的关系</t>
  </si>
  <si>
    <t>否_x000D_
_x000D_
并未冲击我的观点，而且他的论据并不非常充分</t>
  </si>
  <si>
    <t>观点：青少年可能是因为感觉到焦虑才长时间呆在社交媒体上而不是因为使用社交媒体才导致了焦虑等的心理健康问题
理由：如果一个人在现实中和家人和朋友关系很好，他的心理问题能及时排解，又怎么会花4个小时在社交媒体上？</t>
  </si>
  <si>
    <t>不能支持_x000D_
_x000D_
根本没有例子，纯粹臆想。有逻辑漏洞：花4个小时在社交媒体上的原因也不一定是他有心理问题需要逃避</t>
  </si>
  <si>
    <t>基本无效_x000D_
_x000D_
完全绕开了使用社交媒体会导致焦虑等的心理健康问题这个主题</t>
  </si>
  <si>
    <t>否_x000D_
_x000D_
完全绕开了使用社交媒体会导致焦虑等的心理健康问题这个主题。理由不能支持观点。</t>
  </si>
  <si>
    <t>一般_x000D_
_x000D_
青少年也是有自己的判断力的</t>
  </si>
  <si>
    <t>一般_x000D_
_x000D_
“必然”说明存在偏见</t>
  </si>
  <si>
    <t>否_x000D_
_x000D_
观点二极管，理由不够充分</t>
  </si>
  <si>
    <t>否_x000D_
_x000D_
理由只谈了比较文化和使用时间问题，社交媒体对青少年造成的影响不止于此</t>
  </si>
  <si>
    <t>一般_x000D_
_x000D_
5个人对于一个论据来说还是太少了，说服力不足</t>
  </si>
  <si>
    <t>否_x000D_
_x000D_
存在积极影响不等于不会产生负面影响，而且5个人对于一个论据来说还是太少了，说服力不足</t>
  </si>
  <si>
    <t>观点：接受采访的5名青少年，他们观点不能代表所有青少年
理由：接受采访的5名青少年肯定其中比较出众的，他们愿意分享自己的积极体验，但这是一种假象。他们观点不能代表所有青少年，尤其是那些在社交媒体上遭遇负面经历（比如网络欺凌）的青少年。</t>
  </si>
  <si>
    <t>否_x000D_
_x000D_
与我的想法一样</t>
  </si>
  <si>
    <t>观点：社交媒体并不是导致青少年心理问题的真正原因，而只是“背锅”的对象。
理由：但如果把他们的人际关系也考虑在内就会发现，这些青少年对自己的家庭关系和朋友关系质量的评价都比较低。</t>
  </si>
  <si>
    <t>否_x000D_
_x000D_
偏见，社交媒体不只是背锅的对象。而且有其他原因也不能说明社交媒体没有对青少年心理健康造成损害</t>
  </si>
  <si>
    <t>是_x000D_
_x000D_
3_x000D_
_x000D_
成瘾确实是心理问题</t>
  </si>
  <si>
    <t>有负面影响
有研究调查发现那些每天使用社交媒体超过4小时的青少年的焦虑水平比其它青少年更高。而且近10年的数据也显示，随着社交媒体的普及，存在心理问题的青少年比例也逐年增高。</t>
  </si>
  <si>
    <t>充分支持_x000D_
_x000D_
事例真实可信</t>
  </si>
  <si>
    <t>否_x000D_
_x000D_
材料理由较充分</t>
  </si>
  <si>
    <t>青少年心理问题不是由社交媒体导致
青少年可能是因为感觉到焦虑才长时间呆在社交媒体上，如果一个人在现实中和家人和朋友关系很好，他的心理问题能及时排解，又怎么会花4个小时在社交媒体上？</t>
  </si>
  <si>
    <t>基本无效_x000D_
_x000D_
理由不合理，以偏概全</t>
  </si>
  <si>
    <t>提出了⼀个新的观点：青少年心理问题不是由社交媒体导致</t>
  </si>
  <si>
    <t>否_x000D_
_x000D_
理由不合理，以偏概全</t>
  </si>
  <si>
    <t>一般_x000D_
_x000D_
理由不够充分且太绝对，焦虑不一定由比较引起</t>
  </si>
  <si>
    <t>一般_x000D_
_x000D_
理由不够充分且太绝对</t>
  </si>
  <si>
    <t>支持一，反对二</t>
  </si>
  <si>
    <t>否_x000D_
_x000D_
理由不够充分且太绝对</t>
  </si>
  <si>
    <t>观点：大多数青少年对社交媒体的使用是适度的，使用社交媒体对心理健康不会产生负面影响。
理由：比较文化随处都有，不只是社交媒体上才有。此外，大多数青少年对社交媒体的使用是适度的，那些每天使用超过4小时的人的心理健康可能本身存在一些问题</t>
  </si>
  <si>
    <t>反对一三，支持二</t>
  </si>
  <si>
    <t>否_x000D_
_x000D_
无效理由</t>
  </si>
  <si>
    <t>基本无效_x000D_
_x000D_
以偏概全</t>
  </si>
  <si>
    <t>提出了⼀个新的观点：社交媒体对青少年的心理健康存在积极影响</t>
  </si>
  <si>
    <t>社交媒体对青少年的心理健康存在积极影响是一种假象
少数不能代表全部，他们观点不能代表所有青少年，尤其是那些在社交媒体上遭遇负面经历（比如网络欺凌）的青少年。</t>
  </si>
  <si>
    <t>反对五</t>
  </si>
  <si>
    <t>否_x000D_
_x000D_
材料理由比较支持我的观点</t>
  </si>
  <si>
    <t>社交媒体并不是导致青少年心理问题的真正原因
调查发现，每天使用社交媒体超过4小时的青少年具有更高的焦虑水平，但如果把他们的人际关系也考虑在内就会发现，这些青少年对自己的家庭关系和朋友关系质量的评价都比较低。</t>
  </si>
  <si>
    <t>提出了⼀个新的观点：社交媒体并不是导致青少年心理问题的真正原因</t>
  </si>
  <si>
    <t>否_x000D_
_x000D_
理由基本无效</t>
  </si>
  <si>
    <t>社交媒体对青少年的心理健康有不良影响
社交媒体上的很多内容像“电子鸦片”一样，具有极强的吸引力和成瘾性。而且现在很多人都在使用社交媒体，所以这已经是一种集体成瘾了。</t>
  </si>
  <si>
    <t>一般_x000D_
_x000D_
许多人用不代表成瘾，需举出具体事实</t>
  </si>
  <si>
    <t>反对二四，支持一三</t>
  </si>
  <si>
    <t>否_x000D_
_x000D_
成瘾确实是一种问题</t>
  </si>
  <si>
    <t>社交媒体对青少年的心理健康有负面影响
究调查了1000多名青少年，发现那些每天使用社交媒体超过4小时的青少年的焦虑水平比其它青少年更高。而且近10年的数据也显示，随着社交媒体的普及，存在心理问题的青少年比例也逐年增高</t>
  </si>
  <si>
    <t>一般_x000D_
_x000D_
研究的结果一定程度说明问题，但“而且近10年的数据也显示，随着社交媒体的普及，存在心理问题的青少年比例也逐年增高”这一观点并不一定可靠，因为不止社交媒体的普及会对青少年心理问题产生影响</t>
  </si>
  <si>
    <t>否_x000D_
_x000D_
社交媒体会对青少年心理问题产生影响。</t>
  </si>
  <si>
    <t>不能支持_x000D_
_x000D_
一个在现实中和家人和朋友关系很好的人也可以花费4个小时在社交媒体上，社交媒体的使用又不是专门拿来排解心理问题的。</t>
  </si>
  <si>
    <t>一般_x000D_
_x000D_
观点存在偏差，不够合理</t>
  </si>
  <si>
    <t>反对材料一的观点</t>
  </si>
  <si>
    <t>否_x000D_
_x000D_
该材料的理由不够充分</t>
  </si>
  <si>
    <t>充分支持_x000D_
_x000D_
大量攀比的存在会大概率会造成此番影响但也不能以偏概全</t>
  </si>
  <si>
    <t>非常有效_x000D_
_x000D_
观点与主题紧密联系</t>
  </si>
  <si>
    <t>提出具体影响青少年心理健康的一个原因。</t>
  </si>
  <si>
    <t>对大多数青少年而言，使用社交媒体对心理健康不会产生负面影响
比较文化随处都有，不只是社交媒体上才有。此外，大多数青少年对社交媒体的使用是适度的，那些每天使用超过4小时的人的心理健康可能本身存在一些问题</t>
  </si>
  <si>
    <t>反驳材料一和三。</t>
  </si>
  <si>
    <t>否_x000D_
_x000D_
不能说明问题</t>
  </si>
  <si>
    <t>一般_x000D_
_x000D_
这些青少年博主的正面例子只是少数，调查不够全面，普遍。</t>
  </si>
  <si>
    <t>基本无效_x000D_
_x000D_
调查存在幸存者偏差，并且积极影响的存在不代表没有负面作用</t>
  </si>
  <si>
    <t>认为存在积极影响来反驳前面的观点</t>
  </si>
  <si>
    <t>否_x000D_
_x000D_
积极作用的存在不代表没有负面作用</t>
  </si>
  <si>
    <t>青少年博主的观点不能代表所有青少年，尤其是那些在社交媒体上遭遇负面经历（比如网络欺凌）的青少年
社交媒体确实为表达自我与艺术创作提供了自由的环境，但接受采访的5名青少年肯定其中比较出众的，他们愿意分享自己的积极体验，但这是一种假象</t>
  </si>
  <si>
    <t>否_x000D_
_x000D_
推翻材料五的观点</t>
  </si>
  <si>
    <t>社交媒体对青少年的心理健康没有不良影响是不负责任的
社交媒体上的很多内容像“电子鸦片”一样，具有极强的吸引力和成瘾性。如果成瘾都不算心理问题，那什么才算？而且现在很多人都在使用社交媒体，所以这已经是一种集体成瘾了</t>
  </si>
  <si>
    <t>一般_x000D_
_x000D_
有点偷换概览</t>
  </si>
  <si>
    <t>在其他支持有负面影响的观点基础上认为成瘾也是负面影响之一</t>
  </si>
  <si>
    <t>观点是“社交媒体对青少年的心理健康有负面影响”。理由是“存在心理问题的青少年比例也逐年增高，常使用社交媒体的青少年的焦虑水平比其它青少年更高”。</t>
  </si>
  <si>
    <t>充分支持_x000D_
_x000D_
具有足够的数据对比。</t>
  </si>
  <si>
    <t>是_x000D_
_x000D_
8_x000D_
_x000D_
该材料具体表现了社交媒体对青少年的负面影响。</t>
  </si>
  <si>
    <t>观点是“青少年可能是因为感觉到焦虑才长时间呆在社交媒体上”。理由是心理问题能及时排解就不会花大量时间在社交媒体上。</t>
  </si>
  <si>
    <t>不能支持_x000D_
_x000D_
逻辑错误，因果倒置。</t>
  </si>
  <si>
    <t>基本无效_x000D_
_x000D_
存在明显的逻辑错误。</t>
  </si>
  <si>
    <t>否_x000D_
_x000D_
该观点缺乏说服力。</t>
  </si>
  <si>
    <t>观点是“长时间使用社交媒体必然会导致青少年焦虑”。理由是“社交媒体上普遍存在“比较文化”，“完美生活”的展示会让青少年对自己的生活感到不满”。</t>
  </si>
  <si>
    <t>充分支持_x000D_
_x000D_
提出“比较文化”这一典型实例进行论述。</t>
  </si>
  <si>
    <t>一般_x000D_
_x000D_
观点过于绝对，影响不是必然，同时也取决于青少年自身。</t>
  </si>
  <si>
    <t>为材料1提供⽀持和解释，具体说明一些引起焦虑的原因。</t>
  </si>
  <si>
    <t>是_x000D_
_x000D_
7_x000D_
_x000D_
负面影响的产生并不是只在于社交媒体单方面。</t>
  </si>
  <si>
    <t>观点是“使用社交媒体对心理健康不会产生负面影响”。理由是“比较文化随处都有，比较文化随处都有”。</t>
  </si>
  <si>
    <t>该材料反驳了材料1和材料4.</t>
  </si>
  <si>
    <t>否_x000D_
_x000D_
观点有效性不强。</t>
  </si>
  <si>
    <t>观点是“社交媒体对青少年的心理健康存在积极影响”。理由是“青少年可以在这里找到支持和理解自己的人”。</t>
  </si>
  <si>
    <t>充分支持_x000D_
_x000D_
运用举例论证，论述有力。</t>
  </si>
  <si>
    <t>非常有效_x000D_
_x000D_
社交媒体的积极影响确实存在。</t>
  </si>
  <si>
    <t>否_x000D_
_x000D_
积极影响和负面影响同时存在，不能因为其一而否定另一个的存在。</t>
  </si>
  <si>
    <t>观点是“5名青少年观点不能代表所有青少年”。理由是“接受采访的5名青少年肯定其中比较出众的，他们愿意分享自己的积极体验，这是一种假象”</t>
  </si>
  <si>
    <t>反驳了材料5，指出其被采访者的局限性。</t>
  </si>
  <si>
    <t>否_x000D_
_x000D_
该材料并未表现出负面影响。</t>
  </si>
  <si>
    <t>观点是“社交媒体并不是导致青少年心理问题的真正原因”。理由是“这些青少年对自己的家庭关系和朋友关系质量的评价都比较低”。</t>
  </si>
  <si>
    <t>否_x000D_
_x000D_
该材料无法否定负面影响。</t>
  </si>
  <si>
    <t>观点是“社交媒体对青少年的心理健康没有不良影响是不负责任的”。理由是“社交媒体上的很多内容像“电子鸦片”一样，具有极强的吸引力和成瘾性”。</t>
  </si>
  <si>
    <t>一般_x000D_
_x000D_
成瘾也在于青少年自控力不足。</t>
  </si>
  <si>
    <t>非常有效_x000D_
_x000D_
指出了社交媒体成瘾问题。</t>
  </si>
  <si>
    <t>反驳了材料2 4 7.</t>
  </si>
  <si>
    <t>否_x000D_
_x000D_
成瘾问题确实存在，但青少年自控力不足也是一个原因。</t>
  </si>
  <si>
    <t>认为有影响，焦虑水平更高</t>
  </si>
  <si>
    <t>一般_x000D_
_x000D_
存在疏忽其他变量的可能性</t>
  </si>
  <si>
    <t>否_x000D_
_x000D_
对我影响不大</t>
  </si>
  <si>
    <t>认为没影响，青少年因焦虑而呆在社交媒体</t>
  </si>
  <si>
    <t>一般_x000D_
_x000D_
“可能”“如果”即代表这是不确定因素，所以有效性欠佳。</t>
  </si>
  <si>
    <t>否_x000D_
_x000D_
有效性欠佳，因此重视程度不高</t>
  </si>
  <si>
    <t>认为有影响，社交媒体上的比较文化使得青少年对自己的生活感到不满，降低幸福感和自尊心，导致社交退缩、自我怀疑，最终引发心理健康危机。</t>
  </si>
  <si>
    <t>充分支持_x000D_
_x000D_
充分有效，不存在漏洞</t>
  </si>
  <si>
    <t>非常有效_x000D_
_x000D_
与主题相关，合理</t>
  </si>
  <si>
    <t>否_x000D_
_x000D_
本就在考量之中</t>
  </si>
  <si>
    <t>认为没影响，认为那些青少年本身就存在问题</t>
  </si>
  <si>
    <t>否_x000D_
_x000D_
材料有效性很低，没有提供相应的证据。</t>
  </si>
  <si>
    <t>认为有正面影响，被理解更自信</t>
  </si>
  <si>
    <t>否_x000D_
_x000D_
正面影响相较负面影响的影响度想的稍微低了点</t>
  </si>
  <si>
    <t>认为有负面影响，获得正面影响的终究是少数，更多的是负面影响</t>
  </si>
  <si>
    <t>否_x000D_
_x000D_
与上个材料的理由相同</t>
  </si>
  <si>
    <t>认为没有负面影响，社交媒体只是背锅对象</t>
  </si>
  <si>
    <t>否_x000D_
_x000D_
所提供的例子不足以作为总体的代表</t>
  </si>
  <si>
    <t>认为有负面影响，成瘾</t>
  </si>
  <si>
    <t>否_x000D_
_x000D_
与我的想法相同</t>
  </si>
  <si>
    <t xml:space="preserve">社交媒体对青少年的心理健康有负面影响。
理由近10年的数据也显示，随着社交媒体的普及，存在心理问题的青少年比例也逐年增高
</t>
  </si>
  <si>
    <t>充分支持_x000D_
_x000D_
有数据，有合理理由</t>
  </si>
  <si>
    <t>否_x000D_
_x000D_
该材料认为社交媒体对青少年的心理健康有负面影响，支持我的观点</t>
  </si>
  <si>
    <t>一般_x000D_
_x000D_
支持观点，但不够合理</t>
  </si>
  <si>
    <t>一般_x000D_
_x000D_
与主题紧密相关，合理</t>
  </si>
  <si>
    <t>否_x000D_
_x000D_
无论是什么原因让青少年花4小时在手机上，都会可能增加孩子的心理健康问题</t>
  </si>
  <si>
    <t>长时间使用社交媒体必然会导致青少年焦虑
理由：交媒体上普遍存在“比较文化”，加上铺天盖地的“完美生活”的展示，会让青少年对自己的生活感到不满，降低幸福感和自尊心，导致社交退缩、自我怀疑，最终引发心理健康危机。</t>
  </si>
  <si>
    <t>充分支持_x000D_
_x000D_
理由有效且合理</t>
  </si>
  <si>
    <t>否_x000D_
_x000D_
该材料支持我的观点</t>
  </si>
  <si>
    <t>比较文化随处都有，不只是社交媒体上才有。大多数青少年对社交媒体的使用是适度的
理由：那些每天使用超过4小时的人的心理健康可能本身存在一些问题。所以，对大多数青少年而言，使用社交媒体对心理健康不会产生负面影响。</t>
  </si>
  <si>
    <t>否_x000D_
_x000D_
我认为使用社交媒体多少都会带来负面影响，可能不是显在而是内在</t>
  </si>
  <si>
    <t>社交媒体对青少年的心理健康存在积极影响
理由：青少年可以在这里找到支持和理解自己的人</t>
  </si>
  <si>
    <t>充分支持_x000D_
_x000D_
理由有效但采访人数不够多，还有许多因为社交媒体上档受骗的人没有被采访</t>
  </si>
  <si>
    <t>一般_x000D_
_x000D_
观点和主题紧密相关，合理但不够有效</t>
  </si>
  <si>
    <t>青少年可以在这里找到支持和理解自己的人</t>
  </si>
  <si>
    <t>否_x000D_
_x000D_
因为该材料不具有足够的说服力</t>
  </si>
  <si>
    <t>社交媒体确实为表达自我与艺术创作提供了自由的环境，但接受采访的5名青少年肯定其中比较出众的，他们愿意分享自己的积极体验，但这是一种假象
理由他们观点不能代表所有青少年，尤其是那些在社交媒体上遭遇负面经历（比如网络欺凌）的青少年。</t>
  </si>
  <si>
    <t>否_x000D_
_x000D_
我认为观点是合理且支持我目前的观点</t>
  </si>
  <si>
    <t>社交媒体并不是导致青少年心理问题的真正原因，而只是“背锅”的对象。
理由调查发现，每天使用社交媒体超过4小时的青少年具有更高的焦虑水平，但如果把他们的人际关系也考虑在内就会发现，这些青少年对自己的家庭关系和朋友关系质量的评价都比较低。</t>
  </si>
  <si>
    <t>支持材料4</t>
  </si>
  <si>
    <t>否_x000D_
_x000D_
有这样的可能性，但不排除社交媒体带来的心理健康问题</t>
  </si>
  <si>
    <t xml:space="preserve">社交媒体会给青少年带来心理健康问题
理由：社交媒体上的很多内容像“电子鸦片”一样，具有极强的吸引力和成瘾性
</t>
  </si>
  <si>
    <t>不能支持_x000D_
_x000D_
没有数据，只是针对另一个立场的人进行反对，不够全面</t>
  </si>
  <si>
    <t>基本无效_x000D_
_x000D_
与主题无关</t>
  </si>
  <si>
    <t>反对材料6</t>
  </si>
  <si>
    <t>M4立场</t>
  </si>
  <si>
    <t>M8评价理由</t>
  </si>
  <si>
    <t>反驳了材料一，佐证了材料二</t>
  </si>
  <si>
    <t>1.观点：社交媒体对青少年心理健康产生了负面影响。2.理由：每天使用社交媒体超过4小时的青少年具有更高的焦虑水平，但如果把他们的人际关系也考虑在内就会发现，这些青少年对自己的家庭关系和朋友关系质量的评价都比较低。</t>
  </si>
  <si>
    <t>在材料二和四的基础上提了新的观点</t>
  </si>
  <si>
    <t>观点：社交媒体不是导致青少年心理问题的真正原因
理由：每天使用社交媒体超过4小时的青少年的人际关系存在问题</t>
  </si>
  <si>
    <t>提出新的观点，认为心理健康与人际关系也有关，并且认为对人际关系的评价低导致了心理健康问题</t>
  </si>
  <si>
    <t>反驳了材料1，指出其因果可能倒置的问题，为材料2提供支持和解释。</t>
  </si>
  <si>
    <t>观点：认为社交媒体对青少年的心理健康没有不良影响是不负责任的
理由：社交媒体上的很多内容像“电子鸦片”一样，具有极强的吸引力和成瘾性。</t>
  </si>
  <si>
    <t>一般_x000D_
_x000D_
偷换概念将“心理问题”等同于“成瘾”，且“很多内容”“很多人”的论证说服力不够强。</t>
  </si>
  <si>
    <t>非常有效_x000D_
_x000D_
观点表述严谨且合理</t>
  </si>
  <si>
    <t>充分支持_x000D_
_x000D_
理由论述十分有力</t>
  </si>
  <si>
    <t>一般_x000D_
_x000D_
与主题紧密相关，观点合理但存在一定偏见</t>
  </si>
  <si>
    <t>否_x000D_
_x000D_
没有任何影响</t>
  </si>
  <si>
    <t>一般_x000D_
_x000D_
不是使用就是成瘾</t>
  </si>
  <si>
    <t>基本无效_x000D_
_x000D_
相关但是基本无用</t>
  </si>
  <si>
    <t>观点:因此，社交媒体并不是导致青少年心理问题的真正原因，而只是“背锅”的对象。
理由：虽然调查发现，每天使用社交媒体超过4小时的青少年具有更高的焦虑水平，但如果把他们的人际关系也考虑在内就会发现，这些青少年对自己的家庭关系和朋友关系质量的评价都比较低。</t>
  </si>
  <si>
    <t>反驳了材料1，认为使用社交媒体时间长是因为人际关系出现问题。</t>
  </si>
  <si>
    <t>1.观点：社交媒体对青少年的心理健康产生了负面影响。2.理由：社交媒体上的很多内容像“电子鸦片”一样，具有极强的吸引力和成瘾性。如果成瘾都不算心理问题，那什么才算？</t>
  </si>
  <si>
    <t>充分支持_x000D_
_x000D_
充分支持了观点</t>
  </si>
  <si>
    <t>非常有效_x000D_
_x000D_
1.观点与主题紧密相关2.理由合理</t>
  </si>
  <si>
    <t>充分支持_x000D_
_x000D_
类比鸦片，用成瘾支撑社交媒体对青少年的心理健康产生了负面影响。</t>
  </si>
  <si>
    <t>非常有效_x000D_
_x000D_
和主题紧密相关，合理，无偏见。</t>
  </si>
  <si>
    <t>反驳了材料1，质疑社交媒体和心理负面影响的逻辑关系。</t>
  </si>
  <si>
    <t>观点：社交媒体并不是导致青少年心理问题的真正原因，而只是“背锅”的对象。 理由：虽然调查发现，每天使用社交媒体超过4小时的青少年具有更高的焦虑水平，但如果把他们的人际关系也考虑在内就会发现，这些青少年对自己的家庭关系和朋友关系质量的评价都比较低</t>
  </si>
  <si>
    <t>材料反驳了材料1，一定程度上支持了材料2，</t>
  </si>
  <si>
    <t>观点：认为社交媒体对青少年的心理健康没有不良影响是不负责任的
理由：社交媒体上很多内容具有很强的吸引力和成瘾性，且已经有“集体成瘾”现象</t>
  </si>
  <si>
    <t>一般_x000D_
_x000D_
1、“很多人都在使用社交媒体”到底是谁在使用？是青少年和学生吗？还是更多是中年人和老年人？没有数据支持
2、有没有数据支持“成瘾”，且对“成瘾”如何定义？
3、但是从事实上讲的确存在明显的“集体成瘾”现象</t>
  </si>
  <si>
    <t>一般_x000D_
_x000D_
观点存在偏见，“成瘾”和“电子鸦片”已经为社交媒体的使用定性了，但是没有数据支持；
但是从另一方面讲，社交媒体又的确不可能完全对青少年心理健康没有不良影响</t>
  </si>
  <si>
    <t>观点：社交媒体对青少年的心理健康没有不良影响是不负责任的。
理由：①社交媒体上的很多内容像“电子鸦片”一样，具有极强的吸引力和成瘾性。
②现在很多人都在使用社交媒体，所以这已经是一种集体成瘾了。</t>
  </si>
  <si>
    <t>一般_x000D_
_x000D_
这段材料的理由部分支持观点，但是对于社会责任的角度考虑，对于成瘾的考虑而言他的论证情绪力太强。</t>
  </si>
  <si>
    <t>基本无效_x000D_
_x000D_
这段材料将使用和成瘾混淆，对于成瘾的理解和使用不清晰。</t>
  </si>
  <si>
    <t>否_x000D_
_x000D_
并没有直接证据说明社交媒体对青少年的心理健康有着负面的影响。</t>
  </si>
  <si>
    <t>观点：认为社交媒体对青少年的心理健康没有不良影响是不负责任的
理由：社交媒体上的很多内容像“电子鸦片”一样，具有极强的吸引力和成瘾性。现在很多人都在使用社交媒体，所以这已经是一种集体成瘾了</t>
  </si>
  <si>
    <t>一般_x000D_
_x000D_
适度使用社交媒体并不能算是成瘾</t>
  </si>
  <si>
    <t>一般_x000D_
_x000D_
观点基本合理，但进行了夸张，有效性不够。</t>
  </si>
  <si>
    <t xml:space="preserve">反驳了材料1和5，支持了材料2 </t>
  </si>
  <si>
    <t>观点：导致青少年心理问题的真正原因不是社交媒体，而是人际关系。
理由：虽然调查发现，每天使用社交媒体超过4小时的青少年具有更高的焦虑水平，但这些青少年对自己的家庭关系和朋友关系质量的评价都比较低。</t>
  </si>
  <si>
    <t>与材料二观点接近且更具说服力，反驳了材料一的观点</t>
  </si>
  <si>
    <t>一般_x000D_
_x000D_
关于成瘾性的问题的确存在，但用“成瘾”一种情况代替“心理问题”，以偏概全
关于“集体成瘾”也存在逻辑的问题</t>
  </si>
  <si>
    <t>基本无效_x000D_
_x000D_
观点的内涵是：社交媒体对青少年的心理健康产生了负面影响
但这里用对“认为社交媒体对青少年的心理健康没有不良影响”的指责代替观点的陈述，显得情感化而在逻辑上也有所缺失，观点不全面</t>
  </si>
  <si>
    <t>否
我是一个立场坚定斗志强的人，该观点不够强有力。</t>
  </si>
  <si>
    <t>为材料2,4提供⽀持和解释。
在已有材料的基础上提出了⼀个新的观点：社交媒体并不是导致青少年心理问题的真正原因，而只是“背锅”的对象。</t>
  </si>
  <si>
    <t>产生了负面影响，社交媒体对于青少年的成瘾行为应该负责</t>
  </si>
  <si>
    <t>一般_x000D_
_x000D_
成瘾行为是社交媒体和青少年二者之间的共同责任，有效证明了观点，但并不是很充分。</t>
  </si>
  <si>
    <t>一般_x000D_
_x000D_
社交媒体的确需要对成瘾行为负责，但青少年也需要去反思自己的行为，该观点存在一定的偏见，虽然与主题相关，但并不是十分贴切。</t>
  </si>
  <si>
    <t>观点：社交媒体并不是导致青少年心理问题的真正原因，而只是“背锅”的对象理由：虽然调查发现，每天使用社交媒体超过4小时的青少年具有更高的焦虑水平，但如果把他们的人际关系也考虑在内就会发现，这些青少年对自己的家庭关系和朋友关系质量的评价都比较低。</t>
  </si>
  <si>
    <t>不能支持
它的推理毫无道理，有吸引性人就会成瘾吗？都在使用就是集体成瘾吗？人们还每天都吃饭呢，难道我们都对饭集体成瘾了吗？</t>
  </si>
  <si>
    <t>不能支持_x000D_
_x000D_
首先，社交媒体上的很多内容的确具有极强吸引力和成瘾性，会对青少年健康产生影响，但不能支持观点：认为社交媒体对青少年的心理健康没有不良影响是不负责任的！。其次，“现在很多人都在使用社交媒体，所以这已经是一种集体成瘾了”的因果关系不成立。</t>
  </si>
  <si>
    <t>基本无效_x000D_
_x000D_
观点不合理，上升到人身攻击。</t>
  </si>
  <si>
    <t>1345</t>
  </si>
  <si>
    <t>202211061085</t>
  </si>
  <si>
    <t>1567</t>
  </si>
  <si>
    <t>202211998200</t>
  </si>
  <si>
    <t>653</t>
  </si>
  <si>
    <t>202211998122</t>
  </si>
  <si>
    <t>1458</t>
  </si>
  <si>
    <t>202211061016</t>
  </si>
  <si>
    <t>1185</t>
  </si>
  <si>
    <t>202211061050</t>
  </si>
  <si>
    <t>1252</t>
  </si>
  <si>
    <t>202211061010</t>
  </si>
  <si>
    <t>799</t>
  </si>
  <si>
    <t>202211061097</t>
  </si>
  <si>
    <t>1194</t>
  </si>
  <si>
    <t>202111061057</t>
  </si>
  <si>
    <t>1042</t>
  </si>
  <si>
    <t>202211061093</t>
  </si>
  <si>
    <t>798</t>
  </si>
  <si>
    <t>202211061082</t>
  </si>
  <si>
    <t>654</t>
  </si>
  <si>
    <t>202311061017</t>
  </si>
  <si>
    <t>1118</t>
  </si>
  <si>
    <t>202311061040</t>
  </si>
  <si>
    <t>763</t>
  </si>
  <si>
    <t>202311061010</t>
  </si>
  <si>
    <t>581</t>
  </si>
  <si>
    <t>202211061078</t>
  </si>
  <si>
    <t>782</t>
  </si>
  <si>
    <t>202211061064</t>
  </si>
  <si>
    <t>894</t>
  </si>
  <si>
    <t>202311998302</t>
  </si>
  <si>
    <t>526</t>
  </si>
  <si>
    <t>202211061100</t>
  </si>
  <si>
    <t>760</t>
  </si>
  <si>
    <t>202311061064</t>
  </si>
  <si>
    <t>843</t>
  </si>
  <si>
    <t>202311998180</t>
  </si>
  <si>
    <t>572</t>
  </si>
  <si>
    <t>202211998310</t>
  </si>
  <si>
    <t>606</t>
  </si>
  <si>
    <t>202311998041</t>
  </si>
  <si>
    <t>535</t>
  </si>
  <si>
    <t>202211999003</t>
  </si>
  <si>
    <t>593</t>
  </si>
  <si>
    <t>202311061026</t>
  </si>
  <si>
    <t>989</t>
  </si>
  <si>
    <t>202211061008</t>
  </si>
  <si>
    <t>748</t>
  </si>
  <si>
    <t>202311061077</t>
  </si>
  <si>
    <t>693</t>
  </si>
  <si>
    <t>202211998035</t>
  </si>
  <si>
    <t>306</t>
  </si>
  <si>
    <t>202311061019</t>
  </si>
  <si>
    <t>836</t>
  </si>
  <si>
    <t>202311061089</t>
  </si>
  <si>
    <t>461</t>
  </si>
  <si>
    <t>202311061083</t>
  </si>
  <si>
    <t>701</t>
  </si>
  <si>
    <t>202311998034</t>
  </si>
  <si>
    <t>858</t>
  </si>
  <si>
    <t>202211061019</t>
  </si>
  <si>
    <t>640</t>
  </si>
  <si>
    <t>202211061066</t>
  </si>
  <si>
    <t>202311998377</t>
  </si>
  <si>
    <t>920</t>
  </si>
  <si>
    <t>202211061089</t>
  </si>
  <si>
    <t>724</t>
  </si>
  <si>
    <t>202211061062</t>
  </si>
  <si>
    <t>576</t>
  </si>
  <si>
    <t>202311998036</t>
  </si>
  <si>
    <t>373</t>
  </si>
  <si>
    <t>202211061065</t>
  </si>
  <si>
    <t>507</t>
  </si>
  <si>
    <t>202311061031</t>
  </si>
  <si>
    <t>893</t>
  </si>
  <si>
    <t>202311998177</t>
  </si>
  <si>
    <t>827</t>
  </si>
  <si>
    <t>202211061004</t>
  </si>
  <si>
    <t>348</t>
  </si>
  <si>
    <t>202211061069</t>
  </si>
  <si>
    <t>512</t>
  </si>
  <si>
    <t>202311061082</t>
  </si>
  <si>
    <t>503</t>
  </si>
  <si>
    <t>202211180003</t>
  </si>
  <si>
    <t>424</t>
  </si>
  <si>
    <t>202311061009</t>
  </si>
  <si>
    <t>411</t>
  </si>
  <si>
    <t>202311998374</t>
  </si>
  <si>
    <t>659</t>
  </si>
  <si>
    <t>202211061080</t>
  </si>
  <si>
    <t>601</t>
  </si>
  <si>
    <t>202311061090</t>
  </si>
  <si>
    <t>680</t>
  </si>
  <si>
    <t>202311998336</t>
  </si>
  <si>
    <t>402</t>
  </si>
  <si>
    <t>202311061055</t>
  </si>
  <si>
    <t>374</t>
  </si>
  <si>
    <t>202319061007</t>
  </si>
  <si>
    <t>636</t>
  </si>
  <si>
    <t>202211998332</t>
  </si>
  <si>
    <t>202311998185</t>
  </si>
  <si>
    <t>202211061029</t>
  </si>
  <si>
    <t>587</t>
  </si>
  <si>
    <t>202211061030</t>
  </si>
  <si>
    <t>527</t>
  </si>
  <si>
    <t>202211061090</t>
  </si>
  <si>
    <t>410</t>
  </si>
  <si>
    <t>202211998010</t>
  </si>
  <si>
    <t>286</t>
  </si>
  <si>
    <t>202211061063</t>
  </si>
  <si>
    <t>397</t>
  </si>
  <si>
    <t>202311031002</t>
  </si>
  <si>
    <t>320</t>
  </si>
  <si>
    <t>202311061041</t>
  </si>
  <si>
    <t>394</t>
  </si>
  <si>
    <t>202211998120</t>
  </si>
  <si>
    <t>775</t>
  </si>
  <si>
    <t>202311061074</t>
  </si>
  <si>
    <t>431</t>
  </si>
  <si>
    <t>202311061006</t>
  </si>
  <si>
    <t>671</t>
  </si>
  <si>
    <t>202211061071</t>
  </si>
  <si>
    <t>643</t>
  </si>
  <si>
    <t>202311061030</t>
  </si>
  <si>
    <t>910</t>
  </si>
  <si>
    <t>202211061022</t>
  </si>
  <si>
    <t>622</t>
  </si>
  <si>
    <t>202311061043</t>
  </si>
  <si>
    <t>718</t>
  </si>
  <si>
    <t>202311061001</t>
  </si>
  <si>
    <t>309</t>
  </si>
  <si>
    <t>202211061044</t>
  </si>
  <si>
    <t>841</t>
  </si>
  <si>
    <t>202211061087</t>
  </si>
  <si>
    <t>716</t>
  </si>
  <si>
    <t>202311061025</t>
  </si>
  <si>
    <t>944</t>
  </si>
  <si>
    <t>202311061012</t>
  </si>
  <si>
    <t>202211061092</t>
  </si>
  <si>
    <t>570</t>
  </si>
  <si>
    <t>202211061020</t>
  </si>
  <si>
    <t>683</t>
  </si>
  <si>
    <t>202211061042</t>
  </si>
  <si>
    <t>625</t>
  </si>
  <si>
    <t>202211061086</t>
  </si>
  <si>
    <t>483</t>
  </si>
  <si>
    <t>202311061075</t>
  </si>
  <si>
    <t>599</t>
  </si>
  <si>
    <t>202211061026</t>
  </si>
  <si>
    <t>706</t>
  </si>
  <si>
    <t>202311061053</t>
  </si>
  <si>
    <t>649</t>
  </si>
  <si>
    <t>202211061032</t>
  </si>
  <si>
    <t>681</t>
  </si>
  <si>
    <t>202211061047</t>
  </si>
  <si>
    <t>244</t>
  </si>
  <si>
    <t>202211998282</t>
  </si>
  <si>
    <t>458</t>
  </si>
  <si>
    <t>202211061076</t>
  </si>
  <si>
    <t>202211200026</t>
  </si>
  <si>
    <t>312</t>
  </si>
  <si>
    <t>202211061061</t>
  </si>
  <si>
    <t>795</t>
  </si>
  <si>
    <t>202211998311</t>
  </si>
  <si>
    <t>691</t>
  </si>
  <si>
    <t>202311061081</t>
  </si>
  <si>
    <t>669</t>
  </si>
  <si>
    <t>202211998109</t>
  </si>
  <si>
    <t>226</t>
  </si>
  <si>
    <t>202311061029</t>
  </si>
  <si>
    <t>341</t>
  </si>
  <si>
    <t>202211998139</t>
  </si>
  <si>
    <t>779</t>
  </si>
  <si>
    <t>202211061015</t>
  </si>
  <si>
    <t>709</t>
  </si>
  <si>
    <t>202211061053</t>
  </si>
  <si>
    <t>202311998378</t>
  </si>
  <si>
    <t>464</t>
  </si>
  <si>
    <t>202311061016</t>
  </si>
  <si>
    <t>202311998019</t>
  </si>
  <si>
    <t>360</t>
  </si>
  <si>
    <t>202311061034</t>
  </si>
  <si>
    <t>450</t>
  </si>
  <si>
    <t>202311061036</t>
  </si>
  <si>
    <t>615</t>
  </si>
  <si>
    <t>202311061039</t>
  </si>
  <si>
    <t>422</t>
  </si>
  <si>
    <t>202211061075</t>
  </si>
  <si>
    <t>536</t>
  </si>
  <si>
    <t>202311061024</t>
  </si>
  <si>
    <t>202211061058</t>
  </si>
  <si>
    <t>202211061079</t>
  </si>
  <si>
    <t>202311061027</t>
  </si>
  <si>
    <t>644</t>
  </si>
  <si>
    <t>202311061056</t>
  </si>
  <si>
    <t>288</t>
  </si>
  <si>
    <t>202211061049</t>
  </si>
  <si>
    <t>545</t>
  </si>
  <si>
    <t>202211061005</t>
  </si>
  <si>
    <t>323</t>
  </si>
  <si>
    <t>202311061035</t>
  </si>
  <si>
    <t>1702</t>
  </si>
  <si>
    <t>202211998045</t>
  </si>
  <si>
    <t>807</t>
  </si>
  <si>
    <t>202311061023</t>
  </si>
  <si>
    <t>408</t>
  </si>
  <si>
    <t>202211998097</t>
  </si>
  <si>
    <t>494</t>
  </si>
  <si>
    <t>202211061055</t>
  </si>
  <si>
    <t>524</t>
  </si>
  <si>
    <t>202311061063</t>
  </si>
  <si>
    <t>821</t>
  </si>
  <si>
    <t>202211998077</t>
  </si>
  <si>
    <t>465</t>
  </si>
  <si>
    <t>202311061046</t>
  </si>
  <si>
    <t>744</t>
  </si>
  <si>
    <t>202211061024</t>
  </si>
  <si>
    <t>242</t>
  </si>
  <si>
    <t>202311061080</t>
  </si>
  <si>
    <t>305</t>
  </si>
  <si>
    <t>202311061005</t>
  </si>
  <si>
    <t>550</t>
  </si>
  <si>
    <t>202311061057</t>
  </si>
  <si>
    <t>202211061070</t>
  </si>
  <si>
    <t>493</t>
  </si>
  <si>
    <t>202311061008</t>
  </si>
  <si>
    <t>355</t>
  </si>
  <si>
    <t>202211031019</t>
  </si>
  <si>
    <t>317</t>
  </si>
  <si>
    <t>202211061059</t>
  </si>
  <si>
    <t>202211061028</t>
  </si>
  <si>
    <t>4406</t>
  </si>
  <si>
    <t>202311061022</t>
  </si>
  <si>
    <t>518</t>
  </si>
  <si>
    <t>202211998184</t>
  </si>
  <si>
    <t>496</t>
  </si>
  <si>
    <t>202211998083</t>
  </si>
  <si>
    <t>365</t>
  </si>
  <si>
    <t>202311061048</t>
  </si>
  <si>
    <t>336</t>
  </si>
  <si>
    <t>202311061062</t>
  </si>
  <si>
    <t>202311061070</t>
  </si>
  <si>
    <t>628</t>
  </si>
  <si>
    <t>202311061011</t>
  </si>
  <si>
    <t>460</t>
  </si>
  <si>
    <t>202211061001</t>
  </si>
  <si>
    <t>202211998373</t>
  </si>
  <si>
    <t>363</t>
  </si>
  <si>
    <t>202311998056</t>
  </si>
  <si>
    <t>298</t>
  </si>
  <si>
    <t>202211061091</t>
  </si>
  <si>
    <t>245</t>
  </si>
  <si>
    <t>202211061027</t>
  </si>
  <si>
    <t>284</t>
  </si>
  <si>
    <t>202311061044</t>
  </si>
  <si>
    <t>275</t>
  </si>
  <si>
    <t>202265061002</t>
  </si>
  <si>
    <t>372</t>
  </si>
  <si>
    <t>202311061007</t>
  </si>
  <si>
    <t>263</t>
  </si>
  <si>
    <t>202211998075</t>
  </si>
  <si>
    <t>214</t>
  </si>
  <si>
    <t>202211061081</t>
  </si>
  <si>
    <t>202211061025</t>
  </si>
  <si>
    <t>202211061048</t>
  </si>
  <si>
    <t>202211061054</t>
  </si>
  <si>
    <t>202211061084</t>
  </si>
  <si>
    <t>202211998053</t>
  </si>
  <si>
    <t>202211998272</t>
  </si>
  <si>
    <t>202311061002</t>
  </si>
  <si>
    <t>202311061018</t>
  </si>
  <si>
    <t>202311061042</t>
  </si>
  <si>
    <t>202311061073</t>
  </si>
  <si>
    <t>202311998139</t>
  </si>
  <si>
    <t>202311998264</t>
  </si>
  <si>
    <t>202311998278</t>
  </si>
  <si>
    <t>202319061005</t>
  </si>
  <si>
    <t>test2_sec</t>
  </si>
  <si>
    <t>test2_min</t>
  </si>
  <si>
    <t>TSA</t>
  </si>
  <si>
    <t>Q1</t>
  </si>
  <si>
    <t>Q2</t>
  </si>
  <si>
    <t>Q3</t>
  </si>
  <si>
    <t>Q4</t>
  </si>
  <si>
    <t>Q5</t>
  </si>
  <si>
    <t>Q6</t>
  </si>
  <si>
    <t>Q7</t>
  </si>
  <si>
    <t>Q8</t>
  </si>
  <si>
    <t>Q9</t>
  </si>
  <si>
    <t>Q10</t>
  </si>
  <si>
    <t>Q11</t>
  </si>
  <si>
    <t>Q12</t>
  </si>
  <si>
    <t>Q13</t>
  </si>
  <si>
    <t>Q14</t>
  </si>
  <si>
    <t>Q15</t>
  </si>
  <si>
    <t>Q16</t>
  </si>
  <si>
    <t>Q17</t>
  </si>
  <si>
    <t>Q18</t>
  </si>
  <si>
    <t>Q19</t>
  </si>
  <si>
    <t>Q20</t>
  </si>
  <si>
    <t>Q21</t>
  </si>
  <si>
    <t>M1_single</t>
    <phoneticPr fontId="5" type="noConversion"/>
  </si>
  <si>
    <t>M3_single</t>
    <phoneticPr fontId="5" type="noConversion"/>
  </si>
  <si>
    <t>M2_single</t>
    <phoneticPr fontId="5" type="noConversion"/>
  </si>
  <si>
    <t>M5_single</t>
    <phoneticPr fontId="5" type="noConversion"/>
  </si>
  <si>
    <t>M8_single</t>
    <phoneticPr fontId="5" type="noConversion"/>
  </si>
  <si>
    <t>M7_inter</t>
    <phoneticPr fontId="5" type="noConversion"/>
  </si>
  <si>
    <t>M2_inter</t>
    <phoneticPr fontId="5" type="noConversion"/>
  </si>
  <si>
    <t>M3_inter</t>
    <phoneticPr fontId="5" type="noConversion"/>
  </si>
  <si>
    <t>M4_inter</t>
    <phoneticPr fontId="5" type="noConversion"/>
  </si>
  <si>
    <t>M5_inter</t>
    <phoneticPr fontId="5" type="noConversion"/>
  </si>
  <si>
    <t>M6_inter</t>
    <phoneticPr fontId="5" type="noConversion"/>
  </si>
  <si>
    <t>M8_inter</t>
    <phoneticPr fontId="5" type="noConversion"/>
  </si>
  <si>
    <t>M1_single_rater1</t>
    <phoneticPr fontId="5" type="noConversion"/>
  </si>
  <si>
    <t>M2_single_rater1</t>
    <phoneticPr fontId="5" type="noConversion"/>
  </si>
  <si>
    <t>M2_inter_rater1</t>
    <phoneticPr fontId="5" type="noConversion"/>
  </si>
  <si>
    <t>M3_single_rater1</t>
    <phoneticPr fontId="5" type="noConversion"/>
  </si>
  <si>
    <t>M3_inter_rater1</t>
    <phoneticPr fontId="5" type="noConversion"/>
  </si>
  <si>
    <t>M4_inter_rater1</t>
    <phoneticPr fontId="5" type="noConversion"/>
  </si>
  <si>
    <t>M5_single_rater1</t>
    <phoneticPr fontId="5" type="noConversion"/>
  </si>
  <si>
    <t>M5评价观点_rater1</t>
    <phoneticPr fontId="5" type="noConversion"/>
  </si>
  <si>
    <t>M5_inter_rater1</t>
    <phoneticPr fontId="5" type="noConversion"/>
  </si>
  <si>
    <t>M6_inter_rater1</t>
    <phoneticPr fontId="5" type="noConversion"/>
  </si>
  <si>
    <t>M7_inter_rater1</t>
    <phoneticPr fontId="5" type="noConversion"/>
  </si>
  <si>
    <t>M8_single_rater1</t>
    <phoneticPr fontId="5" type="noConversion"/>
  </si>
  <si>
    <t>M8_inter_rater1</t>
    <phoneticPr fontId="5" type="noConversion"/>
  </si>
  <si>
    <t>M1_single_rater2</t>
    <phoneticPr fontId="5" type="noConversion"/>
  </si>
  <si>
    <t>M2_single_rater2</t>
    <phoneticPr fontId="5" type="noConversion"/>
  </si>
  <si>
    <t>M2_inter_rater2</t>
    <phoneticPr fontId="5" type="noConversion"/>
  </si>
  <si>
    <t>M3_single_rater2</t>
    <phoneticPr fontId="5" type="noConversion"/>
  </si>
  <si>
    <t>M3_inter_rater2</t>
    <phoneticPr fontId="5" type="noConversion"/>
  </si>
  <si>
    <t>M4_inter_rater2</t>
    <phoneticPr fontId="5" type="noConversion"/>
  </si>
  <si>
    <t>M5_single_rater2</t>
    <phoneticPr fontId="5" type="noConversion"/>
  </si>
  <si>
    <t>M5评价观点_rater2</t>
    <phoneticPr fontId="5" type="noConversion"/>
  </si>
  <si>
    <t>M5_inter_rater2</t>
    <phoneticPr fontId="5" type="noConversion"/>
  </si>
  <si>
    <t>M6_inter_rater2</t>
    <phoneticPr fontId="5" type="noConversion"/>
  </si>
  <si>
    <t>M7_inter_rater2</t>
  </si>
  <si>
    <t>M8_single_rater2</t>
    <phoneticPr fontId="5" type="noConversion"/>
  </si>
  <si>
    <t>M8_inter_rater2</t>
  </si>
  <si>
    <t>ID</t>
    <phoneticPr fontId="5" type="noConversion"/>
  </si>
  <si>
    <t>order</t>
    <phoneticPr fontId="5" type="noConversion"/>
  </si>
  <si>
    <t>duration</t>
    <phoneticPr fontId="5" type="noConversion"/>
  </si>
  <si>
    <t>P1_rater1</t>
    <phoneticPr fontId="5" type="noConversion"/>
  </si>
  <si>
    <t>P2_rater1</t>
    <phoneticPr fontId="5" type="noConversion"/>
  </si>
  <si>
    <t>P3_rater1</t>
    <phoneticPr fontId="5" type="noConversion"/>
  </si>
  <si>
    <t>P4_rater1</t>
    <phoneticPr fontId="5" type="noConversion"/>
  </si>
  <si>
    <t>P5_rater1</t>
    <phoneticPr fontId="5" type="noConversion"/>
  </si>
  <si>
    <t>P6_rater1</t>
    <phoneticPr fontId="5" type="noConversion"/>
  </si>
  <si>
    <t>P7_rater1</t>
    <phoneticPr fontId="5" type="noConversion"/>
  </si>
  <si>
    <t>P8_rater1</t>
    <phoneticPr fontId="5" type="noConversion"/>
  </si>
  <si>
    <t>P1_rater2</t>
    <phoneticPr fontId="5" type="noConversion"/>
  </si>
  <si>
    <t>P2_rater2</t>
    <phoneticPr fontId="5" type="noConversion"/>
  </si>
  <si>
    <t>P3_rater2</t>
    <phoneticPr fontId="5" type="noConversion"/>
  </si>
  <si>
    <t>P4_rater2</t>
    <phoneticPr fontId="5" type="noConversion"/>
  </si>
  <si>
    <t>P5_rater2</t>
    <phoneticPr fontId="5" type="noConversion"/>
  </si>
  <si>
    <t>P6_rater2</t>
    <phoneticPr fontId="5" type="noConversion"/>
  </si>
  <si>
    <t>P7_rater2</t>
    <phoneticPr fontId="5" type="noConversion"/>
  </si>
  <si>
    <t>P8_rater2</t>
    <phoneticPr fontId="5" type="noConversion"/>
  </si>
  <si>
    <t>P1_rater3</t>
    <phoneticPr fontId="5" type="noConversion"/>
  </si>
  <si>
    <t>P2_rater3</t>
    <phoneticPr fontId="5" type="noConversion"/>
  </si>
  <si>
    <t>P3_rater3</t>
    <phoneticPr fontId="5" type="noConversion"/>
  </si>
  <si>
    <t>P4_rater3</t>
    <phoneticPr fontId="5" type="noConversion"/>
  </si>
  <si>
    <t>P5_rater3</t>
    <phoneticPr fontId="5" type="noConversion"/>
  </si>
  <si>
    <t>P6_rater3</t>
    <phoneticPr fontId="5" type="noConversion"/>
  </si>
  <si>
    <t>P7_rater3</t>
    <phoneticPr fontId="5" type="noConversion"/>
  </si>
  <si>
    <t>P8_rater3</t>
    <phoneticPr fontId="5" type="noConversion"/>
  </si>
  <si>
    <t>P1</t>
    <phoneticPr fontId="5" type="noConversion"/>
  </si>
  <si>
    <t>P2</t>
    <phoneticPr fontId="5" type="noConversion"/>
  </si>
  <si>
    <t>P3</t>
  </si>
  <si>
    <t>P4</t>
  </si>
  <si>
    <t>P5</t>
  </si>
  <si>
    <t>P6</t>
  </si>
  <si>
    <t>P7</t>
  </si>
  <si>
    <t>P8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</si>
</sst>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9">
    <font>
      <sz val="11"/>
      <color indexed="8"/>
      <name val="等线"/>
      <charset val="134"/>
      <scheme val="minor"/>
    </font>
    <font>
      <b/>
      <sz val="11"/>
      <color indexed="8"/>
      <name val="等线"/>
      <family val="2"/>
      <scheme val="minor"/>
    </font>
    <font>
      <sz val="11"/>
      <color rgb="FF000000"/>
      <name val="宋体"/>
      <family val="3"/>
      <charset val="134"/>
    </font>
    <font>
      <sz val="11"/>
      <color rgb="FF000000"/>
      <name val="等线"/>
      <family val="2"/>
      <scheme val="minor"/>
    </font>
    <font>
      <sz val="11"/>
      <color theme="1"/>
      <name val="等线"/>
      <family val="2"/>
      <scheme val="minor"/>
    </font>
    <font>
      <sz val="9"/>
      <name val="等线"/>
      <family val="4"/>
      <charset val="134"/>
      <scheme val="minor"/>
    </font>
    <font>
      <sz val="11"/>
      <color indexed="8"/>
      <name val="等线"/>
      <family val="4"/>
      <charset val="134"/>
      <scheme val="minor"/>
    </font>
    <font>
      <b/>
      <sz val="11"/>
      <color rgb="FFC00000"/>
      <name val="等线"/>
      <family val="4"/>
      <charset val="134"/>
      <scheme val="minor"/>
    </font>
    <font>
      <b/>
      <sz val="11"/>
      <color rgb="FFC00000"/>
      <name val="宋体"/>
      <family val="3"/>
      <charset val="134"/>
    </font>
  </fonts>
  <fills count="18">
    <fill>
      <patternFill patternType="none"/>
    </fill>
    <fill>
      <patternFill patternType="gray125"/>
    </fill>
    <fill>
      <patternFill patternType="solid">
        <fgColor theme="5" tint="0.79995117038483843"/>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2065187536243"/>
        <bgColor indexed="64"/>
      </patternFill>
    </fill>
    <fill>
      <patternFill patternType="solid">
        <fgColor theme="5" tint="0.79992065187536243"/>
        <bgColor rgb="FF000000"/>
      </patternFill>
    </fill>
    <fill>
      <patternFill patternType="solid">
        <fgColor theme="8" tint="0.79992065187536243"/>
        <bgColor indexed="64"/>
      </patternFill>
    </fill>
    <fill>
      <patternFill patternType="solid">
        <fgColor theme="8" tint="0.79992065187536243"/>
        <bgColor rgb="FF000000"/>
      </patternFill>
    </fill>
    <fill>
      <patternFill patternType="solid">
        <fgColor theme="9" tint="0.79992065187536243"/>
        <bgColor indexed="64"/>
      </patternFill>
    </fill>
    <fill>
      <patternFill patternType="solid">
        <fgColor theme="9" tint="0.79992065187536243"/>
        <bgColor rgb="FF000000"/>
      </patternFill>
    </fill>
    <fill>
      <patternFill patternType="solid">
        <fgColor theme="7" tint="0.79992065187536243"/>
        <bgColor indexed="64"/>
      </patternFill>
    </fill>
    <fill>
      <patternFill patternType="solid">
        <fgColor theme="7" tint="0.79992065187536243"/>
        <bgColor rgb="FF000000"/>
      </patternFill>
    </fill>
    <fill>
      <patternFill patternType="solid">
        <fgColor theme="0" tint="-4.9989318521683403E-2"/>
        <bgColor indexed="64"/>
      </patternFill>
    </fill>
    <fill>
      <patternFill patternType="solid">
        <fgColor theme="9" tint="0.79995117038483843"/>
        <bgColor indexed="64"/>
      </patternFill>
    </fill>
    <fill>
      <patternFill patternType="solid">
        <fgColor theme="7" tint="0.7999511703848384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66">
    <xf numFmtId="0" fontId="0" fillId="0" borderId="0" xfId="0">
      <alignment vertical="center"/>
    </xf>
    <xf numFmtId="176" fontId="0" fillId="0" borderId="0" xfId="0" applyNumberFormat="1">
      <alignment vertical="center"/>
    </xf>
    <xf numFmtId="0" fontId="0" fillId="2" borderId="0" xfId="0" applyFill="1">
      <alignment vertical="center"/>
    </xf>
    <xf numFmtId="176" fontId="0" fillId="2" borderId="0" xfId="0" applyNumberFormat="1" applyFill="1">
      <alignment vertical="center"/>
    </xf>
    <xf numFmtId="0" fontId="1" fillId="0" borderId="0" xfId="0" applyFont="1">
      <alignment vertical="center"/>
    </xf>
    <xf numFmtId="0" fontId="0" fillId="3" borderId="0" xfId="0" applyFill="1" applyAlignment="1">
      <alignment horizontal="center" vertical="center"/>
    </xf>
    <xf numFmtId="0" fontId="0" fillId="4" borderId="0" xfId="0" applyFill="1">
      <alignment vertical="center"/>
    </xf>
    <xf numFmtId="0" fontId="0" fillId="4" borderId="0" xfId="0" applyFill="1" applyAlignment="1">
      <alignment horizontal="center" vertical="center"/>
    </xf>
    <xf numFmtId="0" fontId="0" fillId="3" borderId="0" xfId="0" applyFill="1">
      <alignment vertical="center"/>
    </xf>
    <xf numFmtId="0" fontId="0" fillId="5" borderId="0" xfId="0" applyFill="1">
      <alignment vertical="center"/>
    </xf>
    <xf numFmtId="0" fontId="2" fillId="5" borderId="0" xfId="0" applyFont="1" applyFill="1">
      <alignment vertical="center"/>
    </xf>
    <xf numFmtId="0" fontId="0" fillId="6" borderId="0" xfId="0" applyFill="1">
      <alignment vertical="center"/>
    </xf>
    <xf numFmtId="0" fontId="0" fillId="7" borderId="0" xfId="0" applyFill="1">
      <alignment vertical="center"/>
    </xf>
    <xf numFmtId="0" fontId="0" fillId="7" borderId="0" xfId="0" applyFill="1" applyAlignment="1">
      <alignment horizontal="center" vertical="center"/>
    </xf>
    <xf numFmtId="0" fontId="3" fillId="8" borderId="0" xfId="0" applyFont="1" applyFill="1" applyAlignment="1">
      <alignment horizontal="center" vertical="center"/>
    </xf>
    <xf numFmtId="0" fontId="0" fillId="9" borderId="0" xfId="0" applyFill="1">
      <alignment vertical="center"/>
    </xf>
    <xf numFmtId="0" fontId="3" fillId="10" borderId="0" xfId="0" applyFont="1" applyFill="1">
      <alignment vertical="center"/>
    </xf>
    <xf numFmtId="0" fontId="0" fillId="9" borderId="0" xfId="0" applyFill="1" applyAlignment="1">
      <alignment horizontal="center" vertical="center"/>
    </xf>
    <xf numFmtId="0" fontId="0" fillId="11" borderId="0" xfId="0" applyFill="1">
      <alignment vertical="center"/>
    </xf>
    <xf numFmtId="0" fontId="3" fillId="12" borderId="0" xfId="0" applyFont="1" applyFill="1">
      <alignment vertical="center"/>
    </xf>
    <xf numFmtId="0" fontId="0" fillId="13" borderId="0" xfId="0" applyFill="1">
      <alignment vertical="center"/>
    </xf>
    <xf numFmtId="0" fontId="3" fillId="14" borderId="0" xfId="0" applyFont="1" applyFill="1">
      <alignment vertical="center"/>
    </xf>
    <xf numFmtId="0" fontId="0" fillId="0" borderId="0" xfId="0" applyAlignment="1">
      <alignment vertical="center" wrapText="1"/>
    </xf>
    <xf numFmtId="0" fontId="0" fillId="0" borderId="0" xfId="0" applyAlignment="1">
      <alignment horizontal="center" vertical="center"/>
    </xf>
    <xf numFmtId="0" fontId="0" fillId="15" borderId="0" xfId="0" applyFill="1" applyAlignment="1">
      <alignment horizontal="center" vertical="center"/>
    </xf>
    <xf numFmtId="0" fontId="3" fillId="15" borderId="0" xfId="0" applyFont="1" applyFill="1" applyAlignment="1">
      <alignment horizontal="center" vertical="center"/>
    </xf>
    <xf numFmtId="0" fontId="0" fillId="16" borderId="0" xfId="0" applyFill="1" applyAlignment="1">
      <alignment horizontal="center" vertical="center"/>
    </xf>
    <xf numFmtId="0" fontId="3" fillId="16" borderId="0" xfId="0" applyFont="1" applyFill="1" applyAlignment="1">
      <alignment horizontal="center" vertical="center"/>
    </xf>
    <xf numFmtId="0" fontId="0" fillId="17" borderId="0" xfId="0" applyFill="1" applyAlignment="1">
      <alignment horizontal="center" vertical="center"/>
    </xf>
    <xf numFmtId="0" fontId="0" fillId="11" borderId="0" xfId="0" applyFill="1" applyAlignment="1">
      <alignment horizontal="left" vertical="center"/>
    </xf>
    <xf numFmtId="0" fontId="0" fillId="0" borderId="1" xfId="0" applyBorder="1">
      <alignment vertical="center"/>
    </xf>
    <xf numFmtId="0" fontId="4" fillId="0" borderId="0" xfId="0" applyFont="1" applyAlignment="1">
      <alignment vertical="center" wrapText="1"/>
    </xf>
    <xf numFmtId="0" fontId="0" fillId="5" borderId="0" xfId="0" applyFill="1" applyAlignment="1">
      <alignment horizontal="center" vertical="center"/>
    </xf>
    <xf numFmtId="0" fontId="6" fillId="3" borderId="0" xfId="0" applyFont="1" applyFill="1" applyAlignment="1">
      <alignment horizontal="center" vertical="center" wrapText="1"/>
    </xf>
    <xf numFmtId="0" fontId="6" fillId="7" borderId="0" xfId="0" applyFont="1" applyFill="1" applyAlignment="1">
      <alignment horizontal="center" vertical="center" wrapText="1"/>
    </xf>
    <xf numFmtId="0" fontId="6" fillId="4" borderId="0" xfId="0" applyFont="1" applyFill="1" applyAlignment="1">
      <alignment horizontal="center" vertical="center" wrapText="1"/>
    </xf>
    <xf numFmtId="0" fontId="0" fillId="7" borderId="0" xfId="0" applyFill="1" applyAlignment="1">
      <alignment horizontal="center" vertical="center" wrapText="1"/>
    </xf>
    <xf numFmtId="0" fontId="0" fillId="4" borderId="0" xfId="0" applyFill="1" applyAlignment="1">
      <alignment horizontal="center" vertical="center" wrapText="1"/>
    </xf>
    <xf numFmtId="0" fontId="0" fillId="9" borderId="0" xfId="0" applyFill="1" applyAlignment="1">
      <alignment horizontal="center" vertical="center" wrapText="1"/>
    </xf>
    <xf numFmtId="0" fontId="1" fillId="0" borderId="0" xfId="0" applyFont="1" applyAlignment="1">
      <alignment horizontal="center" vertical="center"/>
    </xf>
    <xf numFmtId="0" fontId="2" fillId="5" borderId="0" xfId="0" applyFont="1" applyFill="1" applyAlignment="1">
      <alignment horizontal="center" vertical="center" wrapText="1"/>
    </xf>
    <xf numFmtId="0" fontId="6" fillId="5" borderId="0" xfId="0" applyFont="1" applyFill="1" applyAlignment="1">
      <alignment horizontal="center" vertical="center" wrapText="1"/>
    </xf>
    <xf numFmtId="0" fontId="6" fillId="6" borderId="0" xfId="0" applyFont="1" applyFill="1" applyAlignment="1">
      <alignment horizontal="center" vertical="center" wrapText="1"/>
    </xf>
    <xf numFmtId="0" fontId="0" fillId="3" borderId="0" xfId="0" applyFill="1" applyAlignment="1">
      <alignment horizontal="center" vertical="center" wrapText="1"/>
    </xf>
    <xf numFmtId="0" fontId="0" fillId="5" borderId="0" xfId="0" applyFill="1" applyAlignment="1">
      <alignment horizontal="center" vertical="center" wrapText="1"/>
    </xf>
    <xf numFmtId="0" fontId="0" fillId="11" borderId="0" xfId="0" applyFill="1" applyAlignment="1">
      <alignment horizontal="center" vertical="center" wrapText="1"/>
    </xf>
    <xf numFmtId="0" fontId="0" fillId="6" borderId="0" xfId="0" applyFill="1" applyAlignment="1">
      <alignment horizontal="center" vertical="center" wrapText="1"/>
    </xf>
    <xf numFmtId="0" fontId="0" fillId="13" borderId="0" xfId="0" applyFill="1" applyAlignment="1">
      <alignment horizontal="center" vertical="center" wrapText="1"/>
    </xf>
    <xf numFmtId="0" fontId="7" fillId="4" borderId="0" xfId="0" applyFont="1" applyFill="1" applyAlignment="1">
      <alignment horizontal="center" vertical="center" wrapText="1"/>
    </xf>
    <xf numFmtId="0" fontId="7" fillId="9" borderId="0" xfId="0" applyFont="1" applyFill="1" applyAlignment="1">
      <alignment horizontal="center" vertical="center" wrapText="1"/>
    </xf>
    <xf numFmtId="0" fontId="7" fillId="0" borderId="0" xfId="0" applyFont="1" applyAlignment="1">
      <alignment vertical="center" wrapText="1"/>
    </xf>
    <xf numFmtId="0" fontId="7" fillId="3" borderId="0" xfId="0" applyFont="1" applyFill="1" applyAlignment="1">
      <alignment horizontal="center" vertical="center" wrapText="1"/>
    </xf>
    <xf numFmtId="0" fontId="7" fillId="7" borderId="0" xfId="0" applyFont="1" applyFill="1" applyAlignment="1">
      <alignment horizontal="center" vertical="center" wrapText="1"/>
    </xf>
    <xf numFmtId="0" fontId="8" fillId="5" borderId="0" xfId="0" applyFont="1" applyFill="1" applyAlignment="1">
      <alignment horizontal="center" vertical="center" wrapText="1"/>
    </xf>
    <xf numFmtId="0" fontId="7" fillId="11" borderId="0" xfId="0" applyFont="1" applyFill="1" applyAlignment="1">
      <alignment horizontal="center" vertical="center" wrapText="1"/>
    </xf>
    <xf numFmtId="0" fontId="7" fillId="5" borderId="0" xfId="0" applyFont="1" applyFill="1" applyAlignment="1">
      <alignment horizontal="center" vertical="center" wrapText="1"/>
    </xf>
    <xf numFmtId="0" fontId="7" fillId="6" borderId="0" xfId="0" applyFont="1" applyFill="1" applyAlignment="1">
      <alignment horizontal="center" vertical="center" wrapText="1"/>
    </xf>
    <xf numFmtId="0" fontId="7" fillId="13" borderId="0" xfId="0" applyFont="1" applyFill="1" applyAlignment="1">
      <alignment horizontal="center" vertical="center" wrapText="1"/>
    </xf>
    <xf numFmtId="0" fontId="7" fillId="6" borderId="0" xfId="0" applyFont="1" applyFill="1" applyAlignment="1">
      <alignment horizontal="center" vertical="center"/>
    </xf>
    <xf numFmtId="0" fontId="6" fillId="0" borderId="0" xfId="0" applyFont="1" applyAlignment="1">
      <alignment horizontal="center" vertical="center"/>
    </xf>
    <xf numFmtId="0" fontId="6" fillId="15" borderId="0" xfId="0" applyFont="1" applyFill="1" applyAlignment="1">
      <alignment horizontal="center" vertical="center"/>
    </xf>
    <xf numFmtId="0" fontId="6" fillId="16" borderId="0" xfId="0" applyFont="1" applyFill="1" applyAlignment="1">
      <alignment horizontal="center" vertical="center"/>
    </xf>
    <xf numFmtId="0" fontId="6" fillId="17" borderId="0" xfId="0" applyFont="1" applyFill="1" applyAlignment="1">
      <alignment horizontal="center" vertical="center"/>
    </xf>
    <xf numFmtId="0" fontId="7" fillId="17" borderId="0" xfId="0" applyFont="1" applyFill="1" applyAlignment="1">
      <alignment horizontal="center" vertical="center"/>
    </xf>
    <xf numFmtId="0" fontId="7" fillId="0" borderId="0" xfId="0" applyFont="1">
      <alignment vertical="center"/>
    </xf>
    <xf numFmtId="176" fontId="6" fillId="0" borderId="0" xfId="0" applyNumberFormat="1" applyFont="1">
      <alignment vertical="center"/>
    </xf>
  </cellXfs>
  <cellStyles count="1">
    <cellStyle name="常规" xfId="0" builtinId="0"/>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150"/>
  <sheetViews>
    <sheetView zoomScale="150" zoomScaleNormal="118" workbookViewId="0">
      <pane ySplit="1" topLeftCell="A2" activePane="bottomLeft" state="frozen"/>
      <selection pane="bottomLeft" activeCell="AJ17" sqref="AJ17"/>
    </sheetView>
  </sheetViews>
  <sheetFormatPr baseColWidth="10" defaultColWidth="9.1640625" defaultRowHeight="15"/>
  <cols>
    <col min="2" max="2" width="15.6640625" customWidth="1"/>
    <col min="3" max="4" width="7.6640625" style="22" customWidth="1"/>
    <col min="5" max="5" width="7.6640625" style="50" customWidth="1"/>
    <col min="6" max="9" width="7.6640625" style="22" customWidth="1"/>
    <col min="10" max="11" width="7.6640625" style="50" customWidth="1"/>
    <col min="12" max="15" width="7.6640625" style="22" customWidth="1"/>
    <col min="16" max="17" width="7.6640625" style="50" customWidth="1"/>
    <col min="18" max="19" width="7.6640625" style="22" customWidth="1"/>
    <col min="20" max="20" width="7.6640625" style="50" customWidth="1"/>
    <col min="21" max="23" width="7.6640625" style="22" customWidth="1"/>
    <col min="24" max="25" width="7.6640625" style="22" hidden="1" customWidth="1"/>
    <col min="26" max="26" width="7.6640625" style="22" customWidth="1"/>
    <col min="27" max="28" width="7.6640625" style="50" customWidth="1"/>
    <col min="29" max="30" width="7.6640625" style="22" customWidth="1"/>
    <col min="31" max="31" width="7.6640625" style="50" customWidth="1"/>
    <col min="32" max="33" width="7.6640625" style="22" customWidth="1"/>
    <col min="34" max="34" width="7.6640625" style="50" customWidth="1"/>
    <col min="35" max="38" width="7.6640625" style="22" customWidth="1"/>
    <col min="39" max="39" width="9.1640625" style="58"/>
  </cols>
  <sheetData>
    <row r="1" spans="1:40" ht="48">
      <c r="A1" s="39" t="s">
        <v>4086</v>
      </c>
      <c r="B1" s="39" t="s">
        <v>4085</v>
      </c>
      <c r="C1" s="33" t="s">
        <v>4059</v>
      </c>
      <c r="D1" s="34" t="s">
        <v>4072</v>
      </c>
      <c r="E1" s="51" t="s">
        <v>4047</v>
      </c>
      <c r="F1" s="35" t="s">
        <v>4060</v>
      </c>
      <c r="G1" s="35" t="s">
        <v>4061</v>
      </c>
      <c r="H1" s="35" t="s">
        <v>4073</v>
      </c>
      <c r="I1" s="35" t="s">
        <v>4074</v>
      </c>
      <c r="J1" s="48" t="s">
        <v>4049</v>
      </c>
      <c r="K1" s="48" t="s">
        <v>4053</v>
      </c>
      <c r="L1" s="40" t="s">
        <v>4062</v>
      </c>
      <c r="M1" s="41" t="s">
        <v>4063</v>
      </c>
      <c r="N1" s="40" t="s">
        <v>4075</v>
      </c>
      <c r="O1" s="41" t="s">
        <v>4076</v>
      </c>
      <c r="P1" s="53" t="s">
        <v>4048</v>
      </c>
      <c r="Q1" s="55" t="s">
        <v>4054</v>
      </c>
      <c r="R1" s="42" t="s">
        <v>4064</v>
      </c>
      <c r="S1" s="42" t="s">
        <v>4077</v>
      </c>
      <c r="T1" s="56" t="s">
        <v>4055</v>
      </c>
      <c r="U1" s="35" t="s">
        <v>4065</v>
      </c>
      <c r="V1" s="35" t="s">
        <v>4066</v>
      </c>
      <c r="W1" s="35" t="s">
        <v>4067</v>
      </c>
      <c r="X1" s="35" t="s">
        <v>4078</v>
      </c>
      <c r="Y1" s="35" t="s">
        <v>4079</v>
      </c>
      <c r="Z1" s="35" t="s">
        <v>4080</v>
      </c>
      <c r="AA1" s="48" t="s">
        <v>4050</v>
      </c>
      <c r="AB1" s="48" t="s">
        <v>4056</v>
      </c>
      <c r="AC1" s="41" t="s">
        <v>4068</v>
      </c>
      <c r="AD1" s="41" t="s">
        <v>4081</v>
      </c>
      <c r="AE1" s="55" t="s">
        <v>4057</v>
      </c>
      <c r="AF1" s="33" t="s">
        <v>4069</v>
      </c>
      <c r="AG1" s="33" t="s">
        <v>4082</v>
      </c>
      <c r="AH1" s="55" t="s">
        <v>4052</v>
      </c>
      <c r="AI1" s="42" t="s">
        <v>4070</v>
      </c>
      <c r="AJ1" s="42" t="s">
        <v>4071</v>
      </c>
      <c r="AK1" s="42" t="s">
        <v>4083</v>
      </c>
      <c r="AL1" s="42" t="s">
        <v>4084</v>
      </c>
      <c r="AM1" s="56" t="s">
        <v>4051</v>
      </c>
      <c r="AN1" s="56" t="s">
        <v>4058</v>
      </c>
    </row>
    <row r="2" spans="1:40">
      <c r="A2" s="23">
        <v>10001</v>
      </c>
      <c r="B2" s="23" t="s">
        <v>3760</v>
      </c>
      <c r="C2" s="43">
        <v>3</v>
      </c>
      <c r="D2" s="36">
        <v>3</v>
      </c>
      <c r="E2" s="52">
        <f>AVERAGE(C2:D2)</f>
        <v>3</v>
      </c>
      <c r="F2" s="37">
        <v>0</v>
      </c>
      <c r="G2" s="37">
        <v>1</v>
      </c>
      <c r="H2" s="38">
        <v>0</v>
      </c>
      <c r="I2" s="38">
        <v>1</v>
      </c>
      <c r="J2" s="49">
        <f>AVERAGE(F2,H2)</f>
        <v>0</v>
      </c>
      <c r="K2" s="49">
        <f>AVERAGE(G2,I2)</f>
        <v>1</v>
      </c>
      <c r="L2" s="44">
        <v>3</v>
      </c>
      <c r="M2" s="44">
        <v>1</v>
      </c>
      <c r="N2" s="45">
        <v>3</v>
      </c>
      <c r="O2" s="45">
        <v>1</v>
      </c>
      <c r="P2" s="54">
        <f>AVERAGE(L2,N2)</f>
        <v>3</v>
      </c>
      <c r="Q2" s="54">
        <f>AVERAGE(M2,O2)</f>
        <v>1</v>
      </c>
      <c r="R2" s="46">
        <v>0</v>
      </c>
      <c r="S2" s="47">
        <v>0</v>
      </c>
      <c r="T2" s="57">
        <f>AVERAGE(R2:S2)</f>
        <v>0</v>
      </c>
      <c r="U2" s="37">
        <v>3</v>
      </c>
      <c r="V2" s="37">
        <v>0</v>
      </c>
      <c r="W2" s="37">
        <v>0</v>
      </c>
      <c r="X2" s="38">
        <v>2</v>
      </c>
      <c r="Y2" s="38">
        <v>0</v>
      </c>
      <c r="Z2" s="38">
        <v>0</v>
      </c>
      <c r="AA2" s="49">
        <f>AVERAGE(U2,X2)</f>
        <v>2.5</v>
      </c>
      <c r="AB2" s="49">
        <f>AVERAGE(W2,Z2)</f>
        <v>0</v>
      </c>
      <c r="AC2" s="44">
        <v>0</v>
      </c>
      <c r="AD2" s="45">
        <v>0</v>
      </c>
      <c r="AE2" s="54">
        <f>AVERAGE(AC2:AD2)</f>
        <v>0</v>
      </c>
      <c r="AF2" s="36">
        <v>1</v>
      </c>
      <c r="AG2" s="36">
        <v>1</v>
      </c>
      <c r="AH2" s="54">
        <f>AVERAGE(AF2:AG2)</f>
        <v>1</v>
      </c>
      <c r="AI2" s="46">
        <v>0</v>
      </c>
      <c r="AJ2" s="46">
        <v>0</v>
      </c>
      <c r="AK2" s="47">
        <v>0</v>
      </c>
      <c r="AL2" s="47">
        <v>0</v>
      </c>
      <c r="AM2" s="58">
        <f>AVERAGE(AI2,AK2)</f>
        <v>0</v>
      </c>
      <c r="AN2" s="58">
        <f>AVERAGE(AJ2,AL2)</f>
        <v>0</v>
      </c>
    </row>
    <row r="3" spans="1:40">
      <c r="A3" s="23">
        <v>10002</v>
      </c>
      <c r="B3" s="23" t="s">
        <v>3973</v>
      </c>
      <c r="C3" s="43">
        <v>1</v>
      </c>
      <c r="D3" s="36">
        <v>1</v>
      </c>
      <c r="E3" s="52">
        <f t="shared" ref="E3:E66" si="0">AVERAGE(C3:D3)</f>
        <v>1</v>
      </c>
      <c r="F3" s="37">
        <v>3</v>
      </c>
      <c r="G3" s="37">
        <v>2</v>
      </c>
      <c r="H3" s="38">
        <v>3</v>
      </c>
      <c r="I3" s="38">
        <v>2</v>
      </c>
      <c r="J3" s="49">
        <f t="shared" ref="J3:J66" si="1">AVERAGE(F3,H3)</f>
        <v>3</v>
      </c>
      <c r="K3" s="49">
        <f t="shared" ref="K3:K66" si="2">AVERAGE(G3,I3)</f>
        <v>2</v>
      </c>
      <c r="L3" s="44">
        <v>1</v>
      </c>
      <c r="M3" s="44">
        <v>0</v>
      </c>
      <c r="N3" s="45">
        <v>0</v>
      </c>
      <c r="O3" s="45">
        <v>0</v>
      </c>
      <c r="P3" s="54">
        <f t="shared" ref="P3:P66" si="3">AVERAGE(L3,N3)</f>
        <v>0.5</v>
      </c>
      <c r="Q3" s="54">
        <f t="shared" ref="Q3:Q66" si="4">AVERAGE(M3,O3)</f>
        <v>0</v>
      </c>
      <c r="R3" s="46">
        <v>2</v>
      </c>
      <c r="S3" s="47">
        <v>2</v>
      </c>
      <c r="T3" s="57">
        <f t="shared" ref="T3:T66" si="5">AVERAGE(R3:S3)</f>
        <v>2</v>
      </c>
      <c r="U3" s="37">
        <v>3</v>
      </c>
      <c r="V3" s="37">
        <v>0</v>
      </c>
      <c r="W3" s="37">
        <v>2</v>
      </c>
      <c r="X3" s="38">
        <v>2</v>
      </c>
      <c r="Y3" s="38">
        <v>0</v>
      </c>
      <c r="Z3" s="38">
        <v>2</v>
      </c>
      <c r="AA3" s="49">
        <f t="shared" ref="AA3:AA66" si="6">AVERAGE(U3,X3)</f>
        <v>2.5</v>
      </c>
      <c r="AB3" s="49">
        <f t="shared" ref="AB3:AB66" si="7">AVERAGE(W3,Z3)</f>
        <v>2</v>
      </c>
      <c r="AC3" s="44">
        <v>0</v>
      </c>
      <c r="AD3" s="45">
        <v>0</v>
      </c>
      <c r="AE3" s="54">
        <f t="shared" ref="AE3:AE66" si="8">AVERAGE(AC3:AD3)</f>
        <v>0</v>
      </c>
      <c r="AF3" s="43">
        <v>1</v>
      </c>
      <c r="AG3" s="36">
        <v>1</v>
      </c>
      <c r="AH3" s="54">
        <f t="shared" ref="AH3:AH66" si="9">AVERAGE(AF3:AG3)</f>
        <v>1</v>
      </c>
      <c r="AI3" s="46">
        <v>0</v>
      </c>
      <c r="AJ3" s="46">
        <v>0</v>
      </c>
      <c r="AK3" s="47">
        <v>0</v>
      </c>
      <c r="AL3" s="47">
        <v>0</v>
      </c>
      <c r="AM3" s="58">
        <f t="shared" ref="AM3:AM66" si="10">AVERAGE(AI3,AK3)</f>
        <v>0</v>
      </c>
      <c r="AN3" s="58">
        <f t="shared" ref="AN3:AN66" si="11">AVERAGE(AJ3,AL3)</f>
        <v>0</v>
      </c>
    </row>
    <row r="4" spans="1:40">
      <c r="A4" s="23">
        <v>10003</v>
      </c>
      <c r="B4" s="23" t="s">
        <v>3991</v>
      </c>
      <c r="C4" s="43">
        <v>2</v>
      </c>
      <c r="D4" s="36">
        <v>1</v>
      </c>
      <c r="E4" s="52">
        <f t="shared" si="0"/>
        <v>1.5</v>
      </c>
      <c r="F4" s="37">
        <v>0</v>
      </c>
      <c r="G4" s="37">
        <v>2</v>
      </c>
      <c r="H4" s="38">
        <v>0</v>
      </c>
      <c r="I4" s="38">
        <v>1</v>
      </c>
      <c r="J4" s="49">
        <f t="shared" si="1"/>
        <v>0</v>
      </c>
      <c r="K4" s="49">
        <f t="shared" si="2"/>
        <v>1.5</v>
      </c>
      <c r="L4" s="44">
        <v>3</v>
      </c>
      <c r="M4" s="44">
        <v>1</v>
      </c>
      <c r="N4" s="45">
        <v>2</v>
      </c>
      <c r="O4" s="45">
        <v>1</v>
      </c>
      <c r="P4" s="54">
        <f t="shared" si="3"/>
        <v>2.5</v>
      </c>
      <c r="Q4" s="54">
        <f t="shared" si="4"/>
        <v>1</v>
      </c>
      <c r="R4" s="46">
        <v>0</v>
      </c>
      <c r="S4" s="47">
        <v>0</v>
      </c>
      <c r="T4" s="57">
        <f t="shared" si="5"/>
        <v>0</v>
      </c>
      <c r="U4" s="37">
        <v>3</v>
      </c>
      <c r="V4" s="37">
        <v>1</v>
      </c>
      <c r="W4" s="37">
        <v>0</v>
      </c>
      <c r="X4" s="38">
        <v>2</v>
      </c>
      <c r="Y4" s="38">
        <v>0</v>
      </c>
      <c r="Z4" s="38">
        <v>0</v>
      </c>
      <c r="AA4" s="49">
        <f>AVERAGE(U4,X4)</f>
        <v>2.5</v>
      </c>
      <c r="AB4" s="49">
        <f t="shared" si="7"/>
        <v>0</v>
      </c>
      <c r="AC4" s="44">
        <v>0</v>
      </c>
      <c r="AD4" s="45">
        <v>0</v>
      </c>
      <c r="AE4" s="54">
        <f t="shared" si="8"/>
        <v>0</v>
      </c>
      <c r="AF4" s="43">
        <v>0</v>
      </c>
      <c r="AG4" s="36">
        <v>0</v>
      </c>
      <c r="AH4" s="54">
        <f t="shared" si="9"/>
        <v>0</v>
      </c>
      <c r="AI4" s="46">
        <v>0</v>
      </c>
      <c r="AJ4" s="46">
        <v>0</v>
      </c>
      <c r="AK4" s="47">
        <v>0</v>
      </c>
      <c r="AL4" s="47">
        <v>0</v>
      </c>
      <c r="AM4" s="58">
        <f t="shared" si="10"/>
        <v>0</v>
      </c>
      <c r="AN4" s="58">
        <f t="shared" si="11"/>
        <v>0</v>
      </c>
    </row>
    <row r="5" spans="1:40">
      <c r="A5" s="23">
        <v>10004</v>
      </c>
      <c r="B5" s="23" t="s">
        <v>3823</v>
      </c>
      <c r="C5" s="43">
        <v>2</v>
      </c>
      <c r="D5" s="36">
        <v>2</v>
      </c>
      <c r="E5" s="52">
        <f t="shared" si="0"/>
        <v>2</v>
      </c>
      <c r="F5" s="37">
        <v>0</v>
      </c>
      <c r="G5" s="37">
        <v>2</v>
      </c>
      <c r="H5" s="38">
        <v>0</v>
      </c>
      <c r="I5" s="38">
        <v>2</v>
      </c>
      <c r="J5" s="49">
        <f t="shared" si="1"/>
        <v>0</v>
      </c>
      <c r="K5" s="49">
        <f t="shared" si="2"/>
        <v>2</v>
      </c>
      <c r="L5" s="44">
        <v>3</v>
      </c>
      <c r="M5" s="44">
        <v>2</v>
      </c>
      <c r="N5" s="45">
        <v>1</v>
      </c>
      <c r="O5" s="45">
        <v>2</v>
      </c>
      <c r="P5" s="54">
        <f t="shared" si="3"/>
        <v>2</v>
      </c>
      <c r="Q5" s="54">
        <f t="shared" si="4"/>
        <v>2</v>
      </c>
      <c r="R5" s="46">
        <v>1</v>
      </c>
      <c r="S5" s="47">
        <v>0</v>
      </c>
      <c r="T5" s="57">
        <f t="shared" si="5"/>
        <v>0.5</v>
      </c>
      <c r="U5" s="37">
        <v>3</v>
      </c>
      <c r="V5" s="37">
        <v>3</v>
      </c>
      <c r="W5" s="37">
        <v>1</v>
      </c>
      <c r="X5" s="38">
        <v>3</v>
      </c>
      <c r="Y5" s="38">
        <v>2</v>
      </c>
      <c r="Z5" s="38">
        <v>1</v>
      </c>
      <c r="AA5" s="49">
        <f t="shared" si="6"/>
        <v>3</v>
      </c>
      <c r="AB5" s="49">
        <f t="shared" si="7"/>
        <v>1</v>
      </c>
      <c r="AC5" s="44">
        <v>1</v>
      </c>
      <c r="AD5" s="45">
        <v>1</v>
      </c>
      <c r="AE5" s="54">
        <f t="shared" si="8"/>
        <v>1</v>
      </c>
      <c r="AF5" s="43">
        <v>1</v>
      </c>
      <c r="AG5" s="36">
        <v>1</v>
      </c>
      <c r="AH5" s="54">
        <f t="shared" si="9"/>
        <v>1</v>
      </c>
      <c r="AI5" s="46">
        <v>0</v>
      </c>
      <c r="AJ5" s="46">
        <v>2</v>
      </c>
      <c r="AK5" s="47">
        <v>1</v>
      </c>
      <c r="AL5" s="47">
        <v>2</v>
      </c>
      <c r="AM5" s="58">
        <f t="shared" si="10"/>
        <v>0.5</v>
      </c>
      <c r="AN5" s="58">
        <f t="shared" si="11"/>
        <v>2</v>
      </c>
    </row>
    <row r="6" spans="1:40">
      <c r="A6" s="23">
        <v>10006</v>
      </c>
      <c r="B6" s="23" t="s">
        <v>3792</v>
      </c>
      <c r="C6" s="43">
        <v>3</v>
      </c>
      <c r="D6" s="36">
        <v>3</v>
      </c>
      <c r="E6" s="52">
        <f t="shared" si="0"/>
        <v>3</v>
      </c>
      <c r="F6" s="37">
        <v>3</v>
      </c>
      <c r="G6" s="37">
        <v>1</v>
      </c>
      <c r="H6" s="38">
        <v>1</v>
      </c>
      <c r="I6" s="38">
        <v>1</v>
      </c>
      <c r="J6" s="49">
        <f t="shared" si="1"/>
        <v>2</v>
      </c>
      <c r="K6" s="49">
        <f t="shared" si="2"/>
        <v>1</v>
      </c>
      <c r="L6" s="44">
        <v>3</v>
      </c>
      <c r="M6" s="44">
        <v>1</v>
      </c>
      <c r="N6" s="45">
        <v>2</v>
      </c>
      <c r="O6" s="45">
        <v>1</v>
      </c>
      <c r="P6" s="54">
        <f t="shared" si="3"/>
        <v>2.5</v>
      </c>
      <c r="Q6" s="54">
        <f t="shared" si="4"/>
        <v>1</v>
      </c>
      <c r="R6" s="46">
        <v>0</v>
      </c>
      <c r="S6" s="47">
        <v>0</v>
      </c>
      <c r="T6" s="57">
        <f t="shared" si="5"/>
        <v>0</v>
      </c>
      <c r="U6" s="37">
        <v>3</v>
      </c>
      <c r="V6" s="37">
        <v>0</v>
      </c>
      <c r="W6" s="37">
        <v>2</v>
      </c>
      <c r="X6" s="38">
        <v>2</v>
      </c>
      <c r="Y6" s="38">
        <v>0</v>
      </c>
      <c r="Z6" s="38">
        <v>2</v>
      </c>
      <c r="AA6" s="49">
        <f t="shared" si="6"/>
        <v>2.5</v>
      </c>
      <c r="AB6" s="49">
        <f t="shared" si="7"/>
        <v>2</v>
      </c>
      <c r="AC6" s="44">
        <v>1</v>
      </c>
      <c r="AD6" s="45">
        <v>0</v>
      </c>
      <c r="AE6" s="54">
        <f t="shared" si="8"/>
        <v>0.5</v>
      </c>
      <c r="AF6" s="43">
        <v>0</v>
      </c>
      <c r="AG6" s="36">
        <v>0</v>
      </c>
      <c r="AH6" s="54">
        <f t="shared" si="9"/>
        <v>0</v>
      </c>
      <c r="AI6" s="46">
        <v>0</v>
      </c>
      <c r="AJ6" s="46">
        <v>1</v>
      </c>
      <c r="AK6" s="47">
        <v>0</v>
      </c>
      <c r="AL6" s="47">
        <v>0</v>
      </c>
      <c r="AM6" s="58">
        <f t="shared" si="10"/>
        <v>0</v>
      </c>
      <c r="AN6" s="58">
        <f t="shared" si="11"/>
        <v>0.5</v>
      </c>
    </row>
    <row r="7" spans="1:40">
      <c r="A7" s="23">
        <v>10007</v>
      </c>
      <c r="B7" s="23" t="s">
        <v>3756</v>
      </c>
      <c r="C7" s="43">
        <v>0</v>
      </c>
      <c r="D7" s="36">
        <v>0</v>
      </c>
      <c r="E7" s="52">
        <f t="shared" si="0"/>
        <v>0</v>
      </c>
      <c r="F7" s="37">
        <v>3</v>
      </c>
      <c r="G7" s="37">
        <v>1</v>
      </c>
      <c r="H7" s="38">
        <v>1</v>
      </c>
      <c r="I7" s="38">
        <v>0</v>
      </c>
      <c r="J7" s="49">
        <f t="shared" si="1"/>
        <v>2</v>
      </c>
      <c r="K7" s="49">
        <f t="shared" si="2"/>
        <v>0.5</v>
      </c>
      <c r="L7" s="44">
        <v>3</v>
      </c>
      <c r="M7" s="44">
        <v>2</v>
      </c>
      <c r="N7" s="45">
        <v>3</v>
      </c>
      <c r="O7" s="45">
        <v>1</v>
      </c>
      <c r="P7" s="54">
        <f t="shared" si="3"/>
        <v>3</v>
      </c>
      <c r="Q7" s="54">
        <f t="shared" si="4"/>
        <v>1.5</v>
      </c>
      <c r="R7" s="46">
        <v>1</v>
      </c>
      <c r="S7" s="47">
        <v>1</v>
      </c>
      <c r="T7" s="57">
        <f t="shared" si="5"/>
        <v>1</v>
      </c>
      <c r="U7" s="37">
        <v>3</v>
      </c>
      <c r="V7" s="37">
        <v>0</v>
      </c>
      <c r="W7" s="37">
        <v>2</v>
      </c>
      <c r="X7" s="38">
        <v>2</v>
      </c>
      <c r="Y7" s="38">
        <v>0</v>
      </c>
      <c r="Z7" s="38">
        <v>2</v>
      </c>
      <c r="AA7" s="49">
        <f t="shared" si="6"/>
        <v>2.5</v>
      </c>
      <c r="AB7" s="49">
        <f t="shared" si="7"/>
        <v>2</v>
      </c>
      <c r="AC7" s="44">
        <v>2</v>
      </c>
      <c r="AD7" s="45">
        <v>0</v>
      </c>
      <c r="AE7" s="54">
        <f t="shared" si="8"/>
        <v>1</v>
      </c>
      <c r="AF7" s="43">
        <v>2</v>
      </c>
      <c r="AG7" s="36">
        <v>1</v>
      </c>
      <c r="AH7" s="54">
        <f t="shared" si="9"/>
        <v>1.5</v>
      </c>
      <c r="AI7" s="46">
        <v>2</v>
      </c>
      <c r="AJ7" s="46">
        <v>0</v>
      </c>
      <c r="AK7" s="47">
        <v>2</v>
      </c>
      <c r="AL7" s="47">
        <v>0</v>
      </c>
      <c r="AM7" s="58">
        <f t="shared" si="10"/>
        <v>2</v>
      </c>
      <c r="AN7" s="58">
        <f t="shared" si="11"/>
        <v>0</v>
      </c>
    </row>
    <row r="8" spans="1:40">
      <c r="A8" s="23">
        <v>10008</v>
      </c>
      <c r="B8" s="23" t="s">
        <v>3919</v>
      </c>
      <c r="C8" s="43">
        <v>3</v>
      </c>
      <c r="D8" s="36">
        <v>3</v>
      </c>
      <c r="E8" s="52">
        <f t="shared" si="0"/>
        <v>3</v>
      </c>
      <c r="F8" s="37">
        <v>3</v>
      </c>
      <c r="G8" s="37">
        <v>1</v>
      </c>
      <c r="H8" s="38">
        <v>2</v>
      </c>
      <c r="I8" s="38">
        <v>1</v>
      </c>
      <c r="J8" s="49">
        <f t="shared" si="1"/>
        <v>2.5</v>
      </c>
      <c r="K8" s="49">
        <f t="shared" si="2"/>
        <v>1</v>
      </c>
      <c r="L8" s="44">
        <v>3</v>
      </c>
      <c r="M8" s="44">
        <v>1</v>
      </c>
      <c r="N8" s="45">
        <v>1</v>
      </c>
      <c r="O8" s="45">
        <v>1</v>
      </c>
      <c r="P8" s="54">
        <f t="shared" si="3"/>
        <v>2</v>
      </c>
      <c r="Q8" s="54">
        <f t="shared" si="4"/>
        <v>1</v>
      </c>
      <c r="R8" s="46">
        <v>0</v>
      </c>
      <c r="S8" s="47">
        <v>0</v>
      </c>
      <c r="T8" s="57">
        <f t="shared" si="5"/>
        <v>0</v>
      </c>
      <c r="U8" s="37">
        <v>3</v>
      </c>
      <c r="V8" s="37">
        <v>3</v>
      </c>
      <c r="W8" s="37">
        <v>2</v>
      </c>
      <c r="X8" s="38">
        <v>3</v>
      </c>
      <c r="Y8" s="38">
        <v>2</v>
      </c>
      <c r="Z8" s="38">
        <v>2</v>
      </c>
      <c r="AA8" s="49">
        <f t="shared" si="6"/>
        <v>3</v>
      </c>
      <c r="AB8" s="49">
        <f t="shared" si="7"/>
        <v>2</v>
      </c>
      <c r="AC8" s="44">
        <v>1</v>
      </c>
      <c r="AD8" s="45">
        <v>0</v>
      </c>
      <c r="AE8" s="54">
        <f t="shared" si="8"/>
        <v>0.5</v>
      </c>
      <c r="AF8" s="43">
        <v>0</v>
      </c>
      <c r="AG8" s="36">
        <v>1</v>
      </c>
      <c r="AH8" s="54">
        <f t="shared" si="9"/>
        <v>0.5</v>
      </c>
      <c r="AI8" s="46">
        <v>0</v>
      </c>
      <c r="AJ8" s="46">
        <v>0</v>
      </c>
      <c r="AK8" s="47">
        <v>0</v>
      </c>
      <c r="AL8" s="47">
        <v>0</v>
      </c>
      <c r="AM8" s="58">
        <f t="shared" si="10"/>
        <v>0</v>
      </c>
      <c r="AN8" s="58">
        <f t="shared" si="11"/>
        <v>0</v>
      </c>
    </row>
    <row r="9" spans="1:40">
      <c r="A9" s="23">
        <v>10009</v>
      </c>
      <c r="B9" s="23" t="s">
        <v>3752</v>
      </c>
      <c r="C9" s="43">
        <v>0</v>
      </c>
      <c r="D9" s="36">
        <v>0</v>
      </c>
      <c r="E9" s="52">
        <f t="shared" si="0"/>
        <v>0</v>
      </c>
      <c r="F9" s="37">
        <v>0</v>
      </c>
      <c r="G9" s="37">
        <v>1</v>
      </c>
      <c r="H9" s="38">
        <v>0</v>
      </c>
      <c r="I9" s="38">
        <v>1</v>
      </c>
      <c r="J9" s="49">
        <f t="shared" si="1"/>
        <v>0</v>
      </c>
      <c r="K9" s="49">
        <f t="shared" si="2"/>
        <v>1</v>
      </c>
      <c r="L9" s="44">
        <v>3</v>
      </c>
      <c r="M9" s="44">
        <v>1</v>
      </c>
      <c r="N9" s="45">
        <v>2</v>
      </c>
      <c r="O9" s="45">
        <v>1</v>
      </c>
      <c r="P9" s="54">
        <f t="shared" si="3"/>
        <v>2.5</v>
      </c>
      <c r="Q9" s="54">
        <f t="shared" si="4"/>
        <v>1</v>
      </c>
      <c r="R9" s="46">
        <v>0</v>
      </c>
      <c r="S9" s="47">
        <v>0</v>
      </c>
      <c r="T9" s="57">
        <f t="shared" si="5"/>
        <v>0</v>
      </c>
      <c r="U9" s="37">
        <v>0</v>
      </c>
      <c r="V9" s="37">
        <v>0</v>
      </c>
      <c r="W9" s="37">
        <v>2</v>
      </c>
      <c r="X9" s="38">
        <v>0</v>
      </c>
      <c r="Y9" s="38">
        <v>1</v>
      </c>
      <c r="Z9" s="38">
        <v>2</v>
      </c>
      <c r="AA9" s="49">
        <f t="shared" si="6"/>
        <v>0</v>
      </c>
      <c r="AB9" s="49">
        <f t="shared" si="7"/>
        <v>2</v>
      </c>
      <c r="AC9" s="44">
        <v>0</v>
      </c>
      <c r="AD9" s="45">
        <v>0</v>
      </c>
      <c r="AE9" s="54">
        <f t="shared" si="8"/>
        <v>0</v>
      </c>
      <c r="AF9" s="43">
        <v>1</v>
      </c>
      <c r="AG9" s="36">
        <v>1</v>
      </c>
      <c r="AH9" s="54">
        <f t="shared" si="9"/>
        <v>1</v>
      </c>
      <c r="AI9" s="46">
        <v>0</v>
      </c>
      <c r="AJ9" s="46">
        <v>1</v>
      </c>
      <c r="AK9" s="47">
        <v>0</v>
      </c>
      <c r="AL9" s="47">
        <v>0</v>
      </c>
      <c r="AM9" s="58">
        <f t="shared" si="10"/>
        <v>0</v>
      </c>
      <c r="AN9" s="58">
        <f t="shared" si="11"/>
        <v>0.5</v>
      </c>
    </row>
    <row r="10" spans="1:40">
      <c r="A10" s="23">
        <v>10010</v>
      </c>
      <c r="B10" s="23" t="s">
        <v>3806</v>
      </c>
      <c r="C10" s="43">
        <v>3</v>
      </c>
      <c r="D10" s="36">
        <v>3</v>
      </c>
      <c r="E10" s="52">
        <f t="shared" si="0"/>
        <v>3</v>
      </c>
      <c r="F10" s="37">
        <v>0</v>
      </c>
      <c r="G10" s="37">
        <v>2</v>
      </c>
      <c r="H10" s="38">
        <v>0</v>
      </c>
      <c r="I10" s="38">
        <v>2</v>
      </c>
      <c r="J10" s="49">
        <f t="shared" si="1"/>
        <v>0</v>
      </c>
      <c r="K10" s="49">
        <f t="shared" si="2"/>
        <v>2</v>
      </c>
      <c r="L10" s="44">
        <v>0</v>
      </c>
      <c r="M10" s="44">
        <v>1</v>
      </c>
      <c r="N10" s="45">
        <v>0</v>
      </c>
      <c r="O10" s="45">
        <v>1</v>
      </c>
      <c r="P10" s="54">
        <f t="shared" si="3"/>
        <v>0</v>
      </c>
      <c r="Q10" s="54">
        <f t="shared" si="4"/>
        <v>1</v>
      </c>
      <c r="R10" s="46">
        <v>2</v>
      </c>
      <c r="S10" s="47">
        <v>2</v>
      </c>
      <c r="T10" s="57">
        <f t="shared" si="5"/>
        <v>2</v>
      </c>
      <c r="U10" s="37">
        <v>3</v>
      </c>
      <c r="V10" s="37">
        <v>0</v>
      </c>
      <c r="W10" s="37">
        <v>1</v>
      </c>
      <c r="X10" s="38">
        <v>3</v>
      </c>
      <c r="Y10" s="38">
        <v>0</v>
      </c>
      <c r="Z10" s="38">
        <v>1</v>
      </c>
      <c r="AA10" s="49">
        <f t="shared" si="6"/>
        <v>3</v>
      </c>
      <c r="AB10" s="49">
        <f t="shared" si="7"/>
        <v>1</v>
      </c>
      <c r="AC10" s="44">
        <v>2</v>
      </c>
      <c r="AD10" s="45">
        <v>2</v>
      </c>
      <c r="AE10" s="54">
        <f t="shared" si="8"/>
        <v>2</v>
      </c>
      <c r="AF10" s="43">
        <v>1</v>
      </c>
      <c r="AG10" s="36">
        <v>1</v>
      </c>
      <c r="AH10" s="54">
        <f t="shared" si="9"/>
        <v>1</v>
      </c>
      <c r="AI10" s="46">
        <v>0</v>
      </c>
      <c r="AJ10" s="46">
        <v>0</v>
      </c>
      <c r="AK10" s="47">
        <v>0</v>
      </c>
      <c r="AL10" s="47">
        <v>0</v>
      </c>
      <c r="AM10" s="58">
        <f t="shared" si="10"/>
        <v>0</v>
      </c>
      <c r="AN10" s="58">
        <f t="shared" si="11"/>
        <v>0</v>
      </c>
    </row>
    <row r="11" spans="1:40">
      <c r="A11" s="23">
        <v>10011</v>
      </c>
      <c r="B11" s="23" t="s">
        <v>3886</v>
      </c>
      <c r="C11" s="43">
        <v>0</v>
      </c>
      <c r="D11" s="36">
        <v>0</v>
      </c>
      <c r="E11" s="52">
        <f t="shared" si="0"/>
        <v>0</v>
      </c>
      <c r="F11" s="37">
        <v>3</v>
      </c>
      <c r="G11" s="37">
        <v>2</v>
      </c>
      <c r="H11" s="38">
        <v>3</v>
      </c>
      <c r="I11" s="38">
        <v>2</v>
      </c>
      <c r="J11" s="49">
        <f t="shared" si="1"/>
        <v>3</v>
      </c>
      <c r="K11" s="49">
        <f t="shared" si="2"/>
        <v>2</v>
      </c>
      <c r="L11" s="44">
        <v>3</v>
      </c>
      <c r="M11" s="44">
        <v>2</v>
      </c>
      <c r="N11" s="45">
        <v>2</v>
      </c>
      <c r="O11" s="45">
        <v>2</v>
      </c>
      <c r="P11" s="54">
        <f t="shared" si="3"/>
        <v>2.5</v>
      </c>
      <c r="Q11" s="54">
        <f t="shared" si="4"/>
        <v>2</v>
      </c>
      <c r="R11" s="46">
        <v>2</v>
      </c>
      <c r="S11" s="47">
        <v>2</v>
      </c>
      <c r="T11" s="57">
        <f t="shared" si="5"/>
        <v>2</v>
      </c>
      <c r="U11" s="37">
        <v>3</v>
      </c>
      <c r="V11" s="37">
        <v>0</v>
      </c>
      <c r="W11" s="37">
        <v>2</v>
      </c>
      <c r="X11" s="38">
        <v>3</v>
      </c>
      <c r="Y11" s="38">
        <v>0</v>
      </c>
      <c r="Z11" s="38">
        <v>2</v>
      </c>
      <c r="AA11" s="49">
        <f t="shared" si="6"/>
        <v>3</v>
      </c>
      <c r="AB11" s="49">
        <f t="shared" si="7"/>
        <v>2</v>
      </c>
      <c r="AC11" s="44">
        <v>0</v>
      </c>
      <c r="AD11" s="45">
        <v>0</v>
      </c>
      <c r="AE11" s="54">
        <f t="shared" si="8"/>
        <v>0</v>
      </c>
      <c r="AF11" s="36">
        <v>1</v>
      </c>
      <c r="AG11" s="36">
        <v>1</v>
      </c>
      <c r="AH11" s="54">
        <f t="shared" si="9"/>
        <v>1</v>
      </c>
      <c r="AI11" s="46">
        <v>2</v>
      </c>
      <c r="AJ11" s="46">
        <v>2</v>
      </c>
      <c r="AK11" s="47">
        <v>2</v>
      </c>
      <c r="AL11" s="47">
        <v>2</v>
      </c>
      <c r="AM11" s="58">
        <f t="shared" si="10"/>
        <v>2</v>
      </c>
      <c r="AN11" s="58">
        <f t="shared" si="11"/>
        <v>2</v>
      </c>
    </row>
    <row r="12" spans="1:40">
      <c r="A12" s="23">
        <v>10012</v>
      </c>
      <c r="B12" s="23" t="s">
        <v>3871</v>
      </c>
      <c r="C12" s="43">
        <v>3</v>
      </c>
      <c r="D12" s="36">
        <v>3</v>
      </c>
      <c r="E12" s="52">
        <f t="shared" si="0"/>
        <v>3</v>
      </c>
      <c r="F12" s="37">
        <v>0</v>
      </c>
      <c r="G12" s="37">
        <v>0</v>
      </c>
      <c r="H12" s="38">
        <v>0</v>
      </c>
      <c r="I12" s="38">
        <v>0</v>
      </c>
      <c r="J12" s="49">
        <f t="shared" si="1"/>
        <v>0</v>
      </c>
      <c r="K12" s="49">
        <f t="shared" si="2"/>
        <v>0</v>
      </c>
      <c r="L12" s="44">
        <v>3</v>
      </c>
      <c r="M12" s="44">
        <v>1</v>
      </c>
      <c r="N12" s="45">
        <v>2</v>
      </c>
      <c r="O12" s="45">
        <v>1</v>
      </c>
      <c r="P12" s="54">
        <f t="shared" si="3"/>
        <v>2.5</v>
      </c>
      <c r="Q12" s="54">
        <f t="shared" si="4"/>
        <v>1</v>
      </c>
      <c r="R12" s="46">
        <v>1</v>
      </c>
      <c r="S12" s="47">
        <v>0</v>
      </c>
      <c r="T12" s="57">
        <f t="shared" si="5"/>
        <v>0.5</v>
      </c>
      <c r="U12" s="37">
        <v>3</v>
      </c>
      <c r="V12" s="37">
        <v>0</v>
      </c>
      <c r="W12" s="37">
        <v>2</v>
      </c>
      <c r="X12" s="38">
        <v>3</v>
      </c>
      <c r="Y12" s="38">
        <v>0</v>
      </c>
      <c r="Z12" s="38">
        <v>2</v>
      </c>
      <c r="AA12" s="49">
        <f t="shared" si="6"/>
        <v>3</v>
      </c>
      <c r="AB12" s="49">
        <f t="shared" si="7"/>
        <v>2</v>
      </c>
      <c r="AC12" s="44">
        <v>0</v>
      </c>
      <c r="AD12" s="45">
        <v>0</v>
      </c>
      <c r="AE12" s="54">
        <f t="shared" si="8"/>
        <v>0</v>
      </c>
      <c r="AF12" s="36">
        <v>1</v>
      </c>
      <c r="AG12" s="36">
        <v>1</v>
      </c>
      <c r="AH12" s="54">
        <f t="shared" si="9"/>
        <v>1</v>
      </c>
      <c r="AI12" s="46">
        <v>0</v>
      </c>
      <c r="AJ12" s="46">
        <v>1</v>
      </c>
      <c r="AK12" s="47">
        <v>0</v>
      </c>
      <c r="AL12" s="47">
        <v>0</v>
      </c>
      <c r="AM12" s="58">
        <f t="shared" si="10"/>
        <v>0</v>
      </c>
      <c r="AN12" s="58">
        <f t="shared" si="11"/>
        <v>0.5</v>
      </c>
    </row>
    <row r="13" spans="1:40">
      <c r="A13" s="23">
        <v>10013</v>
      </c>
      <c r="B13" s="23" t="s">
        <v>3962</v>
      </c>
      <c r="C13" s="43">
        <v>3</v>
      </c>
      <c r="D13" s="36">
        <v>3</v>
      </c>
      <c r="E13" s="52">
        <f t="shared" si="0"/>
        <v>3</v>
      </c>
      <c r="F13" s="37">
        <v>3</v>
      </c>
      <c r="G13" s="37">
        <v>1</v>
      </c>
      <c r="H13" s="38">
        <v>2</v>
      </c>
      <c r="I13" s="38">
        <v>1</v>
      </c>
      <c r="J13" s="49">
        <f t="shared" si="1"/>
        <v>2.5</v>
      </c>
      <c r="K13" s="49">
        <f t="shared" si="2"/>
        <v>1</v>
      </c>
      <c r="L13" s="44">
        <v>2</v>
      </c>
      <c r="M13" s="44">
        <v>1</v>
      </c>
      <c r="N13" s="45">
        <v>0</v>
      </c>
      <c r="O13" s="45">
        <v>1</v>
      </c>
      <c r="P13" s="54">
        <f t="shared" si="3"/>
        <v>1</v>
      </c>
      <c r="Q13" s="54">
        <f t="shared" si="4"/>
        <v>1</v>
      </c>
      <c r="R13" s="46">
        <v>0</v>
      </c>
      <c r="S13" s="47">
        <v>0</v>
      </c>
      <c r="T13" s="57">
        <f t="shared" si="5"/>
        <v>0</v>
      </c>
      <c r="U13" s="37">
        <v>3</v>
      </c>
      <c r="V13" s="37">
        <v>0</v>
      </c>
      <c r="W13" s="37">
        <v>2</v>
      </c>
      <c r="X13" s="38">
        <v>1</v>
      </c>
      <c r="Y13" s="38">
        <v>0</v>
      </c>
      <c r="Z13" s="38">
        <v>2</v>
      </c>
      <c r="AA13" s="49">
        <f t="shared" si="6"/>
        <v>2</v>
      </c>
      <c r="AB13" s="49">
        <f t="shared" si="7"/>
        <v>2</v>
      </c>
      <c r="AC13" s="44">
        <v>0</v>
      </c>
      <c r="AD13" s="45">
        <v>0</v>
      </c>
      <c r="AE13" s="54">
        <f t="shared" si="8"/>
        <v>0</v>
      </c>
      <c r="AF13" s="36">
        <v>1</v>
      </c>
      <c r="AG13" s="36">
        <v>1</v>
      </c>
      <c r="AH13" s="54">
        <f t="shared" si="9"/>
        <v>1</v>
      </c>
      <c r="AI13" s="46">
        <v>1</v>
      </c>
      <c r="AJ13" s="46">
        <v>0</v>
      </c>
      <c r="AK13" s="47">
        <v>0</v>
      </c>
      <c r="AL13" s="47">
        <v>0</v>
      </c>
      <c r="AM13" s="58">
        <f t="shared" si="10"/>
        <v>0.5</v>
      </c>
      <c r="AN13" s="58">
        <f t="shared" si="11"/>
        <v>0</v>
      </c>
    </row>
    <row r="14" spans="1:40">
      <c r="A14" s="23">
        <v>10014</v>
      </c>
      <c r="B14" s="23" t="s">
        <v>4009</v>
      </c>
      <c r="C14" s="43">
        <v>3</v>
      </c>
      <c r="D14" s="36">
        <v>1</v>
      </c>
      <c r="E14" s="52">
        <f t="shared" si="0"/>
        <v>2</v>
      </c>
      <c r="F14" s="37">
        <v>1</v>
      </c>
      <c r="G14" s="37">
        <v>0</v>
      </c>
      <c r="H14" s="38">
        <v>0</v>
      </c>
      <c r="I14" s="38">
        <v>0</v>
      </c>
      <c r="J14" s="49">
        <f t="shared" si="1"/>
        <v>0.5</v>
      </c>
      <c r="K14" s="49">
        <f t="shared" si="2"/>
        <v>0</v>
      </c>
      <c r="L14" s="44">
        <v>2</v>
      </c>
      <c r="M14" s="44">
        <v>1</v>
      </c>
      <c r="N14" s="45">
        <v>0</v>
      </c>
      <c r="O14" s="45">
        <v>1</v>
      </c>
      <c r="P14" s="54">
        <f t="shared" si="3"/>
        <v>1</v>
      </c>
      <c r="Q14" s="54">
        <f t="shared" si="4"/>
        <v>1</v>
      </c>
      <c r="R14" s="46">
        <v>0</v>
      </c>
      <c r="S14" s="47">
        <v>0</v>
      </c>
      <c r="T14" s="57">
        <f t="shared" si="5"/>
        <v>0</v>
      </c>
      <c r="U14" s="37">
        <v>3</v>
      </c>
      <c r="V14" s="37">
        <v>3</v>
      </c>
      <c r="W14" s="37">
        <v>2</v>
      </c>
      <c r="X14" s="38">
        <v>3</v>
      </c>
      <c r="Y14" s="38">
        <v>3</v>
      </c>
      <c r="Z14" s="38">
        <v>2</v>
      </c>
      <c r="AA14" s="49">
        <f t="shared" si="6"/>
        <v>3</v>
      </c>
      <c r="AB14" s="49">
        <f t="shared" si="7"/>
        <v>2</v>
      </c>
      <c r="AC14" s="44">
        <v>0</v>
      </c>
      <c r="AD14" s="45">
        <v>0</v>
      </c>
      <c r="AE14" s="54">
        <f t="shared" si="8"/>
        <v>0</v>
      </c>
      <c r="AF14" s="36">
        <v>1</v>
      </c>
      <c r="AG14" s="36">
        <v>1</v>
      </c>
      <c r="AH14" s="54">
        <f t="shared" si="9"/>
        <v>1</v>
      </c>
      <c r="AI14" s="46">
        <v>0</v>
      </c>
      <c r="AJ14" s="46">
        <v>0</v>
      </c>
      <c r="AK14" s="47">
        <v>0</v>
      </c>
      <c r="AL14" s="47">
        <v>0</v>
      </c>
      <c r="AM14" s="58">
        <f t="shared" si="10"/>
        <v>0</v>
      </c>
      <c r="AN14" s="58">
        <f t="shared" si="11"/>
        <v>0</v>
      </c>
    </row>
    <row r="15" spans="1:40">
      <c r="A15" s="23">
        <v>10015</v>
      </c>
      <c r="B15" s="23" t="s">
        <v>3894</v>
      </c>
      <c r="C15" s="43">
        <v>0</v>
      </c>
      <c r="D15" s="36">
        <v>0</v>
      </c>
      <c r="E15" s="52">
        <f t="shared" si="0"/>
        <v>0</v>
      </c>
      <c r="F15" s="37">
        <v>2</v>
      </c>
      <c r="G15" s="37">
        <v>2</v>
      </c>
      <c r="H15" s="38">
        <v>0</v>
      </c>
      <c r="I15" s="38">
        <v>2</v>
      </c>
      <c r="J15" s="49">
        <f t="shared" si="1"/>
        <v>1</v>
      </c>
      <c r="K15" s="49">
        <f t="shared" si="2"/>
        <v>2</v>
      </c>
      <c r="L15" s="44">
        <v>2</v>
      </c>
      <c r="M15" s="44">
        <v>2</v>
      </c>
      <c r="N15" s="45">
        <v>0</v>
      </c>
      <c r="O15" s="45">
        <v>2</v>
      </c>
      <c r="P15" s="54">
        <f t="shared" si="3"/>
        <v>1</v>
      </c>
      <c r="Q15" s="54">
        <f t="shared" si="4"/>
        <v>2</v>
      </c>
      <c r="R15" s="46">
        <v>0</v>
      </c>
      <c r="S15" s="47">
        <v>0</v>
      </c>
      <c r="T15" s="57">
        <f t="shared" si="5"/>
        <v>0</v>
      </c>
      <c r="U15" s="37">
        <v>3</v>
      </c>
      <c r="V15" s="37">
        <v>3</v>
      </c>
      <c r="W15" s="37">
        <v>2</v>
      </c>
      <c r="X15" s="38">
        <v>3</v>
      </c>
      <c r="Y15" s="38">
        <v>3</v>
      </c>
      <c r="Z15" s="38">
        <v>2</v>
      </c>
      <c r="AA15" s="49">
        <f t="shared" si="6"/>
        <v>3</v>
      </c>
      <c r="AB15" s="49">
        <f t="shared" si="7"/>
        <v>2</v>
      </c>
      <c r="AC15" s="44">
        <v>0</v>
      </c>
      <c r="AD15" s="45">
        <v>0</v>
      </c>
      <c r="AE15" s="54">
        <f t="shared" si="8"/>
        <v>0</v>
      </c>
      <c r="AF15" s="43">
        <v>0</v>
      </c>
      <c r="AG15" s="36">
        <v>0</v>
      </c>
      <c r="AH15" s="54">
        <f t="shared" si="9"/>
        <v>0</v>
      </c>
      <c r="AI15" s="46">
        <v>0</v>
      </c>
      <c r="AJ15" s="46">
        <v>0</v>
      </c>
      <c r="AK15" s="47">
        <v>0</v>
      </c>
      <c r="AL15" s="47">
        <v>0</v>
      </c>
      <c r="AM15" s="58">
        <f t="shared" si="10"/>
        <v>0</v>
      </c>
      <c r="AN15" s="58">
        <f t="shared" si="11"/>
        <v>0</v>
      </c>
    </row>
    <row r="16" spans="1:40">
      <c r="A16" s="23">
        <v>10016</v>
      </c>
      <c r="B16" s="23" t="s">
        <v>3998</v>
      </c>
      <c r="C16" s="43">
        <v>1</v>
      </c>
      <c r="D16" s="36">
        <v>1</v>
      </c>
      <c r="E16" s="52">
        <f t="shared" si="0"/>
        <v>1</v>
      </c>
      <c r="F16" s="37">
        <v>3</v>
      </c>
      <c r="G16" s="37">
        <v>1</v>
      </c>
      <c r="H16" s="38">
        <v>1</v>
      </c>
      <c r="I16" s="38">
        <v>1</v>
      </c>
      <c r="J16" s="49">
        <f t="shared" si="1"/>
        <v>2</v>
      </c>
      <c r="K16" s="49">
        <f t="shared" si="2"/>
        <v>1</v>
      </c>
      <c r="L16" s="44">
        <v>0</v>
      </c>
      <c r="M16" s="44">
        <v>1</v>
      </c>
      <c r="N16" s="45">
        <v>0</v>
      </c>
      <c r="O16" s="45">
        <v>1</v>
      </c>
      <c r="P16" s="54">
        <f t="shared" si="3"/>
        <v>0</v>
      </c>
      <c r="Q16" s="54">
        <f t="shared" si="4"/>
        <v>1</v>
      </c>
      <c r="R16" s="46">
        <v>0</v>
      </c>
      <c r="S16" s="47">
        <v>0</v>
      </c>
      <c r="T16" s="57">
        <f t="shared" si="5"/>
        <v>0</v>
      </c>
      <c r="U16" s="37">
        <v>1</v>
      </c>
      <c r="V16" s="37">
        <v>1</v>
      </c>
      <c r="W16" s="37">
        <v>2</v>
      </c>
      <c r="X16" s="38">
        <v>1</v>
      </c>
      <c r="Y16" s="38">
        <v>0</v>
      </c>
      <c r="Z16" s="38">
        <v>2</v>
      </c>
      <c r="AA16" s="49">
        <f t="shared" si="6"/>
        <v>1</v>
      </c>
      <c r="AB16" s="49">
        <f t="shared" si="7"/>
        <v>2</v>
      </c>
      <c r="AC16" s="44">
        <v>0</v>
      </c>
      <c r="AD16" s="45">
        <v>0</v>
      </c>
      <c r="AE16" s="54">
        <f t="shared" si="8"/>
        <v>0</v>
      </c>
      <c r="AF16" s="36">
        <v>1</v>
      </c>
      <c r="AG16" s="36">
        <v>1</v>
      </c>
      <c r="AH16" s="54">
        <f t="shared" si="9"/>
        <v>1</v>
      </c>
      <c r="AI16" s="46">
        <v>0</v>
      </c>
      <c r="AJ16" s="46">
        <v>0</v>
      </c>
      <c r="AK16" s="47">
        <v>2</v>
      </c>
      <c r="AL16" s="47">
        <v>0</v>
      </c>
      <c r="AM16" s="58">
        <f t="shared" si="10"/>
        <v>1</v>
      </c>
      <c r="AN16" s="58">
        <f t="shared" si="11"/>
        <v>0</v>
      </c>
    </row>
    <row r="17" spans="1:40">
      <c r="A17" s="23">
        <v>10017</v>
      </c>
      <c r="B17" s="23" t="s">
        <v>3976</v>
      </c>
      <c r="C17" s="43">
        <v>3</v>
      </c>
      <c r="D17" s="36">
        <v>3</v>
      </c>
      <c r="E17" s="52">
        <f t="shared" si="0"/>
        <v>3</v>
      </c>
      <c r="F17" s="37">
        <v>3</v>
      </c>
      <c r="G17" s="37">
        <v>0</v>
      </c>
      <c r="H17" s="38">
        <v>3</v>
      </c>
      <c r="I17" s="38">
        <v>1</v>
      </c>
      <c r="J17" s="49">
        <f t="shared" si="1"/>
        <v>3</v>
      </c>
      <c r="K17" s="49">
        <f t="shared" si="2"/>
        <v>0.5</v>
      </c>
      <c r="L17" s="44">
        <v>2</v>
      </c>
      <c r="M17" s="44">
        <v>1</v>
      </c>
      <c r="N17" s="45">
        <v>2</v>
      </c>
      <c r="O17" s="45">
        <v>0</v>
      </c>
      <c r="P17" s="54">
        <f t="shared" si="3"/>
        <v>2</v>
      </c>
      <c r="Q17" s="54">
        <f t="shared" si="4"/>
        <v>0.5</v>
      </c>
      <c r="R17" s="46">
        <v>0</v>
      </c>
      <c r="S17" s="47">
        <v>0</v>
      </c>
      <c r="T17" s="57">
        <f t="shared" si="5"/>
        <v>0</v>
      </c>
      <c r="U17" s="37">
        <v>2</v>
      </c>
      <c r="V17" s="37">
        <v>1</v>
      </c>
      <c r="W17" s="37">
        <v>1</v>
      </c>
      <c r="X17" s="38">
        <v>2</v>
      </c>
      <c r="Y17" s="38">
        <v>0</v>
      </c>
      <c r="Z17" s="38">
        <v>1</v>
      </c>
      <c r="AA17" s="49">
        <f t="shared" si="6"/>
        <v>2</v>
      </c>
      <c r="AB17" s="49">
        <f t="shared" si="7"/>
        <v>1</v>
      </c>
      <c r="AC17" s="44">
        <v>1</v>
      </c>
      <c r="AD17" s="45">
        <v>0</v>
      </c>
      <c r="AE17" s="54">
        <f t="shared" si="8"/>
        <v>0.5</v>
      </c>
      <c r="AF17" s="36">
        <v>1</v>
      </c>
      <c r="AG17" s="36">
        <v>1</v>
      </c>
      <c r="AH17" s="54">
        <f t="shared" si="9"/>
        <v>1</v>
      </c>
      <c r="AI17" s="46">
        <v>1</v>
      </c>
      <c r="AJ17" s="46">
        <v>0</v>
      </c>
      <c r="AK17" s="47">
        <v>1</v>
      </c>
      <c r="AL17" s="47">
        <v>0</v>
      </c>
      <c r="AM17" s="58">
        <f t="shared" si="10"/>
        <v>1</v>
      </c>
      <c r="AN17" s="58">
        <f t="shared" si="11"/>
        <v>0</v>
      </c>
    </row>
    <row r="18" spans="1:40">
      <c r="A18" s="23">
        <v>10018</v>
      </c>
      <c r="B18" s="23" t="s">
        <v>3847</v>
      </c>
      <c r="C18" s="43">
        <v>3</v>
      </c>
      <c r="D18" s="36">
        <v>3</v>
      </c>
      <c r="E18" s="52">
        <f t="shared" si="0"/>
        <v>3</v>
      </c>
      <c r="F18" s="37">
        <v>3</v>
      </c>
      <c r="G18" s="37">
        <v>1</v>
      </c>
      <c r="H18" s="38">
        <v>1</v>
      </c>
      <c r="I18" s="38">
        <v>1</v>
      </c>
      <c r="J18" s="49">
        <f t="shared" si="1"/>
        <v>2</v>
      </c>
      <c r="K18" s="49">
        <f t="shared" si="2"/>
        <v>1</v>
      </c>
      <c r="L18" s="44">
        <v>3</v>
      </c>
      <c r="M18" s="44">
        <v>1</v>
      </c>
      <c r="N18" s="45">
        <v>2</v>
      </c>
      <c r="O18" s="45">
        <v>1</v>
      </c>
      <c r="P18" s="54">
        <f t="shared" si="3"/>
        <v>2.5</v>
      </c>
      <c r="Q18" s="54">
        <f t="shared" si="4"/>
        <v>1</v>
      </c>
      <c r="R18" s="46">
        <v>0</v>
      </c>
      <c r="S18" s="47">
        <v>0</v>
      </c>
      <c r="T18" s="57">
        <f t="shared" si="5"/>
        <v>0</v>
      </c>
      <c r="U18" s="37">
        <v>2</v>
      </c>
      <c r="V18" s="37">
        <v>1</v>
      </c>
      <c r="W18" s="37">
        <v>2</v>
      </c>
      <c r="X18" s="38">
        <v>2</v>
      </c>
      <c r="Y18" s="38">
        <v>0</v>
      </c>
      <c r="Z18" s="38">
        <v>2</v>
      </c>
      <c r="AA18" s="49">
        <f t="shared" si="6"/>
        <v>2</v>
      </c>
      <c r="AB18" s="49">
        <f t="shared" si="7"/>
        <v>2</v>
      </c>
      <c r="AC18" s="44">
        <v>0</v>
      </c>
      <c r="AD18" s="45">
        <v>0</v>
      </c>
      <c r="AE18" s="54">
        <f t="shared" si="8"/>
        <v>0</v>
      </c>
      <c r="AF18" s="36">
        <v>1</v>
      </c>
      <c r="AG18" s="36">
        <v>0</v>
      </c>
      <c r="AH18" s="54">
        <f t="shared" si="9"/>
        <v>0.5</v>
      </c>
      <c r="AI18" s="46">
        <v>1</v>
      </c>
      <c r="AJ18" s="46">
        <v>1</v>
      </c>
      <c r="AK18" s="47">
        <v>1</v>
      </c>
      <c r="AL18" s="47">
        <v>0</v>
      </c>
      <c r="AM18" s="58">
        <f t="shared" si="10"/>
        <v>1</v>
      </c>
      <c r="AN18" s="58">
        <f t="shared" si="11"/>
        <v>0.5</v>
      </c>
    </row>
    <row r="19" spans="1:40">
      <c r="A19" s="23">
        <v>10019</v>
      </c>
      <c r="B19" s="23" t="s">
        <v>3849</v>
      </c>
      <c r="C19" s="43">
        <v>2</v>
      </c>
      <c r="D19" s="36">
        <v>1</v>
      </c>
      <c r="E19" s="52">
        <f t="shared" si="0"/>
        <v>1.5</v>
      </c>
      <c r="F19" s="37">
        <v>3</v>
      </c>
      <c r="G19" s="37">
        <v>2</v>
      </c>
      <c r="H19" s="38">
        <v>2</v>
      </c>
      <c r="I19" s="38">
        <v>2</v>
      </c>
      <c r="J19" s="49">
        <f t="shared" si="1"/>
        <v>2.5</v>
      </c>
      <c r="K19" s="49">
        <f t="shared" si="2"/>
        <v>2</v>
      </c>
      <c r="L19" s="44">
        <v>3</v>
      </c>
      <c r="M19" s="44">
        <v>1</v>
      </c>
      <c r="N19" s="45">
        <v>1</v>
      </c>
      <c r="O19" s="45">
        <v>1</v>
      </c>
      <c r="P19" s="54">
        <f t="shared" si="3"/>
        <v>2</v>
      </c>
      <c r="Q19" s="54">
        <f t="shared" si="4"/>
        <v>1</v>
      </c>
      <c r="R19" s="46">
        <v>2</v>
      </c>
      <c r="S19" s="47">
        <v>2</v>
      </c>
      <c r="T19" s="57">
        <f t="shared" si="5"/>
        <v>2</v>
      </c>
      <c r="U19" s="37">
        <v>3</v>
      </c>
      <c r="V19" s="37">
        <v>0</v>
      </c>
      <c r="W19" s="37">
        <v>2</v>
      </c>
      <c r="X19" s="38">
        <v>3</v>
      </c>
      <c r="Y19" s="38">
        <v>0</v>
      </c>
      <c r="Z19" s="38">
        <v>2</v>
      </c>
      <c r="AA19" s="49">
        <f t="shared" si="6"/>
        <v>3</v>
      </c>
      <c r="AB19" s="49">
        <f t="shared" si="7"/>
        <v>2</v>
      </c>
      <c r="AC19" s="44">
        <v>2</v>
      </c>
      <c r="AD19" s="45">
        <v>2</v>
      </c>
      <c r="AE19" s="54">
        <f t="shared" si="8"/>
        <v>2</v>
      </c>
      <c r="AF19" s="36">
        <v>2</v>
      </c>
      <c r="AG19" s="36">
        <v>2</v>
      </c>
      <c r="AH19" s="54">
        <f t="shared" si="9"/>
        <v>2</v>
      </c>
      <c r="AI19" s="46">
        <v>2</v>
      </c>
      <c r="AJ19" s="46">
        <v>0</v>
      </c>
      <c r="AK19" s="47">
        <v>2</v>
      </c>
      <c r="AL19" s="47">
        <v>0</v>
      </c>
      <c r="AM19" s="58">
        <f t="shared" si="10"/>
        <v>2</v>
      </c>
      <c r="AN19" s="58">
        <f t="shared" si="11"/>
        <v>0</v>
      </c>
    </row>
    <row r="20" spans="1:40">
      <c r="A20" s="23">
        <v>10020</v>
      </c>
      <c r="B20" s="23" t="s">
        <v>3898</v>
      </c>
      <c r="C20" s="43">
        <v>3</v>
      </c>
      <c r="D20" s="36">
        <v>3</v>
      </c>
      <c r="E20" s="52">
        <f t="shared" si="0"/>
        <v>3</v>
      </c>
      <c r="F20" s="37">
        <v>2</v>
      </c>
      <c r="G20" s="37">
        <v>2</v>
      </c>
      <c r="H20" s="38">
        <v>1</v>
      </c>
      <c r="I20" s="38">
        <v>1</v>
      </c>
      <c r="J20" s="49">
        <f t="shared" si="1"/>
        <v>1.5</v>
      </c>
      <c r="K20" s="49">
        <f t="shared" si="2"/>
        <v>1.5</v>
      </c>
      <c r="L20" s="44">
        <v>2</v>
      </c>
      <c r="M20" s="44">
        <v>2</v>
      </c>
      <c r="N20" s="45">
        <v>2</v>
      </c>
      <c r="O20" s="45">
        <v>1</v>
      </c>
      <c r="P20" s="54">
        <f t="shared" si="3"/>
        <v>2</v>
      </c>
      <c r="Q20" s="54">
        <f t="shared" si="4"/>
        <v>1.5</v>
      </c>
      <c r="R20" s="46">
        <v>2</v>
      </c>
      <c r="S20" s="47">
        <v>0</v>
      </c>
      <c r="T20" s="57">
        <f t="shared" si="5"/>
        <v>1</v>
      </c>
      <c r="U20" s="37">
        <v>0</v>
      </c>
      <c r="V20" s="37">
        <v>1</v>
      </c>
      <c r="W20" s="37">
        <v>2</v>
      </c>
      <c r="X20" s="38">
        <v>0</v>
      </c>
      <c r="Y20" s="38">
        <v>0</v>
      </c>
      <c r="Z20" s="38">
        <v>2</v>
      </c>
      <c r="AA20" s="49">
        <f t="shared" si="6"/>
        <v>0</v>
      </c>
      <c r="AB20" s="49">
        <f t="shared" si="7"/>
        <v>2</v>
      </c>
      <c r="AC20" s="44">
        <v>1</v>
      </c>
      <c r="AD20" s="45">
        <v>0</v>
      </c>
      <c r="AE20" s="54">
        <f t="shared" si="8"/>
        <v>0.5</v>
      </c>
      <c r="AF20" s="36">
        <v>1</v>
      </c>
      <c r="AG20" s="36">
        <v>1</v>
      </c>
      <c r="AH20" s="54">
        <f t="shared" si="9"/>
        <v>1</v>
      </c>
      <c r="AI20" s="46">
        <v>0</v>
      </c>
      <c r="AJ20" s="46">
        <v>0</v>
      </c>
      <c r="AK20" s="47">
        <v>0</v>
      </c>
      <c r="AL20" s="47">
        <v>0</v>
      </c>
      <c r="AM20" s="58">
        <f t="shared" si="10"/>
        <v>0</v>
      </c>
      <c r="AN20" s="58">
        <f t="shared" si="11"/>
        <v>0</v>
      </c>
    </row>
    <row r="21" spans="1:40">
      <c r="A21" s="23">
        <v>10022</v>
      </c>
      <c r="B21" s="23" t="s">
        <v>3877</v>
      </c>
      <c r="C21" s="43">
        <v>2</v>
      </c>
      <c r="D21" s="36">
        <v>3</v>
      </c>
      <c r="E21" s="52">
        <f t="shared" si="0"/>
        <v>2.5</v>
      </c>
      <c r="F21" s="37">
        <v>1</v>
      </c>
      <c r="G21" s="37">
        <v>1</v>
      </c>
      <c r="H21" s="38">
        <v>0</v>
      </c>
      <c r="I21" s="38">
        <v>1</v>
      </c>
      <c r="J21" s="49">
        <f t="shared" si="1"/>
        <v>0.5</v>
      </c>
      <c r="K21" s="49">
        <f t="shared" si="2"/>
        <v>1</v>
      </c>
      <c r="L21" s="44">
        <v>3</v>
      </c>
      <c r="M21" s="44">
        <v>1</v>
      </c>
      <c r="N21" s="45">
        <v>1</v>
      </c>
      <c r="O21" s="45">
        <v>1</v>
      </c>
      <c r="P21" s="54">
        <f t="shared" si="3"/>
        <v>2</v>
      </c>
      <c r="Q21" s="54">
        <f t="shared" si="4"/>
        <v>1</v>
      </c>
      <c r="R21" s="46">
        <v>0</v>
      </c>
      <c r="S21" s="47">
        <v>0</v>
      </c>
      <c r="T21" s="57">
        <f t="shared" si="5"/>
        <v>0</v>
      </c>
      <c r="U21" s="37">
        <v>3</v>
      </c>
      <c r="V21" s="37">
        <v>3</v>
      </c>
      <c r="W21" s="37">
        <v>1</v>
      </c>
      <c r="X21" s="38">
        <v>3</v>
      </c>
      <c r="Y21" s="38">
        <v>2</v>
      </c>
      <c r="Z21" s="38">
        <v>0</v>
      </c>
      <c r="AA21" s="49">
        <f t="shared" si="6"/>
        <v>3</v>
      </c>
      <c r="AB21" s="49">
        <f t="shared" si="7"/>
        <v>0.5</v>
      </c>
      <c r="AC21" s="44">
        <v>0</v>
      </c>
      <c r="AD21" s="45">
        <v>0</v>
      </c>
      <c r="AE21" s="54">
        <f t="shared" si="8"/>
        <v>0</v>
      </c>
      <c r="AF21" s="43">
        <v>1</v>
      </c>
      <c r="AG21" s="36">
        <v>0</v>
      </c>
      <c r="AH21" s="54">
        <f t="shared" si="9"/>
        <v>0.5</v>
      </c>
      <c r="AI21" s="46">
        <v>2</v>
      </c>
      <c r="AJ21" s="46">
        <v>1</v>
      </c>
      <c r="AK21" s="47">
        <v>2</v>
      </c>
      <c r="AL21" s="47">
        <v>0</v>
      </c>
      <c r="AM21" s="58">
        <f t="shared" si="10"/>
        <v>2</v>
      </c>
      <c r="AN21" s="58">
        <f t="shared" si="11"/>
        <v>0.5</v>
      </c>
    </row>
    <row r="22" spans="1:40">
      <c r="A22" s="23">
        <v>10023</v>
      </c>
      <c r="B22" s="23" t="s">
        <v>3900</v>
      </c>
      <c r="C22" s="43">
        <v>3</v>
      </c>
      <c r="D22" s="36">
        <v>3</v>
      </c>
      <c r="E22" s="52">
        <f t="shared" si="0"/>
        <v>3</v>
      </c>
      <c r="F22" s="37">
        <v>3</v>
      </c>
      <c r="G22" s="37">
        <v>2</v>
      </c>
      <c r="H22" s="38">
        <v>2</v>
      </c>
      <c r="I22" s="38">
        <v>2</v>
      </c>
      <c r="J22" s="49">
        <f t="shared" si="1"/>
        <v>2.5</v>
      </c>
      <c r="K22" s="49">
        <f t="shared" si="2"/>
        <v>2</v>
      </c>
      <c r="L22" s="44">
        <v>3</v>
      </c>
      <c r="M22" s="44">
        <v>2</v>
      </c>
      <c r="N22" s="45">
        <v>3</v>
      </c>
      <c r="O22" s="45">
        <v>1</v>
      </c>
      <c r="P22" s="54">
        <f t="shared" si="3"/>
        <v>3</v>
      </c>
      <c r="Q22" s="54">
        <f t="shared" si="4"/>
        <v>1.5</v>
      </c>
      <c r="R22" s="46">
        <v>2</v>
      </c>
      <c r="S22" s="47">
        <v>2</v>
      </c>
      <c r="T22" s="57">
        <f t="shared" si="5"/>
        <v>2</v>
      </c>
      <c r="U22" s="37">
        <v>3</v>
      </c>
      <c r="V22" s="37">
        <v>0</v>
      </c>
      <c r="W22" s="37">
        <v>2</v>
      </c>
      <c r="X22" s="38">
        <v>3</v>
      </c>
      <c r="Y22" s="38">
        <v>0</v>
      </c>
      <c r="Z22" s="38">
        <v>2</v>
      </c>
      <c r="AA22" s="49">
        <f t="shared" si="6"/>
        <v>3</v>
      </c>
      <c r="AB22" s="49">
        <f t="shared" si="7"/>
        <v>2</v>
      </c>
      <c r="AC22" s="44">
        <v>2</v>
      </c>
      <c r="AD22" s="45">
        <v>2</v>
      </c>
      <c r="AE22" s="54">
        <f t="shared" si="8"/>
        <v>2</v>
      </c>
      <c r="AF22" s="36">
        <v>2</v>
      </c>
      <c r="AG22" s="36">
        <v>2</v>
      </c>
      <c r="AH22" s="54">
        <f t="shared" si="9"/>
        <v>2</v>
      </c>
      <c r="AI22" s="46">
        <v>0</v>
      </c>
      <c r="AJ22" s="46">
        <v>0</v>
      </c>
      <c r="AK22" s="47">
        <v>0</v>
      </c>
      <c r="AL22" s="47">
        <v>0</v>
      </c>
      <c r="AM22" s="58">
        <f t="shared" si="10"/>
        <v>0</v>
      </c>
      <c r="AN22" s="58">
        <f t="shared" si="11"/>
        <v>0</v>
      </c>
    </row>
    <row r="23" spans="1:40">
      <c r="A23" s="23">
        <v>10024</v>
      </c>
      <c r="B23" s="23" t="s">
        <v>4010</v>
      </c>
      <c r="C23" s="43">
        <v>0</v>
      </c>
      <c r="D23" s="36">
        <v>0</v>
      </c>
      <c r="E23" s="52">
        <f t="shared" si="0"/>
        <v>0</v>
      </c>
      <c r="F23" s="37">
        <v>1</v>
      </c>
      <c r="G23" s="37">
        <v>0</v>
      </c>
      <c r="H23" s="38">
        <v>0</v>
      </c>
      <c r="I23" s="38">
        <v>0</v>
      </c>
      <c r="J23" s="49">
        <f t="shared" si="1"/>
        <v>0.5</v>
      </c>
      <c r="K23" s="49">
        <f t="shared" si="2"/>
        <v>0</v>
      </c>
      <c r="L23" s="44">
        <v>0</v>
      </c>
      <c r="M23" s="44">
        <v>0</v>
      </c>
      <c r="N23" s="45">
        <v>0</v>
      </c>
      <c r="O23" s="45">
        <v>0</v>
      </c>
      <c r="P23" s="54">
        <f t="shared" si="3"/>
        <v>0</v>
      </c>
      <c r="Q23" s="54">
        <f t="shared" si="4"/>
        <v>0</v>
      </c>
      <c r="R23" s="46">
        <v>0</v>
      </c>
      <c r="S23" s="47">
        <v>0</v>
      </c>
      <c r="T23" s="57">
        <f t="shared" si="5"/>
        <v>0</v>
      </c>
      <c r="U23" s="37">
        <v>2</v>
      </c>
      <c r="V23" s="37">
        <v>1</v>
      </c>
      <c r="W23" s="37">
        <v>0</v>
      </c>
      <c r="X23" s="38">
        <v>1</v>
      </c>
      <c r="Y23" s="38">
        <v>0</v>
      </c>
      <c r="Z23" s="38">
        <v>0</v>
      </c>
      <c r="AA23" s="49">
        <f t="shared" si="6"/>
        <v>1.5</v>
      </c>
      <c r="AB23" s="49">
        <f t="shared" si="7"/>
        <v>0</v>
      </c>
      <c r="AC23" s="44">
        <v>0</v>
      </c>
      <c r="AD23" s="45">
        <v>0</v>
      </c>
      <c r="AE23" s="54">
        <f t="shared" si="8"/>
        <v>0</v>
      </c>
      <c r="AF23" s="36">
        <v>1</v>
      </c>
      <c r="AG23" s="36">
        <v>1</v>
      </c>
      <c r="AH23" s="54">
        <f t="shared" si="9"/>
        <v>1</v>
      </c>
      <c r="AI23" s="46">
        <v>0</v>
      </c>
      <c r="AJ23" s="46">
        <v>0</v>
      </c>
      <c r="AK23" s="47">
        <v>0</v>
      </c>
      <c r="AL23" s="47">
        <v>0</v>
      </c>
      <c r="AM23" s="58">
        <f t="shared" si="10"/>
        <v>0</v>
      </c>
      <c r="AN23" s="58">
        <f t="shared" si="11"/>
        <v>0</v>
      </c>
    </row>
    <row r="24" spans="1:40">
      <c r="A24" s="23">
        <v>10025</v>
      </c>
      <c r="B24" s="23" t="s">
        <v>3942</v>
      </c>
      <c r="C24" s="43">
        <v>2</v>
      </c>
      <c r="D24" s="36">
        <v>1</v>
      </c>
      <c r="E24" s="52">
        <f t="shared" si="0"/>
        <v>1.5</v>
      </c>
      <c r="F24" s="37">
        <v>1</v>
      </c>
      <c r="G24" s="37">
        <v>1</v>
      </c>
      <c r="H24" s="38">
        <v>0</v>
      </c>
      <c r="I24" s="38">
        <v>1</v>
      </c>
      <c r="J24" s="49">
        <f t="shared" si="1"/>
        <v>0.5</v>
      </c>
      <c r="K24" s="49">
        <f t="shared" si="2"/>
        <v>1</v>
      </c>
      <c r="L24" s="44">
        <v>3</v>
      </c>
      <c r="M24" s="44">
        <v>2</v>
      </c>
      <c r="N24" s="45">
        <v>2</v>
      </c>
      <c r="O24" s="45">
        <v>0</v>
      </c>
      <c r="P24" s="54">
        <f t="shared" si="3"/>
        <v>2.5</v>
      </c>
      <c r="Q24" s="54">
        <f t="shared" si="4"/>
        <v>1</v>
      </c>
      <c r="R24" s="46">
        <v>0</v>
      </c>
      <c r="S24" s="47">
        <v>0</v>
      </c>
      <c r="T24" s="57">
        <f t="shared" si="5"/>
        <v>0</v>
      </c>
      <c r="U24" s="37">
        <v>3</v>
      </c>
      <c r="V24" s="37">
        <v>1</v>
      </c>
      <c r="W24" s="37">
        <v>1</v>
      </c>
      <c r="X24" s="38">
        <v>1</v>
      </c>
      <c r="Y24" s="38">
        <v>0</v>
      </c>
      <c r="Z24" s="38">
        <v>2</v>
      </c>
      <c r="AA24" s="49">
        <f t="shared" si="6"/>
        <v>2</v>
      </c>
      <c r="AB24" s="49">
        <f t="shared" si="7"/>
        <v>1.5</v>
      </c>
      <c r="AC24" s="44">
        <v>1</v>
      </c>
      <c r="AD24" s="45">
        <v>0</v>
      </c>
      <c r="AE24" s="54">
        <f t="shared" si="8"/>
        <v>0.5</v>
      </c>
      <c r="AF24" s="36">
        <v>1</v>
      </c>
      <c r="AG24" s="36">
        <v>1</v>
      </c>
      <c r="AH24" s="54">
        <f t="shared" si="9"/>
        <v>1</v>
      </c>
      <c r="AI24" s="46">
        <v>1</v>
      </c>
      <c r="AJ24" s="46">
        <v>0</v>
      </c>
      <c r="AK24" s="47">
        <v>1</v>
      </c>
      <c r="AL24" s="47">
        <v>0</v>
      </c>
      <c r="AM24" s="58">
        <f t="shared" si="10"/>
        <v>1</v>
      </c>
      <c r="AN24" s="58">
        <f t="shared" si="11"/>
        <v>0</v>
      </c>
    </row>
    <row r="25" spans="1:40">
      <c r="A25" s="23">
        <v>10026</v>
      </c>
      <c r="B25" s="23" t="s">
        <v>3754</v>
      </c>
      <c r="C25" s="43">
        <v>3</v>
      </c>
      <c r="D25" s="36">
        <v>3</v>
      </c>
      <c r="E25" s="52">
        <f t="shared" si="0"/>
        <v>3</v>
      </c>
      <c r="F25" s="37">
        <v>3</v>
      </c>
      <c r="G25" s="37">
        <v>1</v>
      </c>
      <c r="H25" s="38">
        <v>1</v>
      </c>
      <c r="I25" s="38">
        <v>2</v>
      </c>
      <c r="J25" s="49">
        <f t="shared" si="1"/>
        <v>2</v>
      </c>
      <c r="K25" s="49">
        <f t="shared" si="2"/>
        <v>1.5</v>
      </c>
      <c r="L25" s="44">
        <v>3</v>
      </c>
      <c r="M25" s="44">
        <v>2</v>
      </c>
      <c r="N25" s="45">
        <v>3</v>
      </c>
      <c r="O25" s="45">
        <v>2</v>
      </c>
      <c r="P25" s="54">
        <f t="shared" si="3"/>
        <v>3</v>
      </c>
      <c r="Q25" s="54">
        <f t="shared" si="4"/>
        <v>2</v>
      </c>
      <c r="R25" s="46">
        <v>2</v>
      </c>
      <c r="S25" s="47">
        <v>0</v>
      </c>
      <c r="T25" s="57">
        <f t="shared" si="5"/>
        <v>1</v>
      </c>
      <c r="U25" s="37">
        <v>0</v>
      </c>
      <c r="V25" s="37">
        <v>0</v>
      </c>
      <c r="W25" s="37">
        <v>0</v>
      </c>
      <c r="X25" s="38">
        <v>0</v>
      </c>
      <c r="Y25" s="38">
        <v>0</v>
      </c>
      <c r="Z25" s="38">
        <v>0</v>
      </c>
      <c r="AA25" s="49">
        <f t="shared" si="6"/>
        <v>0</v>
      </c>
      <c r="AB25" s="49">
        <f t="shared" si="7"/>
        <v>0</v>
      </c>
      <c r="AC25" s="44">
        <v>0</v>
      </c>
      <c r="AD25" s="45">
        <v>0</v>
      </c>
      <c r="AE25" s="54">
        <f t="shared" si="8"/>
        <v>0</v>
      </c>
      <c r="AF25" s="36">
        <v>1</v>
      </c>
      <c r="AG25" s="36">
        <v>1</v>
      </c>
      <c r="AH25" s="54">
        <f t="shared" si="9"/>
        <v>1</v>
      </c>
      <c r="AI25" s="46">
        <v>1</v>
      </c>
      <c r="AJ25" s="46">
        <v>0</v>
      </c>
      <c r="AK25" s="47">
        <v>1</v>
      </c>
      <c r="AL25" s="47">
        <v>0</v>
      </c>
      <c r="AM25" s="58">
        <f t="shared" si="10"/>
        <v>1</v>
      </c>
      <c r="AN25" s="58">
        <f t="shared" si="11"/>
        <v>0</v>
      </c>
    </row>
    <row r="26" spans="1:40">
      <c r="A26" s="23">
        <v>10027</v>
      </c>
      <c r="B26" s="23" t="s">
        <v>3921</v>
      </c>
      <c r="C26" s="43">
        <v>3</v>
      </c>
      <c r="D26" s="36">
        <v>3</v>
      </c>
      <c r="E26" s="52">
        <f t="shared" si="0"/>
        <v>3</v>
      </c>
      <c r="F26" s="37">
        <v>0</v>
      </c>
      <c r="G26" s="37">
        <v>1</v>
      </c>
      <c r="H26" s="38">
        <v>0</v>
      </c>
      <c r="I26" s="38">
        <v>1</v>
      </c>
      <c r="J26" s="49">
        <f t="shared" si="1"/>
        <v>0</v>
      </c>
      <c r="K26" s="49">
        <f t="shared" si="2"/>
        <v>1</v>
      </c>
      <c r="L26" s="44">
        <v>0</v>
      </c>
      <c r="M26" s="44">
        <v>0</v>
      </c>
      <c r="N26" s="45">
        <v>0</v>
      </c>
      <c r="O26" s="45">
        <v>0</v>
      </c>
      <c r="P26" s="54">
        <f t="shared" si="3"/>
        <v>0</v>
      </c>
      <c r="Q26" s="54">
        <f t="shared" si="4"/>
        <v>0</v>
      </c>
      <c r="R26" s="46">
        <v>1</v>
      </c>
      <c r="S26" s="47">
        <v>1</v>
      </c>
      <c r="T26" s="57">
        <f t="shared" si="5"/>
        <v>1</v>
      </c>
      <c r="U26" s="37">
        <v>1</v>
      </c>
      <c r="V26" s="37">
        <v>2</v>
      </c>
      <c r="W26" s="37">
        <v>2</v>
      </c>
      <c r="X26" s="38">
        <v>0</v>
      </c>
      <c r="Y26" s="38">
        <v>0</v>
      </c>
      <c r="Z26" s="38">
        <v>2</v>
      </c>
      <c r="AA26" s="49">
        <f t="shared" si="6"/>
        <v>0.5</v>
      </c>
      <c r="AB26" s="49">
        <f t="shared" si="7"/>
        <v>2</v>
      </c>
      <c r="AC26" s="44">
        <v>1</v>
      </c>
      <c r="AD26" s="45">
        <v>1</v>
      </c>
      <c r="AE26" s="54">
        <f t="shared" si="8"/>
        <v>1</v>
      </c>
      <c r="AF26" s="43">
        <v>1</v>
      </c>
      <c r="AG26" s="36">
        <v>1</v>
      </c>
      <c r="AH26" s="54">
        <f t="shared" si="9"/>
        <v>1</v>
      </c>
      <c r="AI26" s="46">
        <v>0</v>
      </c>
      <c r="AJ26" s="46">
        <v>0</v>
      </c>
      <c r="AK26" s="47">
        <v>0</v>
      </c>
      <c r="AL26" s="47">
        <v>0</v>
      </c>
      <c r="AM26" s="58">
        <f t="shared" si="10"/>
        <v>0</v>
      </c>
      <c r="AN26" s="58">
        <f t="shared" si="11"/>
        <v>0</v>
      </c>
    </row>
    <row r="27" spans="1:40">
      <c r="A27" s="23">
        <v>10028</v>
      </c>
      <c r="B27" s="23" t="s">
        <v>4011</v>
      </c>
      <c r="C27" s="43">
        <v>3</v>
      </c>
      <c r="D27" s="36">
        <v>3</v>
      </c>
      <c r="E27" s="52">
        <f t="shared" si="0"/>
        <v>3</v>
      </c>
      <c r="F27" s="37">
        <v>3</v>
      </c>
      <c r="G27" s="37">
        <v>1</v>
      </c>
      <c r="H27" s="38">
        <v>2</v>
      </c>
      <c r="I27" s="38">
        <v>1</v>
      </c>
      <c r="J27" s="49">
        <f t="shared" si="1"/>
        <v>2.5</v>
      </c>
      <c r="K27" s="49">
        <f t="shared" si="2"/>
        <v>1</v>
      </c>
      <c r="L27" s="44">
        <v>3</v>
      </c>
      <c r="M27" s="44">
        <v>1</v>
      </c>
      <c r="N27" s="45">
        <v>2</v>
      </c>
      <c r="O27" s="45">
        <v>1</v>
      </c>
      <c r="P27" s="54">
        <f t="shared" si="3"/>
        <v>2.5</v>
      </c>
      <c r="Q27" s="54">
        <f t="shared" si="4"/>
        <v>1</v>
      </c>
      <c r="R27" s="46">
        <v>0</v>
      </c>
      <c r="S27" s="47">
        <v>0</v>
      </c>
      <c r="T27" s="57">
        <f t="shared" si="5"/>
        <v>0</v>
      </c>
      <c r="U27" s="37">
        <v>1</v>
      </c>
      <c r="V27" s="37">
        <v>1</v>
      </c>
      <c r="W27" s="37">
        <v>2</v>
      </c>
      <c r="X27" s="38">
        <v>1</v>
      </c>
      <c r="Y27" s="38">
        <v>0</v>
      </c>
      <c r="Z27" s="38">
        <v>2</v>
      </c>
      <c r="AA27" s="49">
        <f t="shared" si="6"/>
        <v>1</v>
      </c>
      <c r="AB27" s="49">
        <f t="shared" si="7"/>
        <v>2</v>
      </c>
      <c r="AC27" s="44">
        <v>0</v>
      </c>
      <c r="AD27" s="45">
        <v>0</v>
      </c>
      <c r="AE27" s="54">
        <f t="shared" si="8"/>
        <v>0</v>
      </c>
      <c r="AF27" s="43">
        <v>1</v>
      </c>
      <c r="AG27" s="36">
        <v>1</v>
      </c>
      <c r="AH27" s="54">
        <f t="shared" si="9"/>
        <v>1</v>
      </c>
      <c r="AI27" s="46">
        <v>2</v>
      </c>
      <c r="AJ27" s="46">
        <v>0</v>
      </c>
      <c r="AK27" s="47">
        <v>2</v>
      </c>
      <c r="AL27" s="47">
        <v>0</v>
      </c>
      <c r="AM27" s="58">
        <f t="shared" si="10"/>
        <v>2</v>
      </c>
      <c r="AN27" s="58">
        <f t="shared" si="11"/>
        <v>0</v>
      </c>
    </row>
    <row r="28" spans="1:40">
      <c r="A28" s="23">
        <v>10029</v>
      </c>
      <c r="B28" s="23" t="s">
        <v>3954</v>
      </c>
      <c r="C28" s="43">
        <v>0</v>
      </c>
      <c r="D28" s="36">
        <v>0</v>
      </c>
      <c r="E28" s="52">
        <f t="shared" si="0"/>
        <v>0</v>
      </c>
      <c r="F28" s="37">
        <v>3</v>
      </c>
      <c r="G28" s="37">
        <v>2</v>
      </c>
      <c r="H28" s="38">
        <v>1</v>
      </c>
      <c r="I28" s="38">
        <v>2</v>
      </c>
      <c r="J28" s="49">
        <f t="shared" si="1"/>
        <v>2</v>
      </c>
      <c r="K28" s="49">
        <f t="shared" si="2"/>
        <v>2</v>
      </c>
      <c r="L28" s="44">
        <v>0</v>
      </c>
      <c r="M28" s="44">
        <v>1</v>
      </c>
      <c r="N28" s="45">
        <v>0</v>
      </c>
      <c r="O28" s="45">
        <v>1</v>
      </c>
      <c r="P28" s="54">
        <f t="shared" si="3"/>
        <v>0</v>
      </c>
      <c r="Q28" s="54">
        <f t="shared" si="4"/>
        <v>1</v>
      </c>
      <c r="R28" s="46">
        <v>2</v>
      </c>
      <c r="S28" s="47">
        <v>2</v>
      </c>
      <c r="T28" s="57">
        <f t="shared" si="5"/>
        <v>2</v>
      </c>
      <c r="U28" s="37">
        <v>0</v>
      </c>
      <c r="V28" s="37">
        <v>0</v>
      </c>
      <c r="W28" s="37">
        <v>2</v>
      </c>
      <c r="X28" s="38">
        <v>0</v>
      </c>
      <c r="Y28" s="38">
        <v>0</v>
      </c>
      <c r="Z28" s="38">
        <v>2</v>
      </c>
      <c r="AA28" s="49">
        <f t="shared" si="6"/>
        <v>0</v>
      </c>
      <c r="AB28" s="49">
        <f t="shared" si="7"/>
        <v>2</v>
      </c>
      <c r="AC28" s="44">
        <v>0</v>
      </c>
      <c r="AD28" s="45">
        <v>0</v>
      </c>
      <c r="AE28" s="54">
        <f t="shared" si="8"/>
        <v>0</v>
      </c>
      <c r="AF28" s="43">
        <v>2</v>
      </c>
      <c r="AG28" s="36">
        <v>1</v>
      </c>
      <c r="AH28" s="54">
        <f t="shared" si="9"/>
        <v>1.5</v>
      </c>
      <c r="AI28" s="46">
        <v>2</v>
      </c>
      <c r="AJ28" s="46">
        <v>2</v>
      </c>
      <c r="AK28" s="47">
        <v>2</v>
      </c>
      <c r="AL28" s="47">
        <v>2</v>
      </c>
      <c r="AM28" s="58">
        <f t="shared" si="10"/>
        <v>2</v>
      </c>
      <c r="AN28" s="58">
        <f t="shared" si="11"/>
        <v>2</v>
      </c>
    </row>
    <row r="29" spans="1:40">
      <c r="A29" s="23">
        <v>10030</v>
      </c>
      <c r="B29" s="23" t="s">
        <v>3936</v>
      </c>
      <c r="C29" s="43">
        <v>1</v>
      </c>
      <c r="D29" s="36">
        <v>0</v>
      </c>
      <c r="E29" s="52">
        <f t="shared" si="0"/>
        <v>0.5</v>
      </c>
      <c r="F29" s="37">
        <v>2</v>
      </c>
      <c r="G29" s="37">
        <v>1</v>
      </c>
      <c r="H29" s="38">
        <v>2</v>
      </c>
      <c r="I29" s="38">
        <v>1</v>
      </c>
      <c r="J29" s="49">
        <f t="shared" si="1"/>
        <v>2</v>
      </c>
      <c r="K29" s="49">
        <f t="shared" si="2"/>
        <v>1</v>
      </c>
      <c r="L29" s="44">
        <v>1</v>
      </c>
      <c r="M29" s="44">
        <v>1</v>
      </c>
      <c r="N29" s="45">
        <v>0</v>
      </c>
      <c r="O29" s="45">
        <v>1</v>
      </c>
      <c r="P29" s="54">
        <f t="shared" si="3"/>
        <v>0.5</v>
      </c>
      <c r="Q29" s="54">
        <f t="shared" si="4"/>
        <v>1</v>
      </c>
      <c r="R29" s="46">
        <v>1</v>
      </c>
      <c r="S29" s="47">
        <v>1</v>
      </c>
      <c r="T29" s="57">
        <f t="shared" si="5"/>
        <v>1</v>
      </c>
      <c r="U29" s="37">
        <v>3</v>
      </c>
      <c r="V29" s="37">
        <v>0</v>
      </c>
      <c r="W29" s="37">
        <v>2</v>
      </c>
      <c r="X29" s="38">
        <v>2</v>
      </c>
      <c r="Y29" s="38">
        <v>0</v>
      </c>
      <c r="Z29" s="38">
        <v>2</v>
      </c>
      <c r="AA29" s="49">
        <f t="shared" si="6"/>
        <v>2.5</v>
      </c>
      <c r="AB29" s="49">
        <f t="shared" si="7"/>
        <v>2</v>
      </c>
      <c r="AC29" s="44">
        <v>1</v>
      </c>
      <c r="AD29" s="45">
        <v>0</v>
      </c>
      <c r="AE29" s="54">
        <f t="shared" si="8"/>
        <v>0.5</v>
      </c>
      <c r="AF29" s="43">
        <v>0</v>
      </c>
      <c r="AG29" s="36">
        <v>1</v>
      </c>
      <c r="AH29" s="54">
        <f t="shared" si="9"/>
        <v>0.5</v>
      </c>
      <c r="AI29" s="46">
        <v>0</v>
      </c>
      <c r="AJ29" s="46">
        <v>0</v>
      </c>
      <c r="AK29" s="47">
        <v>0</v>
      </c>
      <c r="AL29" s="47">
        <v>0</v>
      </c>
      <c r="AM29" s="58">
        <f t="shared" si="10"/>
        <v>0</v>
      </c>
      <c r="AN29" s="58">
        <f t="shared" si="11"/>
        <v>0</v>
      </c>
    </row>
    <row r="30" spans="1:40">
      <c r="A30" s="23">
        <v>10031</v>
      </c>
      <c r="B30" s="23" t="s">
        <v>3975</v>
      </c>
      <c r="C30" s="43">
        <v>2</v>
      </c>
      <c r="D30" s="36">
        <v>2</v>
      </c>
      <c r="E30" s="52">
        <f t="shared" si="0"/>
        <v>2</v>
      </c>
      <c r="F30" s="37">
        <v>3</v>
      </c>
      <c r="G30" s="37">
        <v>1</v>
      </c>
      <c r="H30" s="38">
        <v>3</v>
      </c>
      <c r="I30" s="38">
        <v>1</v>
      </c>
      <c r="J30" s="49">
        <f t="shared" si="1"/>
        <v>3</v>
      </c>
      <c r="K30" s="49">
        <f t="shared" si="2"/>
        <v>1</v>
      </c>
      <c r="L30" s="44">
        <v>3</v>
      </c>
      <c r="M30" s="44">
        <v>2</v>
      </c>
      <c r="N30" s="45">
        <v>2</v>
      </c>
      <c r="O30" s="45">
        <v>1</v>
      </c>
      <c r="P30" s="54">
        <f t="shared" si="3"/>
        <v>2.5</v>
      </c>
      <c r="Q30" s="54">
        <f t="shared" si="4"/>
        <v>1.5</v>
      </c>
      <c r="R30" s="46">
        <v>0</v>
      </c>
      <c r="S30" s="47">
        <v>0</v>
      </c>
      <c r="T30" s="57">
        <f t="shared" si="5"/>
        <v>0</v>
      </c>
      <c r="U30" s="37">
        <v>3</v>
      </c>
      <c r="V30" s="37">
        <v>3</v>
      </c>
      <c r="W30" s="37">
        <v>2</v>
      </c>
      <c r="X30" s="38">
        <v>3</v>
      </c>
      <c r="Y30" s="38">
        <v>2</v>
      </c>
      <c r="Z30" s="38">
        <v>2</v>
      </c>
      <c r="AA30" s="49">
        <f t="shared" si="6"/>
        <v>3</v>
      </c>
      <c r="AB30" s="49">
        <f t="shared" si="7"/>
        <v>2</v>
      </c>
      <c r="AC30" s="44">
        <v>1</v>
      </c>
      <c r="AD30" s="45">
        <v>0</v>
      </c>
      <c r="AE30" s="54">
        <f t="shared" si="8"/>
        <v>0.5</v>
      </c>
      <c r="AF30" s="43">
        <v>0</v>
      </c>
      <c r="AG30" s="36">
        <v>1</v>
      </c>
      <c r="AH30" s="54">
        <f t="shared" si="9"/>
        <v>0.5</v>
      </c>
      <c r="AI30" s="46">
        <v>2</v>
      </c>
      <c r="AJ30" s="46">
        <v>0</v>
      </c>
      <c r="AK30" s="47">
        <v>1</v>
      </c>
      <c r="AL30" s="47">
        <v>0</v>
      </c>
      <c r="AM30" s="58">
        <f t="shared" si="10"/>
        <v>1.5</v>
      </c>
      <c r="AN30" s="58">
        <f t="shared" si="11"/>
        <v>0</v>
      </c>
    </row>
    <row r="31" spans="1:40">
      <c r="A31" s="23">
        <v>10032</v>
      </c>
      <c r="B31" s="23" t="s">
        <v>3907</v>
      </c>
      <c r="C31" s="43">
        <v>0</v>
      </c>
      <c r="D31" s="36">
        <v>0</v>
      </c>
      <c r="E31" s="52">
        <f t="shared" si="0"/>
        <v>0</v>
      </c>
      <c r="F31" s="37">
        <v>3</v>
      </c>
      <c r="G31" s="37">
        <v>2</v>
      </c>
      <c r="H31" s="38">
        <v>0</v>
      </c>
      <c r="I31" s="38">
        <v>2</v>
      </c>
      <c r="J31" s="49">
        <f t="shared" si="1"/>
        <v>1.5</v>
      </c>
      <c r="K31" s="49">
        <f t="shared" si="2"/>
        <v>2</v>
      </c>
      <c r="L31" s="44">
        <v>3</v>
      </c>
      <c r="M31" s="44">
        <v>0</v>
      </c>
      <c r="N31" s="45">
        <v>2</v>
      </c>
      <c r="O31" s="45">
        <v>0</v>
      </c>
      <c r="P31" s="54">
        <f t="shared" si="3"/>
        <v>2.5</v>
      </c>
      <c r="Q31" s="54">
        <f t="shared" si="4"/>
        <v>0</v>
      </c>
      <c r="R31" s="46">
        <v>2</v>
      </c>
      <c r="S31" s="47">
        <v>2</v>
      </c>
      <c r="T31" s="57">
        <f t="shared" si="5"/>
        <v>2</v>
      </c>
      <c r="U31" s="37">
        <v>3</v>
      </c>
      <c r="V31" s="37">
        <v>2</v>
      </c>
      <c r="W31" s="37">
        <v>2</v>
      </c>
      <c r="X31" s="38">
        <v>3</v>
      </c>
      <c r="Y31" s="38">
        <v>0</v>
      </c>
      <c r="Z31" s="38">
        <v>2</v>
      </c>
      <c r="AA31" s="49">
        <f t="shared" si="6"/>
        <v>3</v>
      </c>
      <c r="AB31" s="49">
        <f t="shared" si="7"/>
        <v>2</v>
      </c>
      <c r="AC31" s="44">
        <v>2</v>
      </c>
      <c r="AD31" s="45">
        <v>2</v>
      </c>
      <c r="AE31" s="54">
        <f t="shared" si="8"/>
        <v>2</v>
      </c>
      <c r="AF31" s="36">
        <v>2</v>
      </c>
      <c r="AG31" s="36">
        <v>2</v>
      </c>
      <c r="AH31" s="54">
        <f t="shared" si="9"/>
        <v>2</v>
      </c>
      <c r="AI31" s="46">
        <v>0</v>
      </c>
      <c r="AJ31" s="46">
        <v>0</v>
      </c>
      <c r="AK31" s="47">
        <v>0</v>
      </c>
      <c r="AL31" s="47">
        <v>0</v>
      </c>
      <c r="AM31" s="58">
        <f t="shared" si="10"/>
        <v>0</v>
      </c>
      <c r="AN31" s="58">
        <f t="shared" si="11"/>
        <v>0</v>
      </c>
    </row>
    <row r="32" spans="1:40">
      <c r="A32" s="23">
        <v>10033</v>
      </c>
      <c r="B32" s="23" t="s">
        <v>3813</v>
      </c>
      <c r="C32" s="43">
        <v>1</v>
      </c>
      <c r="D32" s="36">
        <v>2</v>
      </c>
      <c r="E32" s="52">
        <f t="shared" si="0"/>
        <v>1.5</v>
      </c>
      <c r="F32" s="37">
        <v>3</v>
      </c>
      <c r="G32" s="37">
        <v>0</v>
      </c>
      <c r="H32" s="38">
        <v>2</v>
      </c>
      <c r="I32" s="38">
        <v>0</v>
      </c>
      <c r="J32" s="49">
        <f t="shared" si="1"/>
        <v>2.5</v>
      </c>
      <c r="K32" s="49">
        <f t="shared" si="2"/>
        <v>0</v>
      </c>
      <c r="L32" s="44">
        <v>3</v>
      </c>
      <c r="M32" s="44">
        <v>1</v>
      </c>
      <c r="N32" s="45">
        <v>2</v>
      </c>
      <c r="O32" s="45">
        <v>1</v>
      </c>
      <c r="P32" s="54">
        <f t="shared" si="3"/>
        <v>2.5</v>
      </c>
      <c r="Q32" s="54">
        <f t="shared" si="4"/>
        <v>1</v>
      </c>
      <c r="R32" s="46">
        <v>0</v>
      </c>
      <c r="S32" s="47">
        <v>0</v>
      </c>
      <c r="T32" s="57">
        <f t="shared" si="5"/>
        <v>0</v>
      </c>
      <c r="U32" s="37">
        <v>3</v>
      </c>
      <c r="V32" s="37">
        <v>2</v>
      </c>
      <c r="W32" s="37">
        <v>2</v>
      </c>
      <c r="X32" s="38">
        <v>3</v>
      </c>
      <c r="Y32" s="38">
        <v>0</v>
      </c>
      <c r="Z32" s="38">
        <v>2</v>
      </c>
      <c r="AA32" s="49">
        <f t="shared" si="6"/>
        <v>3</v>
      </c>
      <c r="AB32" s="49">
        <f t="shared" si="7"/>
        <v>2</v>
      </c>
      <c r="AC32" s="44">
        <v>0</v>
      </c>
      <c r="AD32" s="45">
        <v>0</v>
      </c>
      <c r="AE32" s="54">
        <f t="shared" si="8"/>
        <v>0</v>
      </c>
      <c r="AF32" s="43">
        <v>0</v>
      </c>
      <c r="AG32" s="36">
        <v>0</v>
      </c>
      <c r="AH32" s="54">
        <f t="shared" si="9"/>
        <v>0</v>
      </c>
      <c r="AI32" s="46">
        <v>0</v>
      </c>
      <c r="AJ32" s="46">
        <v>1</v>
      </c>
      <c r="AK32" s="47">
        <v>0</v>
      </c>
      <c r="AL32" s="47">
        <v>0</v>
      </c>
      <c r="AM32" s="58">
        <f t="shared" si="10"/>
        <v>0</v>
      </c>
      <c r="AN32" s="58">
        <f t="shared" si="11"/>
        <v>0.5</v>
      </c>
    </row>
    <row r="33" spans="1:40">
      <c r="A33" s="23">
        <v>10034</v>
      </c>
      <c r="B33" s="23" t="s">
        <v>3855</v>
      </c>
      <c r="C33" s="43">
        <v>3</v>
      </c>
      <c r="D33" s="36">
        <v>2</v>
      </c>
      <c r="E33" s="52">
        <f t="shared" si="0"/>
        <v>2.5</v>
      </c>
      <c r="F33" s="37">
        <v>0</v>
      </c>
      <c r="G33" s="37">
        <v>1</v>
      </c>
      <c r="H33" s="38">
        <v>0</v>
      </c>
      <c r="I33" s="38">
        <v>1</v>
      </c>
      <c r="J33" s="49">
        <f t="shared" si="1"/>
        <v>0</v>
      </c>
      <c r="K33" s="49">
        <f t="shared" si="2"/>
        <v>1</v>
      </c>
      <c r="L33" s="44">
        <v>0</v>
      </c>
      <c r="M33" s="44">
        <v>0</v>
      </c>
      <c r="N33" s="45">
        <v>0</v>
      </c>
      <c r="O33" s="45">
        <v>0</v>
      </c>
      <c r="P33" s="54">
        <f t="shared" si="3"/>
        <v>0</v>
      </c>
      <c r="Q33" s="54">
        <f t="shared" si="4"/>
        <v>0</v>
      </c>
      <c r="R33" s="46">
        <v>1</v>
      </c>
      <c r="S33" s="47">
        <v>1</v>
      </c>
      <c r="T33" s="57">
        <f t="shared" si="5"/>
        <v>1</v>
      </c>
      <c r="U33" s="37">
        <v>3</v>
      </c>
      <c r="V33" s="37">
        <v>1</v>
      </c>
      <c r="W33" s="37">
        <v>1</v>
      </c>
      <c r="X33" s="38">
        <v>3</v>
      </c>
      <c r="Y33" s="38">
        <v>0</v>
      </c>
      <c r="Z33" s="38">
        <v>1</v>
      </c>
      <c r="AA33" s="49">
        <f t="shared" si="6"/>
        <v>3</v>
      </c>
      <c r="AB33" s="49">
        <f t="shared" si="7"/>
        <v>1</v>
      </c>
      <c r="AC33" s="44">
        <v>2</v>
      </c>
      <c r="AD33" s="45">
        <v>2</v>
      </c>
      <c r="AE33" s="54">
        <f t="shared" si="8"/>
        <v>2</v>
      </c>
      <c r="AF33" s="36">
        <v>1</v>
      </c>
      <c r="AG33" s="36">
        <v>1</v>
      </c>
      <c r="AH33" s="54">
        <f t="shared" si="9"/>
        <v>1</v>
      </c>
      <c r="AI33" s="46">
        <v>2</v>
      </c>
      <c r="AJ33" s="46">
        <v>0</v>
      </c>
      <c r="AK33" s="47">
        <v>0</v>
      </c>
      <c r="AL33" s="47">
        <v>0</v>
      </c>
      <c r="AM33" s="58">
        <f t="shared" si="10"/>
        <v>1</v>
      </c>
      <c r="AN33" s="58">
        <f t="shared" si="11"/>
        <v>0</v>
      </c>
    </row>
    <row r="34" spans="1:40">
      <c r="A34" s="23">
        <v>10035</v>
      </c>
      <c r="B34" s="23" t="s">
        <v>3774</v>
      </c>
      <c r="C34" s="43">
        <v>3</v>
      </c>
      <c r="D34" s="36">
        <v>3</v>
      </c>
      <c r="E34" s="52">
        <f t="shared" si="0"/>
        <v>3</v>
      </c>
      <c r="F34" s="37">
        <v>3</v>
      </c>
      <c r="G34" s="37">
        <v>1</v>
      </c>
      <c r="H34" s="38">
        <v>3</v>
      </c>
      <c r="I34" s="38">
        <v>1</v>
      </c>
      <c r="J34" s="49">
        <f t="shared" si="1"/>
        <v>3</v>
      </c>
      <c r="K34" s="49">
        <f t="shared" si="2"/>
        <v>1</v>
      </c>
      <c r="L34" s="44">
        <v>3</v>
      </c>
      <c r="M34" s="44">
        <v>1</v>
      </c>
      <c r="N34" s="45">
        <v>2</v>
      </c>
      <c r="O34" s="45">
        <v>1</v>
      </c>
      <c r="P34" s="54">
        <f t="shared" si="3"/>
        <v>2.5</v>
      </c>
      <c r="Q34" s="54">
        <f t="shared" si="4"/>
        <v>1</v>
      </c>
      <c r="R34" s="46">
        <v>0</v>
      </c>
      <c r="S34" s="47">
        <v>0</v>
      </c>
      <c r="T34" s="57">
        <f t="shared" si="5"/>
        <v>0</v>
      </c>
      <c r="U34" s="37">
        <v>3</v>
      </c>
      <c r="V34" s="37">
        <v>0</v>
      </c>
      <c r="W34" s="37">
        <v>2</v>
      </c>
      <c r="X34" s="38">
        <v>3</v>
      </c>
      <c r="Y34" s="38">
        <v>2</v>
      </c>
      <c r="Z34" s="38">
        <v>2</v>
      </c>
      <c r="AA34" s="49">
        <f t="shared" si="6"/>
        <v>3</v>
      </c>
      <c r="AB34" s="49">
        <f t="shared" si="7"/>
        <v>2</v>
      </c>
      <c r="AC34" s="44">
        <v>0</v>
      </c>
      <c r="AD34" s="45">
        <v>0</v>
      </c>
      <c r="AE34" s="54">
        <f t="shared" si="8"/>
        <v>0</v>
      </c>
      <c r="AF34" s="43">
        <v>0</v>
      </c>
      <c r="AG34" s="36">
        <v>0</v>
      </c>
      <c r="AH34" s="54">
        <f t="shared" si="9"/>
        <v>0</v>
      </c>
      <c r="AI34" s="46">
        <v>3</v>
      </c>
      <c r="AJ34" s="46">
        <v>2</v>
      </c>
      <c r="AK34" s="47">
        <v>2</v>
      </c>
      <c r="AL34" s="47">
        <v>2</v>
      </c>
      <c r="AM34" s="58">
        <f t="shared" si="10"/>
        <v>2.5</v>
      </c>
      <c r="AN34" s="58">
        <f t="shared" si="11"/>
        <v>2</v>
      </c>
    </row>
    <row r="35" spans="1:40">
      <c r="A35" s="23">
        <v>10036</v>
      </c>
      <c r="B35" s="23" t="s">
        <v>3817</v>
      </c>
      <c r="C35" s="43">
        <v>0</v>
      </c>
      <c r="D35" s="36">
        <v>0</v>
      </c>
      <c r="E35" s="52">
        <f t="shared" si="0"/>
        <v>0</v>
      </c>
      <c r="F35" s="37">
        <v>3</v>
      </c>
      <c r="G35" s="37">
        <v>2</v>
      </c>
      <c r="H35" s="38">
        <v>2</v>
      </c>
      <c r="I35" s="38">
        <v>2</v>
      </c>
      <c r="J35" s="49">
        <f t="shared" si="1"/>
        <v>2.5</v>
      </c>
      <c r="K35" s="49">
        <f t="shared" si="2"/>
        <v>2</v>
      </c>
      <c r="L35" s="44">
        <v>3</v>
      </c>
      <c r="M35" s="44">
        <v>1</v>
      </c>
      <c r="N35" s="45">
        <v>2</v>
      </c>
      <c r="O35" s="45">
        <v>1</v>
      </c>
      <c r="P35" s="54">
        <f t="shared" si="3"/>
        <v>2.5</v>
      </c>
      <c r="Q35" s="54">
        <f t="shared" si="4"/>
        <v>1</v>
      </c>
      <c r="R35" s="46">
        <v>0</v>
      </c>
      <c r="S35" s="47">
        <v>0</v>
      </c>
      <c r="T35" s="57">
        <f t="shared" si="5"/>
        <v>0</v>
      </c>
      <c r="U35" s="37">
        <v>3</v>
      </c>
      <c r="V35" s="37">
        <v>3</v>
      </c>
      <c r="W35" s="37">
        <v>0</v>
      </c>
      <c r="X35" s="38">
        <v>3</v>
      </c>
      <c r="Y35" s="38">
        <v>1</v>
      </c>
      <c r="Z35" s="38">
        <v>0</v>
      </c>
      <c r="AA35" s="49">
        <f t="shared" si="6"/>
        <v>3</v>
      </c>
      <c r="AB35" s="49">
        <f t="shared" si="7"/>
        <v>0</v>
      </c>
      <c r="AC35" s="44">
        <v>0</v>
      </c>
      <c r="AD35" s="45">
        <v>0</v>
      </c>
      <c r="AE35" s="54">
        <f t="shared" si="8"/>
        <v>0</v>
      </c>
      <c r="AF35" s="43">
        <v>1</v>
      </c>
      <c r="AG35" s="36">
        <v>1</v>
      </c>
      <c r="AH35" s="54">
        <f t="shared" si="9"/>
        <v>1</v>
      </c>
      <c r="AI35" s="46">
        <v>0</v>
      </c>
      <c r="AJ35" s="46">
        <v>0</v>
      </c>
      <c r="AK35" s="47">
        <v>0</v>
      </c>
      <c r="AL35" s="47">
        <v>0</v>
      </c>
      <c r="AM35" s="58">
        <f t="shared" si="10"/>
        <v>0</v>
      </c>
      <c r="AN35" s="58">
        <f t="shared" si="11"/>
        <v>0</v>
      </c>
    </row>
    <row r="36" spans="1:40">
      <c r="A36" s="23">
        <v>10037</v>
      </c>
      <c r="B36" s="23" t="s">
        <v>3808</v>
      </c>
      <c r="C36" s="43">
        <v>3</v>
      </c>
      <c r="D36" s="36">
        <v>3</v>
      </c>
      <c r="E36" s="52">
        <f t="shared" si="0"/>
        <v>3</v>
      </c>
      <c r="F36" s="37">
        <v>3</v>
      </c>
      <c r="G36" s="37">
        <v>2</v>
      </c>
      <c r="H36" s="38">
        <v>3</v>
      </c>
      <c r="I36" s="38">
        <v>1</v>
      </c>
      <c r="J36" s="49">
        <f t="shared" si="1"/>
        <v>3</v>
      </c>
      <c r="K36" s="49">
        <f t="shared" si="2"/>
        <v>1.5</v>
      </c>
      <c r="L36" s="44">
        <v>3</v>
      </c>
      <c r="M36" s="44">
        <v>1</v>
      </c>
      <c r="N36" s="45">
        <v>2</v>
      </c>
      <c r="O36" s="45">
        <v>1</v>
      </c>
      <c r="P36" s="54">
        <f t="shared" si="3"/>
        <v>2.5</v>
      </c>
      <c r="Q36" s="54">
        <f t="shared" si="4"/>
        <v>1</v>
      </c>
      <c r="R36" s="46">
        <v>0</v>
      </c>
      <c r="S36" s="47">
        <v>0</v>
      </c>
      <c r="T36" s="57">
        <f t="shared" si="5"/>
        <v>0</v>
      </c>
      <c r="U36" s="37">
        <v>3</v>
      </c>
      <c r="V36" s="37">
        <v>0</v>
      </c>
      <c r="W36" s="37">
        <v>2</v>
      </c>
      <c r="X36" s="38">
        <v>3</v>
      </c>
      <c r="Y36" s="38">
        <v>0</v>
      </c>
      <c r="Z36" s="38">
        <v>0</v>
      </c>
      <c r="AA36" s="49">
        <f t="shared" si="6"/>
        <v>3</v>
      </c>
      <c r="AB36" s="49">
        <f t="shared" si="7"/>
        <v>1</v>
      </c>
      <c r="AC36" s="44">
        <v>0</v>
      </c>
      <c r="AD36" s="45">
        <v>0</v>
      </c>
      <c r="AE36" s="54">
        <f t="shared" si="8"/>
        <v>0</v>
      </c>
      <c r="AF36" s="43">
        <v>1</v>
      </c>
      <c r="AG36" s="36">
        <v>1</v>
      </c>
      <c r="AH36" s="54">
        <f t="shared" si="9"/>
        <v>1</v>
      </c>
      <c r="AI36" s="46">
        <v>0</v>
      </c>
      <c r="AJ36" s="46">
        <v>1</v>
      </c>
      <c r="AK36" s="47">
        <v>0</v>
      </c>
      <c r="AL36" s="47">
        <v>0</v>
      </c>
      <c r="AM36" s="58">
        <f t="shared" si="10"/>
        <v>0</v>
      </c>
      <c r="AN36" s="58">
        <f t="shared" si="11"/>
        <v>0.5</v>
      </c>
    </row>
    <row r="37" spans="1:40">
      <c r="A37" s="23">
        <v>10038</v>
      </c>
      <c r="B37" s="23" t="s">
        <v>3825</v>
      </c>
      <c r="C37" s="43">
        <v>3</v>
      </c>
      <c r="D37" s="36">
        <v>1</v>
      </c>
      <c r="E37" s="52">
        <f t="shared" si="0"/>
        <v>2</v>
      </c>
      <c r="F37" s="37">
        <v>3</v>
      </c>
      <c r="G37" s="37">
        <v>1</v>
      </c>
      <c r="H37" s="38">
        <v>2</v>
      </c>
      <c r="I37" s="38">
        <v>1</v>
      </c>
      <c r="J37" s="49">
        <f t="shared" si="1"/>
        <v>2.5</v>
      </c>
      <c r="K37" s="49">
        <f t="shared" si="2"/>
        <v>1</v>
      </c>
      <c r="L37" s="44">
        <v>3</v>
      </c>
      <c r="M37" s="44">
        <v>1</v>
      </c>
      <c r="N37" s="45">
        <v>1</v>
      </c>
      <c r="O37" s="45">
        <v>1</v>
      </c>
      <c r="P37" s="54">
        <f t="shared" si="3"/>
        <v>2</v>
      </c>
      <c r="Q37" s="54">
        <f t="shared" si="4"/>
        <v>1</v>
      </c>
      <c r="R37" s="46">
        <v>1</v>
      </c>
      <c r="S37" s="47">
        <v>0</v>
      </c>
      <c r="T37" s="57">
        <f t="shared" si="5"/>
        <v>0.5</v>
      </c>
      <c r="U37" s="37">
        <v>3</v>
      </c>
      <c r="V37" s="37"/>
      <c r="W37" s="37">
        <v>2</v>
      </c>
      <c r="X37" s="38">
        <v>2</v>
      </c>
      <c r="Y37" s="38">
        <v>3</v>
      </c>
      <c r="Z37" s="38">
        <v>2</v>
      </c>
      <c r="AA37" s="49">
        <f t="shared" si="6"/>
        <v>2.5</v>
      </c>
      <c r="AB37" s="49">
        <f t="shared" si="7"/>
        <v>2</v>
      </c>
      <c r="AC37" s="44">
        <v>0</v>
      </c>
      <c r="AD37" s="45">
        <v>0</v>
      </c>
      <c r="AE37" s="54">
        <f t="shared" si="8"/>
        <v>0</v>
      </c>
      <c r="AF37" s="43">
        <v>1</v>
      </c>
      <c r="AG37" s="36">
        <v>1</v>
      </c>
      <c r="AH37" s="54">
        <f t="shared" si="9"/>
        <v>1</v>
      </c>
      <c r="AI37" s="46">
        <v>0</v>
      </c>
      <c r="AJ37" s="46">
        <v>0</v>
      </c>
      <c r="AK37" s="47">
        <v>0</v>
      </c>
      <c r="AL37" s="47">
        <v>0</v>
      </c>
      <c r="AM37" s="58">
        <f t="shared" si="10"/>
        <v>0</v>
      </c>
      <c r="AN37" s="58">
        <f t="shared" si="11"/>
        <v>0</v>
      </c>
    </row>
    <row r="38" spans="1:40">
      <c r="A38" s="23">
        <v>10039</v>
      </c>
      <c r="B38" s="23" t="s">
        <v>3969</v>
      </c>
      <c r="C38" s="43">
        <v>1</v>
      </c>
      <c r="D38" s="36">
        <v>1</v>
      </c>
      <c r="E38" s="52">
        <f t="shared" si="0"/>
        <v>1</v>
      </c>
      <c r="F38" s="37">
        <v>3</v>
      </c>
      <c r="G38" s="37">
        <v>1</v>
      </c>
      <c r="H38" s="38">
        <v>2</v>
      </c>
      <c r="I38" s="38">
        <v>1</v>
      </c>
      <c r="J38" s="49">
        <f t="shared" si="1"/>
        <v>2.5</v>
      </c>
      <c r="K38" s="49">
        <f t="shared" si="2"/>
        <v>1</v>
      </c>
      <c r="L38" s="44">
        <v>1</v>
      </c>
      <c r="M38" s="44">
        <v>1</v>
      </c>
      <c r="N38" s="45">
        <v>1</v>
      </c>
      <c r="O38" s="45">
        <v>1</v>
      </c>
      <c r="P38" s="54">
        <f t="shared" si="3"/>
        <v>1</v>
      </c>
      <c r="Q38" s="54">
        <f t="shared" si="4"/>
        <v>1</v>
      </c>
      <c r="R38" s="46">
        <v>1</v>
      </c>
      <c r="S38" s="47">
        <v>0</v>
      </c>
      <c r="T38" s="57">
        <f t="shared" si="5"/>
        <v>0.5</v>
      </c>
      <c r="U38" s="37">
        <v>1</v>
      </c>
      <c r="V38" s="37">
        <v>0</v>
      </c>
      <c r="W38" s="37">
        <v>0</v>
      </c>
      <c r="X38" s="38">
        <v>0</v>
      </c>
      <c r="Y38" s="38">
        <v>0</v>
      </c>
      <c r="Z38" s="38">
        <v>0</v>
      </c>
      <c r="AA38" s="49">
        <f t="shared" si="6"/>
        <v>0.5</v>
      </c>
      <c r="AB38" s="49">
        <f t="shared" si="7"/>
        <v>0</v>
      </c>
      <c r="AC38" s="44">
        <v>1</v>
      </c>
      <c r="AD38" s="45">
        <v>0</v>
      </c>
      <c r="AE38" s="54">
        <f t="shared" si="8"/>
        <v>0.5</v>
      </c>
      <c r="AF38" s="43">
        <v>0</v>
      </c>
      <c r="AG38" s="36">
        <v>1</v>
      </c>
      <c r="AH38" s="54">
        <f t="shared" si="9"/>
        <v>0.5</v>
      </c>
      <c r="AI38" s="46">
        <v>1</v>
      </c>
      <c r="AJ38" s="46">
        <v>0</v>
      </c>
      <c r="AK38" s="47">
        <v>0</v>
      </c>
      <c r="AL38" s="47">
        <v>0</v>
      </c>
      <c r="AM38" s="58">
        <f t="shared" si="10"/>
        <v>0.5</v>
      </c>
      <c r="AN38" s="58">
        <f t="shared" si="11"/>
        <v>0</v>
      </c>
    </row>
    <row r="39" spans="1:40">
      <c r="A39" s="23">
        <v>10040</v>
      </c>
      <c r="B39" s="23" t="s">
        <v>3867</v>
      </c>
      <c r="C39" s="43">
        <v>2</v>
      </c>
      <c r="D39" s="36">
        <v>1</v>
      </c>
      <c r="E39" s="52">
        <f t="shared" si="0"/>
        <v>1.5</v>
      </c>
      <c r="F39" s="37">
        <v>0</v>
      </c>
      <c r="G39" s="37">
        <v>2</v>
      </c>
      <c r="H39" s="38">
        <v>0</v>
      </c>
      <c r="I39" s="38">
        <v>2</v>
      </c>
      <c r="J39" s="49">
        <f t="shared" si="1"/>
        <v>0</v>
      </c>
      <c r="K39" s="49">
        <f t="shared" si="2"/>
        <v>2</v>
      </c>
      <c r="L39" s="44">
        <v>3</v>
      </c>
      <c r="M39" s="44">
        <v>1</v>
      </c>
      <c r="N39" s="45">
        <v>2</v>
      </c>
      <c r="O39" s="45">
        <v>1</v>
      </c>
      <c r="P39" s="54">
        <f t="shared" si="3"/>
        <v>2.5</v>
      </c>
      <c r="Q39" s="54">
        <f t="shared" si="4"/>
        <v>1</v>
      </c>
      <c r="R39" s="46">
        <v>1</v>
      </c>
      <c r="S39" s="47">
        <v>1</v>
      </c>
      <c r="T39" s="57">
        <f t="shared" si="5"/>
        <v>1</v>
      </c>
      <c r="U39" s="37">
        <v>3</v>
      </c>
      <c r="V39" s="37">
        <v>1</v>
      </c>
      <c r="W39" s="37">
        <v>2</v>
      </c>
      <c r="X39" s="38">
        <v>3</v>
      </c>
      <c r="Y39" s="38">
        <v>0</v>
      </c>
      <c r="Z39" s="38">
        <v>2</v>
      </c>
      <c r="AA39" s="49">
        <f t="shared" si="6"/>
        <v>3</v>
      </c>
      <c r="AB39" s="49">
        <f t="shared" si="7"/>
        <v>2</v>
      </c>
      <c r="AC39" s="44">
        <v>0</v>
      </c>
      <c r="AD39" s="45">
        <v>0</v>
      </c>
      <c r="AE39" s="54">
        <f t="shared" si="8"/>
        <v>0</v>
      </c>
      <c r="AF39" s="43">
        <v>0</v>
      </c>
      <c r="AG39" s="36">
        <v>1</v>
      </c>
      <c r="AH39" s="54">
        <f t="shared" si="9"/>
        <v>0.5</v>
      </c>
      <c r="AI39" s="46">
        <v>0</v>
      </c>
      <c r="AJ39" s="46">
        <v>0</v>
      </c>
      <c r="AK39" s="47">
        <v>1</v>
      </c>
      <c r="AL39" s="47">
        <v>0</v>
      </c>
      <c r="AM39" s="58">
        <f t="shared" si="10"/>
        <v>0.5</v>
      </c>
      <c r="AN39" s="58">
        <f t="shared" si="11"/>
        <v>0</v>
      </c>
    </row>
    <row r="40" spans="1:40">
      <c r="A40" s="23">
        <v>10041</v>
      </c>
      <c r="B40" s="23" t="s">
        <v>3933</v>
      </c>
      <c r="C40" s="43">
        <v>3</v>
      </c>
      <c r="D40" s="36">
        <v>3</v>
      </c>
      <c r="E40" s="52">
        <f t="shared" si="0"/>
        <v>3</v>
      </c>
      <c r="F40" s="37">
        <v>3</v>
      </c>
      <c r="G40" s="37">
        <v>2</v>
      </c>
      <c r="H40" s="38">
        <v>2</v>
      </c>
      <c r="I40" s="38">
        <v>2</v>
      </c>
      <c r="J40" s="49">
        <f t="shared" si="1"/>
        <v>2.5</v>
      </c>
      <c r="K40" s="49">
        <f t="shared" si="2"/>
        <v>2</v>
      </c>
      <c r="L40" s="44">
        <v>3</v>
      </c>
      <c r="M40" s="44">
        <v>2</v>
      </c>
      <c r="N40" s="45">
        <v>1</v>
      </c>
      <c r="O40" s="45">
        <v>1</v>
      </c>
      <c r="P40" s="54">
        <f t="shared" si="3"/>
        <v>2</v>
      </c>
      <c r="Q40" s="54">
        <f t="shared" si="4"/>
        <v>1.5</v>
      </c>
      <c r="R40" s="46">
        <v>2</v>
      </c>
      <c r="S40" s="47">
        <v>2</v>
      </c>
      <c r="T40" s="57">
        <f t="shared" si="5"/>
        <v>2</v>
      </c>
      <c r="U40" s="37">
        <v>0</v>
      </c>
      <c r="V40" s="37">
        <v>0</v>
      </c>
      <c r="W40" s="37">
        <v>1</v>
      </c>
      <c r="X40" s="38">
        <v>0</v>
      </c>
      <c r="Y40" s="38">
        <v>3</v>
      </c>
      <c r="Z40" s="38">
        <v>1</v>
      </c>
      <c r="AA40" s="49">
        <f t="shared" si="6"/>
        <v>0</v>
      </c>
      <c r="AB40" s="49">
        <f t="shared" si="7"/>
        <v>1</v>
      </c>
      <c r="AC40" s="44">
        <v>0</v>
      </c>
      <c r="AD40" s="45">
        <v>0</v>
      </c>
      <c r="AE40" s="54">
        <f t="shared" si="8"/>
        <v>0</v>
      </c>
      <c r="AF40" s="43">
        <v>0</v>
      </c>
      <c r="AG40" s="36">
        <v>0</v>
      </c>
      <c r="AH40" s="54">
        <f t="shared" si="9"/>
        <v>0</v>
      </c>
      <c r="AI40" s="46">
        <v>2</v>
      </c>
      <c r="AJ40" s="46">
        <v>0</v>
      </c>
      <c r="AK40" s="47">
        <v>1</v>
      </c>
      <c r="AL40" s="47">
        <v>0</v>
      </c>
      <c r="AM40" s="58">
        <f t="shared" si="10"/>
        <v>1.5</v>
      </c>
      <c r="AN40" s="58">
        <f t="shared" si="11"/>
        <v>0</v>
      </c>
    </row>
    <row r="41" spans="1:40">
      <c r="A41" s="23">
        <v>10042</v>
      </c>
      <c r="B41" s="23" t="s">
        <v>3904</v>
      </c>
      <c r="C41" s="43">
        <v>3</v>
      </c>
      <c r="D41" s="36">
        <v>3</v>
      </c>
      <c r="E41" s="52">
        <f t="shared" si="0"/>
        <v>3</v>
      </c>
      <c r="F41" s="37">
        <v>3</v>
      </c>
      <c r="G41" s="37">
        <v>1</v>
      </c>
      <c r="H41" s="38">
        <v>2</v>
      </c>
      <c r="I41" s="38">
        <v>1</v>
      </c>
      <c r="J41" s="49">
        <f t="shared" si="1"/>
        <v>2.5</v>
      </c>
      <c r="K41" s="49">
        <f t="shared" si="2"/>
        <v>1</v>
      </c>
      <c r="L41" s="44">
        <v>3</v>
      </c>
      <c r="M41" s="44">
        <v>0</v>
      </c>
      <c r="N41" s="45">
        <v>2</v>
      </c>
      <c r="O41" s="45">
        <v>0</v>
      </c>
      <c r="P41" s="54">
        <f t="shared" si="3"/>
        <v>2.5</v>
      </c>
      <c r="Q41" s="54">
        <f t="shared" si="4"/>
        <v>0</v>
      </c>
      <c r="R41" s="46">
        <v>0</v>
      </c>
      <c r="S41" s="47">
        <v>0</v>
      </c>
      <c r="T41" s="57">
        <f t="shared" si="5"/>
        <v>0</v>
      </c>
      <c r="U41" s="37">
        <v>3</v>
      </c>
      <c r="V41" s="37">
        <v>0</v>
      </c>
      <c r="W41" s="37">
        <v>2</v>
      </c>
      <c r="X41" s="38">
        <v>3</v>
      </c>
      <c r="Y41" s="38">
        <v>0</v>
      </c>
      <c r="Z41" s="38">
        <v>2</v>
      </c>
      <c r="AA41" s="49">
        <f t="shared" si="6"/>
        <v>3</v>
      </c>
      <c r="AB41" s="49">
        <f t="shared" si="7"/>
        <v>2</v>
      </c>
      <c r="AC41" s="44">
        <v>0</v>
      </c>
      <c r="AD41" s="45">
        <v>0</v>
      </c>
      <c r="AE41" s="54">
        <f t="shared" si="8"/>
        <v>0</v>
      </c>
      <c r="AF41" s="36">
        <v>1</v>
      </c>
      <c r="AG41" s="36">
        <v>1</v>
      </c>
      <c r="AH41" s="54">
        <f t="shared" si="9"/>
        <v>1</v>
      </c>
      <c r="AI41" s="46">
        <v>0</v>
      </c>
      <c r="AJ41" s="46">
        <v>0</v>
      </c>
      <c r="AK41" s="47">
        <v>0</v>
      </c>
      <c r="AL41" s="47">
        <v>0</v>
      </c>
      <c r="AM41" s="58">
        <f t="shared" si="10"/>
        <v>0</v>
      </c>
      <c r="AN41" s="58">
        <f t="shared" si="11"/>
        <v>0</v>
      </c>
    </row>
    <row r="42" spans="1:40">
      <c r="A42" s="23">
        <v>10043</v>
      </c>
      <c r="B42" s="23" t="s">
        <v>3772</v>
      </c>
      <c r="C42" s="43">
        <v>3</v>
      </c>
      <c r="D42" s="36">
        <v>3</v>
      </c>
      <c r="E42" s="52">
        <f t="shared" si="0"/>
        <v>3</v>
      </c>
      <c r="F42" s="37">
        <v>3</v>
      </c>
      <c r="G42" s="37">
        <v>1</v>
      </c>
      <c r="H42" s="38">
        <v>2</v>
      </c>
      <c r="I42" s="38">
        <v>1</v>
      </c>
      <c r="J42" s="49">
        <f t="shared" si="1"/>
        <v>2.5</v>
      </c>
      <c r="K42" s="49">
        <f t="shared" si="2"/>
        <v>1</v>
      </c>
      <c r="L42" s="44">
        <v>2</v>
      </c>
      <c r="M42" s="44">
        <v>1</v>
      </c>
      <c r="N42" s="45">
        <v>2</v>
      </c>
      <c r="O42" s="45">
        <v>1</v>
      </c>
      <c r="P42" s="54">
        <f t="shared" si="3"/>
        <v>2</v>
      </c>
      <c r="Q42" s="54">
        <f t="shared" si="4"/>
        <v>1</v>
      </c>
      <c r="R42" s="46">
        <v>0</v>
      </c>
      <c r="S42" s="47">
        <v>0</v>
      </c>
      <c r="T42" s="57">
        <f t="shared" si="5"/>
        <v>0</v>
      </c>
      <c r="U42" s="37">
        <v>3</v>
      </c>
      <c r="V42" s="37">
        <v>0</v>
      </c>
      <c r="W42" s="37">
        <v>1</v>
      </c>
      <c r="X42" s="38">
        <v>2</v>
      </c>
      <c r="Y42" s="38">
        <v>0</v>
      </c>
      <c r="Z42" s="38">
        <v>0</v>
      </c>
      <c r="AA42" s="49">
        <f t="shared" si="6"/>
        <v>2.5</v>
      </c>
      <c r="AB42" s="49">
        <f t="shared" si="7"/>
        <v>0.5</v>
      </c>
      <c r="AC42" s="44">
        <v>0</v>
      </c>
      <c r="AD42" s="45">
        <v>0</v>
      </c>
      <c r="AE42" s="54">
        <f t="shared" si="8"/>
        <v>0</v>
      </c>
      <c r="AF42" s="43">
        <v>2</v>
      </c>
      <c r="AG42" s="36">
        <v>2</v>
      </c>
      <c r="AH42" s="54">
        <f t="shared" si="9"/>
        <v>2</v>
      </c>
      <c r="AI42" s="46">
        <v>2</v>
      </c>
      <c r="AJ42" s="46">
        <v>0</v>
      </c>
      <c r="AK42" s="47">
        <v>1</v>
      </c>
      <c r="AL42" s="47">
        <v>0</v>
      </c>
      <c r="AM42" s="58">
        <f t="shared" si="10"/>
        <v>1.5</v>
      </c>
      <c r="AN42" s="58">
        <f t="shared" si="11"/>
        <v>0</v>
      </c>
    </row>
    <row r="43" spans="1:40">
      <c r="A43" s="23">
        <v>10044</v>
      </c>
      <c r="B43" s="23" t="s">
        <v>3937</v>
      </c>
      <c r="C43" s="43">
        <v>2</v>
      </c>
      <c r="D43" s="36">
        <v>1</v>
      </c>
      <c r="E43" s="52">
        <f t="shared" si="0"/>
        <v>1.5</v>
      </c>
      <c r="F43" s="37">
        <v>3</v>
      </c>
      <c r="G43" s="37">
        <v>1</v>
      </c>
      <c r="H43" s="38">
        <v>1</v>
      </c>
      <c r="I43" s="38">
        <v>1</v>
      </c>
      <c r="J43" s="49">
        <f t="shared" si="1"/>
        <v>2</v>
      </c>
      <c r="K43" s="49">
        <f t="shared" si="2"/>
        <v>1</v>
      </c>
      <c r="L43" s="44">
        <v>3</v>
      </c>
      <c r="M43" s="44">
        <v>1</v>
      </c>
      <c r="N43" s="45">
        <v>2</v>
      </c>
      <c r="O43" s="45">
        <v>0</v>
      </c>
      <c r="P43" s="54">
        <f t="shared" si="3"/>
        <v>2.5</v>
      </c>
      <c r="Q43" s="54">
        <f t="shared" si="4"/>
        <v>0.5</v>
      </c>
      <c r="R43" s="46">
        <v>0</v>
      </c>
      <c r="S43" s="47">
        <v>0</v>
      </c>
      <c r="T43" s="57">
        <f t="shared" si="5"/>
        <v>0</v>
      </c>
      <c r="U43" s="37">
        <v>2</v>
      </c>
      <c r="V43" s="37">
        <v>0</v>
      </c>
      <c r="W43" s="37">
        <v>2</v>
      </c>
      <c r="X43" s="38">
        <v>1</v>
      </c>
      <c r="Y43" s="38">
        <v>0</v>
      </c>
      <c r="Z43" s="38">
        <v>2</v>
      </c>
      <c r="AA43" s="49">
        <f t="shared" si="6"/>
        <v>1.5</v>
      </c>
      <c r="AB43" s="49">
        <f t="shared" si="7"/>
        <v>2</v>
      </c>
      <c r="AC43" s="44">
        <v>2</v>
      </c>
      <c r="AD43" s="45">
        <v>2</v>
      </c>
      <c r="AE43" s="54">
        <f t="shared" si="8"/>
        <v>2</v>
      </c>
      <c r="AF43" s="43">
        <v>0</v>
      </c>
      <c r="AG43" s="36">
        <v>1</v>
      </c>
      <c r="AH43" s="54">
        <f t="shared" si="9"/>
        <v>0.5</v>
      </c>
      <c r="AI43" s="46">
        <v>0</v>
      </c>
      <c r="AJ43" s="46">
        <v>0</v>
      </c>
      <c r="AK43" s="47">
        <v>0</v>
      </c>
      <c r="AL43" s="47">
        <v>0</v>
      </c>
      <c r="AM43" s="58">
        <f t="shared" si="10"/>
        <v>0</v>
      </c>
      <c r="AN43" s="58">
        <f t="shared" si="11"/>
        <v>0</v>
      </c>
    </row>
    <row r="44" spans="1:40">
      <c r="A44" s="23">
        <v>10045</v>
      </c>
      <c r="B44" s="23" t="s">
        <v>3835</v>
      </c>
      <c r="C44" s="43">
        <v>2</v>
      </c>
      <c r="D44" s="36">
        <v>1</v>
      </c>
      <c r="E44" s="52">
        <f t="shared" si="0"/>
        <v>1.5</v>
      </c>
      <c r="F44" s="37">
        <v>3</v>
      </c>
      <c r="G44" s="37">
        <v>1</v>
      </c>
      <c r="H44" s="38">
        <v>1</v>
      </c>
      <c r="I44" s="38">
        <v>1</v>
      </c>
      <c r="J44" s="49">
        <f t="shared" si="1"/>
        <v>2</v>
      </c>
      <c r="K44" s="49">
        <f t="shared" si="2"/>
        <v>1</v>
      </c>
      <c r="L44" s="44">
        <v>0</v>
      </c>
      <c r="M44" s="44">
        <v>0</v>
      </c>
      <c r="N44" s="45">
        <v>0</v>
      </c>
      <c r="O44" s="45">
        <v>0</v>
      </c>
      <c r="P44" s="54">
        <f t="shared" si="3"/>
        <v>0</v>
      </c>
      <c r="Q44" s="54">
        <f t="shared" si="4"/>
        <v>0</v>
      </c>
      <c r="R44" s="46">
        <v>0</v>
      </c>
      <c r="S44" s="47">
        <v>0</v>
      </c>
      <c r="T44" s="57">
        <f t="shared" si="5"/>
        <v>0</v>
      </c>
      <c r="U44" s="37">
        <v>3</v>
      </c>
      <c r="V44" s="37">
        <v>0</v>
      </c>
      <c r="W44" s="37">
        <v>2</v>
      </c>
      <c r="X44" s="38">
        <v>3</v>
      </c>
      <c r="Y44" s="38">
        <v>0</v>
      </c>
      <c r="Z44" s="38">
        <v>0</v>
      </c>
      <c r="AA44" s="49">
        <f t="shared" si="6"/>
        <v>3</v>
      </c>
      <c r="AB44" s="49">
        <f t="shared" si="7"/>
        <v>1</v>
      </c>
      <c r="AC44" s="44">
        <v>1</v>
      </c>
      <c r="AD44" s="45">
        <v>0</v>
      </c>
      <c r="AE44" s="54">
        <f t="shared" si="8"/>
        <v>0.5</v>
      </c>
      <c r="AF44" s="43">
        <v>0</v>
      </c>
      <c r="AG44" s="36">
        <v>1</v>
      </c>
      <c r="AH44" s="54">
        <f t="shared" si="9"/>
        <v>0.5</v>
      </c>
      <c r="AI44" s="46">
        <v>0</v>
      </c>
      <c r="AJ44" s="46">
        <v>0</v>
      </c>
      <c r="AK44" s="47">
        <v>0</v>
      </c>
      <c r="AL44" s="47">
        <v>0</v>
      </c>
      <c r="AM44" s="58">
        <f t="shared" si="10"/>
        <v>0</v>
      </c>
      <c r="AN44" s="58">
        <f t="shared" si="11"/>
        <v>0</v>
      </c>
    </row>
    <row r="45" spans="1:40">
      <c r="A45" s="23">
        <v>10046</v>
      </c>
      <c r="B45" s="23" t="s">
        <v>3764</v>
      </c>
      <c r="C45" s="43">
        <v>3</v>
      </c>
      <c r="D45" s="36">
        <v>3</v>
      </c>
      <c r="E45" s="52">
        <f t="shared" si="0"/>
        <v>3</v>
      </c>
      <c r="F45" s="37">
        <v>0</v>
      </c>
      <c r="G45" s="37">
        <v>1</v>
      </c>
      <c r="H45" s="38">
        <v>0</v>
      </c>
      <c r="I45" s="38">
        <v>1</v>
      </c>
      <c r="J45" s="49">
        <f t="shared" si="1"/>
        <v>0</v>
      </c>
      <c r="K45" s="49">
        <f t="shared" si="2"/>
        <v>1</v>
      </c>
      <c r="L45" s="44">
        <v>3</v>
      </c>
      <c r="M45" s="44">
        <v>1</v>
      </c>
      <c r="N45" s="45">
        <v>2</v>
      </c>
      <c r="O45" s="45">
        <v>1</v>
      </c>
      <c r="P45" s="54">
        <f t="shared" si="3"/>
        <v>2.5</v>
      </c>
      <c r="Q45" s="54">
        <f t="shared" si="4"/>
        <v>1</v>
      </c>
      <c r="R45" s="46">
        <v>0</v>
      </c>
      <c r="S45" s="47">
        <v>0</v>
      </c>
      <c r="T45" s="57">
        <f t="shared" si="5"/>
        <v>0</v>
      </c>
      <c r="U45" s="37">
        <v>3</v>
      </c>
      <c r="V45" s="37">
        <v>0</v>
      </c>
      <c r="W45" s="37">
        <v>2</v>
      </c>
      <c r="X45" s="38">
        <v>3</v>
      </c>
      <c r="Y45" s="38">
        <v>0</v>
      </c>
      <c r="Z45" s="38">
        <v>2</v>
      </c>
      <c r="AA45" s="49">
        <f t="shared" si="6"/>
        <v>3</v>
      </c>
      <c r="AB45" s="49">
        <f t="shared" si="7"/>
        <v>2</v>
      </c>
      <c r="AC45" s="44">
        <v>0</v>
      </c>
      <c r="AD45" s="45">
        <v>0</v>
      </c>
      <c r="AE45" s="54">
        <f t="shared" si="8"/>
        <v>0</v>
      </c>
      <c r="AF45" s="36">
        <v>1</v>
      </c>
      <c r="AG45" s="36">
        <v>1</v>
      </c>
      <c r="AH45" s="54">
        <f t="shared" si="9"/>
        <v>1</v>
      </c>
      <c r="AI45" s="46">
        <v>2</v>
      </c>
      <c r="AJ45" s="46">
        <v>0</v>
      </c>
      <c r="AK45" s="47">
        <v>2</v>
      </c>
      <c r="AL45" s="47">
        <v>0</v>
      </c>
      <c r="AM45" s="58">
        <f t="shared" si="10"/>
        <v>2</v>
      </c>
      <c r="AN45" s="58">
        <f t="shared" si="11"/>
        <v>0</v>
      </c>
    </row>
    <row r="46" spans="1:40">
      <c r="A46" s="23">
        <v>10047</v>
      </c>
      <c r="B46" s="23" t="s">
        <v>4012</v>
      </c>
      <c r="C46" s="43">
        <v>3</v>
      </c>
      <c r="D46" s="36">
        <v>3</v>
      </c>
      <c r="E46" s="52">
        <f t="shared" si="0"/>
        <v>3</v>
      </c>
      <c r="F46" s="37">
        <v>3</v>
      </c>
      <c r="G46" s="37">
        <v>1</v>
      </c>
      <c r="H46" s="38">
        <v>1</v>
      </c>
      <c r="I46" s="38">
        <v>1</v>
      </c>
      <c r="J46" s="49">
        <f t="shared" si="1"/>
        <v>2</v>
      </c>
      <c r="K46" s="49">
        <f t="shared" si="2"/>
        <v>1</v>
      </c>
      <c r="L46" s="44">
        <v>3</v>
      </c>
      <c r="M46" s="44">
        <v>1</v>
      </c>
      <c r="N46" s="45">
        <v>2</v>
      </c>
      <c r="O46" s="45">
        <v>1</v>
      </c>
      <c r="P46" s="54">
        <f t="shared" si="3"/>
        <v>2.5</v>
      </c>
      <c r="Q46" s="54">
        <f t="shared" si="4"/>
        <v>1</v>
      </c>
      <c r="R46" s="46">
        <v>0</v>
      </c>
      <c r="S46" s="47">
        <v>0</v>
      </c>
      <c r="T46" s="57">
        <f t="shared" si="5"/>
        <v>0</v>
      </c>
      <c r="U46" s="37">
        <v>3</v>
      </c>
      <c r="V46" s="37">
        <v>0</v>
      </c>
      <c r="W46" s="37">
        <v>1</v>
      </c>
      <c r="X46" s="38">
        <v>3</v>
      </c>
      <c r="Y46" s="38">
        <v>1</v>
      </c>
      <c r="Z46" s="38">
        <v>1</v>
      </c>
      <c r="AA46" s="49">
        <f t="shared" si="6"/>
        <v>3</v>
      </c>
      <c r="AB46" s="49">
        <f t="shared" si="7"/>
        <v>1</v>
      </c>
      <c r="AC46" s="44">
        <v>1</v>
      </c>
      <c r="AD46" s="45">
        <v>0</v>
      </c>
      <c r="AE46" s="54">
        <f t="shared" si="8"/>
        <v>0.5</v>
      </c>
      <c r="AF46" s="43">
        <v>1</v>
      </c>
      <c r="AG46" s="36">
        <v>1</v>
      </c>
      <c r="AH46" s="54">
        <f t="shared" si="9"/>
        <v>1</v>
      </c>
      <c r="AI46" s="46">
        <v>1</v>
      </c>
      <c r="AJ46" s="46">
        <v>0</v>
      </c>
      <c r="AK46" s="47">
        <v>2</v>
      </c>
      <c r="AL46" s="47">
        <v>0</v>
      </c>
      <c r="AM46" s="58">
        <f t="shared" si="10"/>
        <v>1.5</v>
      </c>
      <c r="AN46" s="58">
        <f t="shared" si="11"/>
        <v>0</v>
      </c>
    </row>
    <row r="47" spans="1:40">
      <c r="A47" s="23">
        <v>10048</v>
      </c>
      <c r="B47" s="23" t="s">
        <v>3746</v>
      </c>
      <c r="C47" s="43">
        <v>3</v>
      </c>
      <c r="D47" s="36">
        <v>3</v>
      </c>
      <c r="E47" s="52">
        <f t="shared" si="0"/>
        <v>3</v>
      </c>
      <c r="F47" s="37">
        <v>1</v>
      </c>
      <c r="G47" s="37">
        <v>1</v>
      </c>
      <c r="H47" s="38">
        <v>1</v>
      </c>
      <c r="I47" s="38">
        <v>0</v>
      </c>
      <c r="J47" s="49">
        <f t="shared" si="1"/>
        <v>1</v>
      </c>
      <c r="K47" s="49">
        <f t="shared" si="2"/>
        <v>0.5</v>
      </c>
      <c r="L47" s="44">
        <v>3</v>
      </c>
      <c r="M47" s="44">
        <v>1</v>
      </c>
      <c r="N47" s="45">
        <v>2</v>
      </c>
      <c r="O47" s="45">
        <v>1</v>
      </c>
      <c r="P47" s="54">
        <f t="shared" si="3"/>
        <v>2.5</v>
      </c>
      <c r="Q47" s="54">
        <f t="shared" si="4"/>
        <v>1</v>
      </c>
      <c r="R47" s="46">
        <v>1</v>
      </c>
      <c r="S47" s="47">
        <v>1</v>
      </c>
      <c r="T47" s="57">
        <f t="shared" si="5"/>
        <v>1</v>
      </c>
      <c r="U47" s="37">
        <v>3</v>
      </c>
      <c r="V47" s="37">
        <v>0</v>
      </c>
      <c r="W47" s="37">
        <v>2</v>
      </c>
      <c r="X47" s="38">
        <v>3</v>
      </c>
      <c r="Y47" s="38">
        <v>0</v>
      </c>
      <c r="Z47" s="38">
        <v>2</v>
      </c>
      <c r="AA47" s="49">
        <f t="shared" si="6"/>
        <v>3</v>
      </c>
      <c r="AB47" s="49">
        <f t="shared" si="7"/>
        <v>2</v>
      </c>
      <c r="AC47" s="44">
        <v>1</v>
      </c>
      <c r="AD47" s="45">
        <v>0</v>
      </c>
      <c r="AE47" s="54">
        <f t="shared" si="8"/>
        <v>0.5</v>
      </c>
      <c r="AF47" s="43">
        <v>0</v>
      </c>
      <c r="AG47" s="36">
        <v>1</v>
      </c>
      <c r="AH47" s="54">
        <f t="shared" si="9"/>
        <v>0.5</v>
      </c>
      <c r="AI47" s="46">
        <v>2</v>
      </c>
      <c r="AJ47" s="46">
        <v>1</v>
      </c>
      <c r="AK47" s="47">
        <v>2</v>
      </c>
      <c r="AL47" s="47">
        <v>1</v>
      </c>
      <c r="AM47" s="58">
        <f t="shared" si="10"/>
        <v>2</v>
      </c>
      <c r="AN47" s="58">
        <f t="shared" si="11"/>
        <v>1</v>
      </c>
    </row>
    <row r="48" spans="1:40">
      <c r="A48" s="23">
        <v>10049</v>
      </c>
      <c r="B48" s="23" t="s">
        <v>3890</v>
      </c>
      <c r="C48" s="43">
        <v>0</v>
      </c>
      <c r="D48" s="36">
        <v>0</v>
      </c>
      <c r="E48" s="52">
        <f t="shared" si="0"/>
        <v>0</v>
      </c>
      <c r="F48" s="37">
        <v>0</v>
      </c>
      <c r="G48" s="37">
        <v>1</v>
      </c>
      <c r="H48" s="38">
        <v>0</v>
      </c>
      <c r="I48" s="38">
        <v>1</v>
      </c>
      <c r="J48" s="49">
        <f t="shared" si="1"/>
        <v>0</v>
      </c>
      <c r="K48" s="49">
        <f t="shared" si="2"/>
        <v>1</v>
      </c>
      <c r="L48" s="44">
        <v>0</v>
      </c>
      <c r="M48" s="44">
        <v>1</v>
      </c>
      <c r="N48" s="45">
        <v>0</v>
      </c>
      <c r="O48" s="45">
        <v>1</v>
      </c>
      <c r="P48" s="54">
        <f t="shared" si="3"/>
        <v>0</v>
      </c>
      <c r="Q48" s="54">
        <f t="shared" si="4"/>
        <v>1</v>
      </c>
      <c r="R48" s="46">
        <v>0</v>
      </c>
      <c r="S48" s="47">
        <v>0</v>
      </c>
      <c r="T48" s="57">
        <f t="shared" si="5"/>
        <v>0</v>
      </c>
      <c r="U48" s="37">
        <v>0</v>
      </c>
      <c r="V48" s="37">
        <v>0</v>
      </c>
      <c r="W48" s="37">
        <v>2</v>
      </c>
      <c r="X48" s="38">
        <v>0</v>
      </c>
      <c r="Y48" s="38">
        <v>0</v>
      </c>
      <c r="Z48" s="38">
        <v>2</v>
      </c>
      <c r="AA48" s="49">
        <f t="shared" si="6"/>
        <v>0</v>
      </c>
      <c r="AB48" s="49">
        <f t="shared" si="7"/>
        <v>2</v>
      </c>
      <c r="AC48" s="44">
        <v>1</v>
      </c>
      <c r="AD48" s="45">
        <v>0</v>
      </c>
      <c r="AE48" s="54">
        <f t="shared" si="8"/>
        <v>0.5</v>
      </c>
      <c r="AF48" s="43">
        <v>1</v>
      </c>
      <c r="AG48" s="36">
        <v>0</v>
      </c>
      <c r="AH48" s="54">
        <f t="shared" si="9"/>
        <v>0.5</v>
      </c>
      <c r="AI48" s="46">
        <v>0</v>
      </c>
      <c r="AJ48" s="46">
        <v>0</v>
      </c>
      <c r="AK48" s="47">
        <v>1</v>
      </c>
      <c r="AL48" s="47">
        <v>0</v>
      </c>
      <c r="AM48" s="58">
        <f t="shared" si="10"/>
        <v>0.5</v>
      </c>
      <c r="AN48" s="58">
        <f t="shared" si="11"/>
        <v>0</v>
      </c>
    </row>
    <row r="49" spans="1:40">
      <c r="A49" s="23">
        <v>10050</v>
      </c>
      <c r="B49" s="23" t="s">
        <v>3879</v>
      </c>
      <c r="C49" s="43">
        <v>1</v>
      </c>
      <c r="D49" s="36">
        <v>1</v>
      </c>
      <c r="E49" s="52">
        <f t="shared" si="0"/>
        <v>1</v>
      </c>
      <c r="F49" s="37">
        <v>3</v>
      </c>
      <c r="G49" s="37">
        <v>0</v>
      </c>
      <c r="H49" s="38">
        <v>2</v>
      </c>
      <c r="I49" s="38">
        <v>0</v>
      </c>
      <c r="J49" s="49">
        <f t="shared" si="1"/>
        <v>2.5</v>
      </c>
      <c r="K49" s="49">
        <f t="shared" si="2"/>
        <v>0</v>
      </c>
      <c r="L49" s="44">
        <v>0</v>
      </c>
      <c r="M49" s="44">
        <v>0</v>
      </c>
      <c r="N49" s="45">
        <v>0</v>
      </c>
      <c r="O49" s="45">
        <v>0</v>
      </c>
      <c r="P49" s="54">
        <f t="shared" si="3"/>
        <v>0</v>
      </c>
      <c r="Q49" s="54">
        <f t="shared" si="4"/>
        <v>0</v>
      </c>
      <c r="R49" s="46">
        <v>1</v>
      </c>
      <c r="S49" s="47">
        <v>0</v>
      </c>
      <c r="T49" s="57">
        <f t="shared" si="5"/>
        <v>0.5</v>
      </c>
      <c r="U49" s="37">
        <v>3</v>
      </c>
      <c r="V49" s="37">
        <v>0</v>
      </c>
      <c r="W49" s="37">
        <v>1</v>
      </c>
      <c r="X49" s="38">
        <v>3</v>
      </c>
      <c r="Y49" s="38">
        <v>0</v>
      </c>
      <c r="Z49" s="38">
        <v>1</v>
      </c>
      <c r="AA49" s="49">
        <f t="shared" si="6"/>
        <v>3</v>
      </c>
      <c r="AB49" s="49">
        <f t="shared" si="7"/>
        <v>1</v>
      </c>
      <c r="AC49" s="44">
        <v>2</v>
      </c>
      <c r="AD49" s="45">
        <v>2</v>
      </c>
      <c r="AE49" s="54">
        <f t="shared" si="8"/>
        <v>2</v>
      </c>
      <c r="AF49" s="43">
        <v>2</v>
      </c>
      <c r="AG49" s="36">
        <v>2</v>
      </c>
      <c r="AH49" s="54">
        <f t="shared" si="9"/>
        <v>2</v>
      </c>
      <c r="AI49" s="46">
        <v>2</v>
      </c>
      <c r="AJ49" s="46">
        <v>0</v>
      </c>
      <c r="AK49" s="47">
        <v>1</v>
      </c>
      <c r="AL49" s="47">
        <v>0</v>
      </c>
      <c r="AM49" s="58">
        <f t="shared" si="10"/>
        <v>1.5</v>
      </c>
      <c r="AN49" s="58">
        <f t="shared" si="11"/>
        <v>0</v>
      </c>
    </row>
    <row r="50" spans="1:40">
      <c r="A50" s="23">
        <v>10051</v>
      </c>
      <c r="B50" s="23" t="s">
        <v>3811</v>
      </c>
      <c r="C50" s="43">
        <v>1</v>
      </c>
      <c r="D50" s="36">
        <v>1</v>
      </c>
      <c r="E50" s="52">
        <f t="shared" si="0"/>
        <v>1</v>
      </c>
      <c r="F50" s="37">
        <v>3</v>
      </c>
      <c r="G50" s="37">
        <v>2</v>
      </c>
      <c r="H50" s="38">
        <v>1</v>
      </c>
      <c r="I50" s="38">
        <v>1</v>
      </c>
      <c r="J50" s="49">
        <f t="shared" si="1"/>
        <v>2</v>
      </c>
      <c r="K50" s="49">
        <f t="shared" si="2"/>
        <v>1.5</v>
      </c>
      <c r="L50" s="44">
        <v>3</v>
      </c>
      <c r="M50" s="44">
        <v>1</v>
      </c>
      <c r="N50" s="45">
        <v>1</v>
      </c>
      <c r="O50" s="45">
        <v>1</v>
      </c>
      <c r="P50" s="54">
        <f t="shared" si="3"/>
        <v>2</v>
      </c>
      <c r="Q50" s="54">
        <f t="shared" si="4"/>
        <v>1</v>
      </c>
      <c r="R50" s="46">
        <v>2</v>
      </c>
      <c r="S50" s="47">
        <v>2</v>
      </c>
      <c r="T50" s="57">
        <f t="shared" si="5"/>
        <v>2</v>
      </c>
      <c r="U50" s="37">
        <v>3</v>
      </c>
      <c r="V50" s="37">
        <v>3</v>
      </c>
      <c r="W50" s="37">
        <v>2</v>
      </c>
      <c r="X50" s="38">
        <v>1</v>
      </c>
      <c r="Y50" s="38">
        <v>0</v>
      </c>
      <c r="Z50" s="38">
        <v>2</v>
      </c>
      <c r="AA50" s="49">
        <f t="shared" si="6"/>
        <v>2</v>
      </c>
      <c r="AB50" s="49">
        <f t="shared" si="7"/>
        <v>2</v>
      </c>
      <c r="AC50" s="44">
        <v>2</v>
      </c>
      <c r="AD50" s="45">
        <v>2</v>
      </c>
      <c r="AE50" s="54">
        <f t="shared" si="8"/>
        <v>2</v>
      </c>
      <c r="AF50" s="43">
        <v>1</v>
      </c>
      <c r="AG50" s="36">
        <v>1</v>
      </c>
      <c r="AH50" s="54">
        <f t="shared" si="9"/>
        <v>1</v>
      </c>
      <c r="AI50" s="46">
        <v>2</v>
      </c>
      <c r="AJ50" s="46">
        <v>1</v>
      </c>
      <c r="AK50" s="47">
        <v>1</v>
      </c>
      <c r="AL50" s="47">
        <v>0</v>
      </c>
      <c r="AM50" s="58">
        <f t="shared" si="10"/>
        <v>1.5</v>
      </c>
      <c r="AN50" s="58">
        <f t="shared" si="11"/>
        <v>0.5</v>
      </c>
    </row>
    <row r="51" spans="1:40">
      <c r="A51" s="23">
        <v>10052</v>
      </c>
      <c r="B51" s="23" t="s">
        <v>3851</v>
      </c>
      <c r="C51" s="43">
        <v>3</v>
      </c>
      <c r="D51" s="36">
        <v>3</v>
      </c>
      <c r="E51" s="52">
        <f t="shared" si="0"/>
        <v>3</v>
      </c>
      <c r="F51" s="37">
        <v>0</v>
      </c>
      <c r="G51" s="37">
        <v>0</v>
      </c>
      <c r="H51" s="38">
        <v>0</v>
      </c>
      <c r="I51" s="38">
        <v>0</v>
      </c>
      <c r="J51" s="49">
        <f t="shared" si="1"/>
        <v>0</v>
      </c>
      <c r="K51" s="49">
        <f t="shared" si="2"/>
        <v>0</v>
      </c>
      <c r="L51" s="44">
        <v>3</v>
      </c>
      <c r="M51" s="44">
        <v>0</v>
      </c>
      <c r="N51" s="45">
        <v>3</v>
      </c>
      <c r="O51" s="45">
        <v>0</v>
      </c>
      <c r="P51" s="54">
        <f t="shared" si="3"/>
        <v>3</v>
      </c>
      <c r="Q51" s="54">
        <f t="shared" si="4"/>
        <v>0</v>
      </c>
      <c r="R51" s="46">
        <v>0</v>
      </c>
      <c r="S51" s="47">
        <v>0</v>
      </c>
      <c r="T51" s="57">
        <f t="shared" si="5"/>
        <v>0</v>
      </c>
      <c r="U51" s="37">
        <v>3</v>
      </c>
      <c r="V51" s="37">
        <v>0</v>
      </c>
      <c r="W51" s="37">
        <v>2</v>
      </c>
      <c r="X51" s="38">
        <v>2</v>
      </c>
      <c r="Y51" s="38">
        <v>0</v>
      </c>
      <c r="Z51" s="38">
        <v>2</v>
      </c>
      <c r="AA51" s="49">
        <f t="shared" si="6"/>
        <v>2.5</v>
      </c>
      <c r="AB51" s="49">
        <f t="shared" si="7"/>
        <v>2</v>
      </c>
      <c r="AC51" s="44">
        <v>1</v>
      </c>
      <c r="AD51" s="45">
        <v>0</v>
      </c>
      <c r="AE51" s="54">
        <f t="shared" si="8"/>
        <v>0.5</v>
      </c>
      <c r="AF51" s="43">
        <v>0</v>
      </c>
      <c r="AG51" s="36">
        <v>1</v>
      </c>
      <c r="AH51" s="54">
        <f t="shared" si="9"/>
        <v>0.5</v>
      </c>
      <c r="AI51" s="46">
        <v>2</v>
      </c>
      <c r="AJ51" s="46">
        <v>0</v>
      </c>
      <c r="AK51" s="47">
        <v>0</v>
      </c>
      <c r="AL51" s="47">
        <v>0</v>
      </c>
      <c r="AM51" s="58">
        <f t="shared" si="10"/>
        <v>1</v>
      </c>
      <c r="AN51" s="58">
        <f t="shared" si="11"/>
        <v>0</v>
      </c>
    </row>
    <row r="52" spans="1:40">
      <c r="A52" s="23">
        <v>10053</v>
      </c>
      <c r="B52" s="23" t="s">
        <v>3996</v>
      </c>
      <c r="C52" s="43">
        <v>2</v>
      </c>
      <c r="D52" s="36">
        <v>0</v>
      </c>
      <c r="E52" s="52">
        <f t="shared" si="0"/>
        <v>1</v>
      </c>
      <c r="F52" s="37">
        <v>0</v>
      </c>
      <c r="G52" s="37">
        <v>1</v>
      </c>
      <c r="H52" s="38">
        <v>0</v>
      </c>
      <c r="I52" s="38">
        <v>1</v>
      </c>
      <c r="J52" s="49">
        <f t="shared" si="1"/>
        <v>0</v>
      </c>
      <c r="K52" s="49">
        <f t="shared" si="2"/>
        <v>1</v>
      </c>
      <c r="L52" s="44">
        <v>3</v>
      </c>
      <c r="M52" s="44">
        <v>2</v>
      </c>
      <c r="N52" s="45">
        <v>2</v>
      </c>
      <c r="O52" s="45">
        <v>1</v>
      </c>
      <c r="P52" s="54">
        <f t="shared" si="3"/>
        <v>2.5</v>
      </c>
      <c r="Q52" s="54">
        <f t="shared" si="4"/>
        <v>1.5</v>
      </c>
      <c r="R52" s="46">
        <v>0</v>
      </c>
      <c r="S52" s="47">
        <v>0</v>
      </c>
      <c r="T52" s="57">
        <f t="shared" si="5"/>
        <v>0</v>
      </c>
      <c r="U52" s="37">
        <v>0</v>
      </c>
      <c r="V52" s="37">
        <v>0</v>
      </c>
      <c r="W52" s="37">
        <v>0</v>
      </c>
      <c r="X52" s="38">
        <v>0</v>
      </c>
      <c r="Y52" s="38">
        <v>0</v>
      </c>
      <c r="Z52" s="38">
        <v>0</v>
      </c>
      <c r="AA52" s="49">
        <f t="shared" si="6"/>
        <v>0</v>
      </c>
      <c r="AB52" s="49">
        <f t="shared" si="7"/>
        <v>0</v>
      </c>
      <c r="AC52" s="44">
        <v>1</v>
      </c>
      <c r="AD52" s="45">
        <v>0</v>
      </c>
      <c r="AE52" s="54">
        <f t="shared" si="8"/>
        <v>0.5</v>
      </c>
      <c r="AF52" s="43">
        <v>0</v>
      </c>
      <c r="AG52" s="36">
        <v>1</v>
      </c>
      <c r="AH52" s="54">
        <f t="shared" si="9"/>
        <v>0.5</v>
      </c>
      <c r="AI52" s="46">
        <v>2</v>
      </c>
      <c r="AJ52" s="46">
        <v>0</v>
      </c>
      <c r="AK52" s="47">
        <v>0</v>
      </c>
      <c r="AL52" s="47">
        <v>0</v>
      </c>
      <c r="AM52" s="58">
        <f t="shared" si="10"/>
        <v>1</v>
      </c>
      <c r="AN52" s="58">
        <f t="shared" si="11"/>
        <v>0</v>
      </c>
    </row>
    <row r="53" spans="1:40">
      <c r="A53" s="23">
        <v>10054</v>
      </c>
      <c r="B53" s="23" t="s">
        <v>3884</v>
      </c>
      <c r="C53" s="43">
        <v>3</v>
      </c>
      <c r="D53" s="36">
        <v>3</v>
      </c>
      <c r="E53" s="52">
        <f t="shared" si="0"/>
        <v>3</v>
      </c>
      <c r="F53" s="37">
        <v>3</v>
      </c>
      <c r="G53" s="37">
        <v>1</v>
      </c>
      <c r="H53" s="38">
        <v>3</v>
      </c>
      <c r="I53" s="38">
        <v>1</v>
      </c>
      <c r="J53" s="49">
        <f t="shared" si="1"/>
        <v>3</v>
      </c>
      <c r="K53" s="49">
        <f t="shared" si="2"/>
        <v>1</v>
      </c>
      <c r="L53" s="44">
        <v>3</v>
      </c>
      <c r="M53" s="44">
        <v>1</v>
      </c>
      <c r="N53" s="45">
        <v>1</v>
      </c>
      <c r="O53" s="45">
        <v>1</v>
      </c>
      <c r="P53" s="54">
        <f t="shared" si="3"/>
        <v>2</v>
      </c>
      <c r="Q53" s="54">
        <f t="shared" si="4"/>
        <v>1</v>
      </c>
      <c r="R53" s="46">
        <v>0</v>
      </c>
      <c r="S53" s="47">
        <v>0</v>
      </c>
      <c r="T53" s="57">
        <f t="shared" si="5"/>
        <v>0</v>
      </c>
      <c r="U53" s="37">
        <v>3</v>
      </c>
      <c r="V53" s="37">
        <v>0</v>
      </c>
      <c r="W53" s="37">
        <v>0</v>
      </c>
      <c r="X53" s="38">
        <v>2</v>
      </c>
      <c r="Y53" s="38">
        <v>0</v>
      </c>
      <c r="Z53" s="38">
        <v>0</v>
      </c>
      <c r="AA53" s="49">
        <f t="shared" si="6"/>
        <v>2.5</v>
      </c>
      <c r="AB53" s="49">
        <f t="shared" si="7"/>
        <v>0</v>
      </c>
      <c r="AC53" s="44">
        <v>0</v>
      </c>
      <c r="AD53" s="45">
        <v>0</v>
      </c>
      <c r="AE53" s="54">
        <f t="shared" si="8"/>
        <v>0</v>
      </c>
      <c r="AF53" s="43">
        <v>2</v>
      </c>
      <c r="AG53" s="36">
        <v>2</v>
      </c>
      <c r="AH53" s="54">
        <f t="shared" si="9"/>
        <v>2</v>
      </c>
      <c r="AI53" s="46">
        <v>3</v>
      </c>
      <c r="AJ53" s="46">
        <v>0</v>
      </c>
      <c r="AK53" s="47">
        <v>2</v>
      </c>
      <c r="AL53" s="47">
        <v>0</v>
      </c>
      <c r="AM53" s="58">
        <f t="shared" si="10"/>
        <v>2.5</v>
      </c>
      <c r="AN53" s="58">
        <f t="shared" si="11"/>
        <v>0</v>
      </c>
    </row>
    <row r="54" spans="1:40">
      <c r="A54" s="23">
        <v>10055</v>
      </c>
      <c r="B54" s="23" t="s">
        <v>3762</v>
      </c>
      <c r="C54" s="43">
        <v>3</v>
      </c>
      <c r="D54" s="36">
        <v>3</v>
      </c>
      <c r="E54" s="52">
        <f t="shared" si="0"/>
        <v>3</v>
      </c>
      <c r="F54" s="37">
        <v>3</v>
      </c>
      <c r="G54" s="37">
        <v>2</v>
      </c>
      <c r="H54" s="38">
        <v>1</v>
      </c>
      <c r="I54" s="38">
        <v>1</v>
      </c>
      <c r="J54" s="49">
        <f t="shared" si="1"/>
        <v>2</v>
      </c>
      <c r="K54" s="49">
        <f t="shared" si="2"/>
        <v>1.5</v>
      </c>
      <c r="L54" s="44">
        <v>3</v>
      </c>
      <c r="M54" s="44">
        <v>2</v>
      </c>
      <c r="N54" s="45">
        <v>3</v>
      </c>
      <c r="O54" s="45">
        <v>1</v>
      </c>
      <c r="P54" s="54">
        <f t="shared" si="3"/>
        <v>3</v>
      </c>
      <c r="Q54" s="54">
        <f t="shared" si="4"/>
        <v>1.5</v>
      </c>
      <c r="R54" s="46">
        <v>0</v>
      </c>
      <c r="S54" s="47">
        <v>0</v>
      </c>
      <c r="T54" s="57">
        <f t="shared" si="5"/>
        <v>0</v>
      </c>
      <c r="U54" s="37">
        <v>0</v>
      </c>
      <c r="V54" s="37">
        <v>0</v>
      </c>
      <c r="W54" s="37">
        <v>2</v>
      </c>
      <c r="X54" s="38">
        <v>0</v>
      </c>
      <c r="Y54" s="38">
        <v>0</v>
      </c>
      <c r="Z54" s="38">
        <v>2</v>
      </c>
      <c r="AA54" s="49">
        <f t="shared" si="6"/>
        <v>0</v>
      </c>
      <c r="AB54" s="49">
        <f t="shared" si="7"/>
        <v>2</v>
      </c>
      <c r="AC54" s="44">
        <v>1</v>
      </c>
      <c r="AD54" s="45">
        <v>0</v>
      </c>
      <c r="AE54" s="54">
        <f t="shared" si="8"/>
        <v>0.5</v>
      </c>
      <c r="AF54" s="43">
        <v>1</v>
      </c>
      <c r="AG54" s="36">
        <v>1</v>
      </c>
      <c r="AH54" s="54">
        <f t="shared" si="9"/>
        <v>1</v>
      </c>
      <c r="AI54" s="46">
        <v>0</v>
      </c>
      <c r="AJ54" s="46">
        <v>2</v>
      </c>
      <c r="AK54" s="47">
        <v>0</v>
      </c>
      <c r="AL54" s="47">
        <v>0</v>
      </c>
      <c r="AM54" s="58">
        <f t="shared" si="10"/>
        <v>0</v>
      </c>
      <c r="AN54" s="58">
        <f t="shared" si="11"/>
        <v>1</v>
      </c>
    </row>
    <row r="55" spans="1:40">
      <c r="A55" s="23">
        <v>10056</v>
      </c>
      <c r="B55" s="23" t="s">
        <v>3758</v>
      </c>
      <c r="C55" s="43">
        <v>2</v>
      </c>
      <c r="D55" s="36">
        <v>2</v>
      </c>
      <c r="E55" s="52">
        <f t="shared" si="0"/>
        <v>2</v>
      </c>
      <c r="F55" s="37">
        <v>0</v>
      </c>
      <c r="G55" s="37">
        <v>2</v>
      </c>
      <c r="H55" s="38">
        <v>0</v>
      </c>
      <c r="I55" s="38">
        <v>2</v>
      </c>
      <c r="J55" s="49">
        <f t="shared" si="1"/>
        <v>0</v>
      </c>
      <c r="K55" s="49">
        <f t="shared" si="2"/>
        <v>2</v>
      </c>
      <c r="L55" s="44">
        <v>0</v>
      </c>
      <c r="M55" s="44">
        <v>1</v>
      </c>
      <c r="N55" s="45">
        <v>0</v>
      </c>
      <c r="O55" s="45">
        <v>1</v>
      </c>
      <c r="P55" s="54">
        <f t="shared" si="3"/>
        <v>0</v>
      </c>
      <c r="Q55" s="54">
        <f t="shared" si="4"/>
        <v>1</v>
      </c>
      <c r="R55" s="46">
        <v>0</v>
      </c>
      <c r="S55" s="47">
        <v>0</v>
      </c>
      <c r="T55" s="57">
        <f t="shared" si="5"/>
        <v>0</v>
      </c>
      <c r="U55" s="37">
        <v>0</v>
      </c>
      <c r="V55" s="37">
        <v>0</v>
      </c>
      <c r="W55" s="37">
        <v>2</v>
      </c>
      <c r="X55" s="38">
        <v>0</v>
      </c>
      <c r="Y55" s="38">
        <v>0</v>
      </c>
      <c r="Z55" s="38">
        <v>2</v>
      </c>
      <c r="AA55" s="49">
        <f t="shared" si="6"/>
        <v>0</v>
      </c>
      <c r="AB55" s="49">
        <f t="shared" si="7"/>
        <v>2</v>
      </c>
      <c r="AC55" s="44">
        <v>0</v>
      </c>
      <c r="AD55" s="45">
        <v>0</v>
      </c>
      <c r="AE55" s="54">
        <f t="shared" si="8"/>
        <v>0</v>
      </c>
      <c r="AF55" s="43">
        <v>1</v>
      </c>
      <c r="AG55" s="36">
        <v>1</v>
      </c>
      <c r="AH55" s="54">
        <f t="shared" si="9"/>
        <v>1</v>
      </c>
      <c r="AI55" s="46">
        <v>1</v>
      </c>
      <c r="AJ55" s="46">
        <v>0</v>
      </c>
      <c r="AK55" s="47">
        <v>1</v>
      </c>
      <c r="AL55" s="47">
        <v>0</v>
      </c>
      <c r="AM55" s="58">
        <f t="shared" si="10"/>
        <v>1</v>
      </c>
      <c r="AN55" s="58">
        <f t="shared" si="11"/>
        <v>0</v>
      </c>
    </row>
    <row r="56" spans="1:40">
      <c r="A56" s="23">
        <v>10057</v>
      </c>
      <c r="B56" s="23" t="s">
        <v>3778</v>
      </c>
      <c r="C56" s="43">
        <v>0</v>
      </c>
      <c r="D56" s="36">
        <v>0</v>
      </c>
      <c r="E56" s="52">
        <f t="shared" si="0"/>
        <v>0</v>
      </c>
      <c r="F56" s="37">
        <v>3</v>
      </c>
      <c r="G56" s="37">
        <v>1</v>
      </c>
      <c r="H56" s="38">
        <v>1</v>
      </c>
      <c r="I56" s="38">
        <v>2</v>
      </c>
      <c r="J56" s="49">
        <f t="shared" si="1"/>
        <v>2</v>
      </c>
      <c r="K56" s="49">
        <f t="shared" si="2"/>
        <v>1.5</v>
      </c>
      <c r="L56" s="44">
        <v>3</v>
      </c>
      <c r="M56" s="44">
        <v>1</v>
      </c>
      <c r="N56" s="45">
        <v>2</v>
      </c>
      <c r="O56" s="45">
        <v>1</v>
      </c>
      <c r="P56" s="54">
        <f t="shared" si="3"/>
        <v>2.5</v>
      </c>
      <c r="Q56" s="54">
        <f t="shared" si="4"/>
        <v>1</v>
      </c>
      <c r="R56" s="46">
        <v>2</v>
      </c>
      <c r="S56" s="47">
        <v>2</v>
      </c>
      <c r="T56" s="57">
        <f t="shared" si="5"/>
        <v>2</v>
      </c>
      <c r="U56" s="37">
        <v>3</v>
      </c>
      <c r="V56" s="37">
        <v>0</v>
      </c>
      <c r="W56" s="37">
        <v>1</v>
      </c>
      <c r="X56" s="38">
        <v>3</v>
      </c>
      <c r="Y56" s="38">
        <v>0</v>
      </c>
      <c r="Z56" s="38">
        <v>1</v>
      </c>
      <c r="AA56" s="49">
        <f t="shared" si="6"/>
        <v>3</v>
      </c>
      <c r="AB56" s="49">
        <f t="shared" si="7"/>
        <v>1</v>
      </c>
      <c r="AC56" s="44">
        <v>2</v>
      </c>
      <c r="AD56" s="45">
        <v>0</v>
      </c>
      <c r="AE56" s="54">
        <f t="shared" si="8"/>
        <v>1</v>
      </c>
      <c r="AF56" s="43">
        <v>0</v>
      </c>
      <c r="AG56" s="36">
        <v>1</v>
      </c>
      <c r="AH56" s="54">
        <f t="shared" si="9"/>
        <v>0.5</v>
      </c>
      <c r="AI56" s="46">
        <v>2</v>
      </c>
      <c r="AJ56" s="46">
        <v>2</v>
      </c>
      <c r="AK56" s="47">
        <v>2</v>
      </c>
      <c r="AL56" s="47">
        <v>2</v>
      </c>
      <c r="AM56" s="58">
        <f t="shared" si="10"/>
        <v>2</v>
      </c>
      <c r="AN56" s="58">
        <f t="shared" si="11"/>
        <v>2</v>
      </c>
    </row>
    <row r="57" spans="1:40">
      <c r="A57" s="23">
        <v>10058</v>
      </c>
      <c r="B57" s="23" t="s">
        <v>3829</v>
      </c>
      <c r="C57" s="43">
        <v>3</v>
      </c>
      <c r="D57" s="36">
        <v>3</v>
      </c>
      <c r="E57" s="52">
        <f t="shared" si="0"/>
        <v>3</v>
      </c>
      <c r="F57" s="37">
        <v>3</v>
      </c>
      <c r="G57" s="37">
        <v>1</v>
      </c>
      <c r="H57" s="38">
        <v>1</v>
      </c>
      <c r="I57" s="38">
        <v>1</v>
      </c>
      <c r="J57" s="49">
        <f t="shared" si="1"/>
        <v>2</v>
      </c>
      <c r="K57" s="49">
        <f t="shared" si="2"/>
        <v>1</v>
      </c>
      <c r="L57" s="44">
        <v>3</v>
      </c>
      <c r="M57" s="44">
        <v>0</v>
      </c>
      <c r="N57" s="45">
        <v>3</v>
      </c>
      <c r="O57" s="45">
        <v>0</v>
      </c>
      <c r="P57" s="54">
        <f t="shared" si="3"/>
        <v>3</v>
      </c>
      <c r="Q57" s="54">
        <f t="shared" si="4"/>
        <v>0</v>
      </c>
      <c r="R57" s="46">
        <v>0</v>
      </c>
      <c r="S57" s="47">
        <v>0</v>
      </c>
      <c r="T57" s="57">
        <f t="shared" si="5"/>
        <v>0</v>
      </c>
      <c r="U57" s="37">
        <v>3</v>
      </c>
      <c r="V57" s="37">
        <v>3</v>
      </c>
      <c r="W57" s="37">
        <v>2</v>
      </c>
      <c r="X57" s="38">
        <v>2</v>
      </c>
      <c r="Y57" s="38">
        <v>1</v>
      </c>
      <c r="Z57" s="38">
        <v>2</v>
      </c>
      <c r="AA57" s="49">
        <f t="shared" si="6"/>
        <v>2.5</v>
      </c>
      <c r="AB57" s="49">
        <f t="shared" si="7"/>
        <v>2</v>
      </c>
      <c r="AC57" s="44">
        <v>1</v>
      </c>
      <c r="AD57" s="45">
        <v>0</v>
      </c>
      <c r="AE57" s="54">
        <f t="shared" si="8"/>
        <v>0.5</v>
      </c>
      <c r="AF57" s="43">
        <v>0</v>
      </c>
      <c r="AG57" s="36">
        <v>0</v>
      </c>
      <c r="AH57" s="54">
        <f t="shared" si="9"/>
        <v>0</v>
      </c>
      <c r="AI57" s="46">
        <v>2</v>
      </c>
      <c r="AJ57" s="46">
        <v>0</v>
      </c>
      <c r="AK57" s="47">
        <v>2</v>
      </c>
      <c r="AL57" s="47">
        <v>0</v>
      </c>
      <c r="AM57" s="58">
        <f t="shared" si="10"/>
        <v>2</v>
      </c>
      <c r="AN57" s="58">
        <f t="shared" si="11"/>
        <v>0</v>
      </c>
    </row>
    <row r="58" spans="1:40">
      <c r="A58" s="23">
        <v>10059</v>
      </c>
      <c r="B58" s="23" t="s">
        <v>3905</v>
      </c>
      <c r="C58" s="43">
        <v>3</v>
      </c>
      <c r="D58" s="36">
        <v>3</v>
      </c>
      <c r="E58" s="52">
        <f t="shared" si="0"/>
        <v>3</v>
      </c>
      <c r="F58" s="37">
        <v>3</v>
      </c>
      <c r="G58" s="37">
        <v>1</v>
      </c>
      <c r="H58" s="38">
        <v>1</v>
      </c>
      <c r="I58" s="38">
        <v>1</v>
      </c>
      <c r="J58" s="49">
        <f t="shared" si="1"/>
        <v>2</v>
      </c>
      <c r="K58" s="49">
        <f t="shared" si="2"/>
        <v>1</v>
      </c>
      <c r="L58" s="44">
        <v>2</v>
      </c>
      <c r="M58" s="44">
        <v>2</v>
      </c>
      <c r="N58" s="45">
        <v>0</v>
      </c>
      <c r="O58" s="45">
        <v>1</v>
      </c>
      <c r="P58" s="54">
        <f t="shared" si="3"/>
        <v>1</v>
      </c>
      <c r="Q58" s="54">
        <f t="shared" si="4"/>
        <v>1.5</v>
      </c>
      <c r="R58" s="46">
        <v>2</v>
      </c>
      <c r="S58" s="47">
        <v>2</v>
      </c>
      <c r="T58" s="57">
        <f t="shared" si="5"/>
        <v>2</v>
      </c>
      <c r="U58" s="37">
        <v>3</v>
      </c>
      <c r="V58" s="37">
        <v>3</v>
      </c>
      <c r="W58" s="37">
        <v>2</v>
      </c>
      <c r="X58" s="38">
        <v>1</v>
      </c>
      <c r="Y58" s="38">
        <v>2</v>
      </c>
      <c r="Z58" s="38">
        <v>2</v>
      </c>
      <c r="AA58" s="49">
        <f t="shared" si="6"/>
        <v>2</v>
      </c>
      <c r="AB58" s="49">
        <f t="shared" si="7"/>
        <v>2</v>
      </c>
      <c r="AC58" s="44">
        <v>2</v>
      </c>
      <c r="AD58" s="45">
        <v>2</v>
      </c>
      <c r="AE58" s="54">
        <f t="shared" si="8"/>
        <v>2</v>
      </c>
      <c r="AF58" s="43">
        <v>1</v>
      </c>
      <c r="AG58" s="36">
        <v>1</v>
      </c>
      <c r="AH58" s="54">
        <f t="shared" si="9"/>
        <v>1</v>
      </c>
      <c r="AI58" s="46">
        <v>1</v>
      </c>
      <c r="AJ58" s="46">
        <v>1</v>
      </c>
      <c r="AK58" s="47">
        <v>1</v>
      </c>
      <c r="AL58" s="47">
        <v>0</v>
      </c>
      <c r="AM58" s="58">
        <f t="shared" si="10"/>
        <v>1</v>
      </c>
      <c r="AN58" s="58">
        <f t="shared" si="11"/>
        <v>0.5</v>
      </c>
    </row>
    <row r="59" spans="1:40">
      <c r="A59" s="23">
        <v>10060</v>
      </c>
      <c r="B59" s="23" t="s">
        <v>3853</v>
      </c>
      <c r="C59" s="43">
        <v>2</v>
      </c>
      <c r="D59" s="36">
        <v>2</v>
      </c>
      <c r="E59" s="52">
        <f t="shared" si="0"/>
        <v>2</v>
      </c>
      <c r="F59" s="37">
        <v>3</v>
      </c>
      <c r="G59" s="37">
        <v>1</v>
      </c>
      <c r="H59" s="38">
        <v>2</v>
      </c>
      <c r="I59" s="38">
        <v>1</v>
      </c>
      <c r="J59" s="49">
        <f t="shared" si="1"/>
        <v>2.5</v>
      </c>
      <c r="K59" s="49">
        <f t="shared" si="2"/>
        <v>1</v>
      </c>
      <c r="L59" s="44">
        <v>3</v>
      </c>
      <c r="M59" s="44">
        <v>0</v>
      </c>
      <c r="N59" s="45">
        <v>1</v>
      </c>
      <c r="O59" s="45">
        <v>0</v>
      </c>
      <c r="P59" s="54">
        <f t="shared" si="3"/>
        <v>2</v>
      </c>
      <c r="Q59" s="54">
        <f t="shared" si="4"/>
        <v>0</v>
      </c>
      <c r="R59" s="46">
        <v>1</v>
      </c>
      <c r="S59" s="47">
        <v>1</v>
      </c>
      <c r="T59" s="57">
        <f t="shared" si="5"/>
        <v>1</v>
      </c>
      <c r="U59" s="37">
        <v>3</v>
      </c>
      <c r="V59" s="37">
        <v>0</v>
      </c>
      <c r="W59" s="37">
        <v>2</v>
      </c>
      <c r="X59" s="38">
        <v>3</v>
      </c>
      <c r="Y59" s="38">
        <v>0</v>
      </c>
      <c r="Z59" s="38">
        <v>2</v>
      </c>
      <c r="AA59" s="49">
        <f t="shared" si="6"/>
        <v>3</v>
      </c>
      <c r="AB59" s="49">
        <f t="shared" si="7"/>
        <v>2</v>
      </c>
      <c r="AC59" s="44">
        <v>1</v>
      </c>
      <c r="AD59" s="45">
        <v>1</v>
      </c>
      <c r="AE59" s="54">
        <f t="shared" si="8"/>
        <v>1</v>
      </c>
      <c r="AF59" s="43">
        <v>0</v>
      </c>
      <c r="AG59" s="36">
        <v>0</v>
      </c>
      <c r="AH59" s="54">
        <f t="shared" si="9"/>
        <v>0</v>
      </c>
      <c r="AI59" s="46">
        <v>0</v>
      </c>
      <c r="AJ59" s="46">
        <v>0</v>
      </c>
      <c r="AK59" s="47">
        <v>1</v>
      </c>
      <c r="AL59" s="47">
        <v>0</v>
      </c>
      <c r="AM59" s="58">
        <f t="shared" si="10"/>
        <v>0.5</v>
      </c>
      <c r="AN59" s="58">
        <f t="shared" si="11"/>
        <v>0</v>
      </c>
    </row>
    <row r="60" spans="1:40">
      <c r="A60" s="23">
        <v>10061</v>
      </c>
      <c r="B60" s="23" t="s">
        <v>3796</v>
      </c>
      <c r="C60" s="43">
        <v>3</v>
      </c>
      <c r="D60" s="36">
        <v>3</v>
      </c>
      <c r="E60" s="52">
        <f t="shared" si="0"/>
        <v>3</v>
      </c>
      <c r="F60" s="37">
        <v>0</v>
      </c>
      <c r="G60" s="37">
        <v>2</v>
      </c>
      <c r="H60" s="38">
        <v>0</v>
      </c>
      <c r="I60" s="38">
        <v>2</v>
      </c>
      <c r="J60" s="49">
        <f t="shared" si="1"/>
        <v>0</v>
      </c>
      <c r="K60" s="49">
        <f t="shared" si="2"/>
        <v>2</v>
      </c>
      <c r="L60" s="44">
        <v>2</v>
      </c>
      <c r="M60" s="44">
        <v>2</v>
      </c>
      <c r="N60" s="45">
        <v>2</v>
      </c>
      <c r="O60" s="45">
        <v>0</v>
      </c>
      <c r="P60" s="54">
        <f t="shared" si="3"/>
        <v>2</v>
      </c>
      <c r="Q60" s="54">
        <f t="shared" si="4"/>
        <v>1</v>
      </c>
      <c r="R60" s="46">
        <v>2</v>
      </c>
      <c r="S60" s="47">
        <v>2</v>
      </c>
      <c r="T60" s="57">
        <f t="shared" si="5"/>
        <v>2</v>
      </c>
      <c r="U60" s="37">
        <v>3</v>
      </c>
      <c r="V60" s="37">
        <v>0</v>
      </c>
      <c r="W60" s="37">
        <v>2</v>
      </c>
      <c r="X60" s="38">
        <v>3</v>
      </c>
      <c r="Y60" s="38">
        <v>0</v>
      </c>
      <c r="Z60" s="38">
        <v>2</v>
      </c>
      <c r="AA60" s="49">
        <f t="shared" si="6"/>
        <v>3</v>
      </c>
      <c r="AB60" s="49">
        <f t="shared" si="7"/>
        <v>2</v>
      </c>
      <c r="AC60" s="44">
        <v>2</v>
      </c>
      <c r="AD60" s="45">
        <v>2</v>
      </c>
      <c r="AE60" s="54">
        <f t="shared" si="8"/>
        <v>2</v>
      </c>
      <c r="AF60" s="43">
        <v>1</v>
      </c>
      <c r="AG60" s="36">
        <v>1</v>
      </c>
      <c r="AH60" s="54">
        <f t="shared" si="9"/>
        <v>1</v>
      </c>
      <c r="AI60" s="46">
        <v>2</v>
      </c>
      <c r="AJ60" s="46">
        <v>1</v>
      </c>
      <c r="AK60" s="47">
        <v>1</v>
      </c>
      <c r="AL60" s="47">
        <v>0</v>
      </c>
      <c r="AM60" s="58">
        <f t="shared" si="10"/>
        <v>1.5</v>
      </c>
      <c r="AN60" s="58">
        <f t="shared" si="11"/>
        <v>0.5</v>
      </c>
    </row>
    <row r="61" spans="1:40">
      <c r="A61" s="23">
        <v>10062</v>
      </c>
      <c r="B61" s="23" t="s">
        <v>3948</v>
      </c>
      <c r="C61" s="43">
        <v>0</v>
      </c>
      <c r="D61" s="36">
        <v>0</v>
      </c>
      <c r="E61" s="52">
        <f t="shared" si="0"/>
        <v>0</v>
      </c>
      <c r="F61" s="37">
        <v>3</v>
      </c>
      <c r="G61" s="37">
        <v>1</v>
      </c>
      <c r="H61" s="38">
        <v>1</v>
      </c>
      <c r="I61" s="38">
        <v>1</v>
      </c>
      <c r="J61" s="49">
        <f t="shared" si="1"/>
        <v>2</v>
      </c>
      <c r="K61" s="49">
        <f t="shared" si="2"/>
        <v>1</v>
      </c>
      <c r="L61" s="44">
        <v>0</v>
      </c>
      <c r="M61" s="44">
        <v>1</v>
      </c>
      <c r="N61" s="45">
        <v>0</v>
      </c>
      <c r="O61" s="45">
        <v>1</v>
      </c>
      <c r="P61" s="54">
        <f t="shared" si="3"/>
        <v>0</v>
      </c>
      <c r="Q61" s="54">
        <f t="shared" si="4"/>
        <v>1</v>
      </c>
      <c r="R61" s="46">
        <v>2</v>
      </c>
      <c r="S61" s="47">
        <v>2</v>
      </c>
      <c r="T61" s="57">
        <f t="shared" si="5"/>
        <v>2</v>
      </c>
      <c r="U61" s="37">
        <v>3</v>
      </c>
      <c r="V61" s="37">
        <v>0</v>
      </c>
      <c r="W61" s="37">
        <v>2</v>
      </c>
      <c r="X61" s="38">
        <v>3</v>
      </c>
      <c r="Y61" s="38">
        <v>0</v>
      </c>
      <c r="Z61" s="38">
        <v>2</v>
      </c>
      <c r="AA61" s="49">
        <f t="shared" si="6"/>
        <v>3</v>
      </c>
      <c r="AB61" s="49">
        <f t="shared" si="7"/>
        <v>2</v>
      </c>
      <c r="AC61" s="44">
        <v>1</v>
      </c>
      <c r="AD61" s="45">
        <v>0</v>
      </c>
      <c r="AE61" s="54">
        <f t="shared" si="8"/>
        <v>0.5</v>
      </c>
      <c r="AF61" s="43">
        <v>1</v>
      </c>
      <c r="AG61" s="36">
        <v>1</v>
      </c>
      <c r="AH61" s="54">
        <f t="shared" si="9"/>
        <v>1</v>
      </c>
      <c r="AI61" s="46">
        <v>0</v>
      </c>
      <c r="AJ61" s="46">
        <v>1</v>
      </c>
      <c r="AK61" s="47">
        <v>0</v>
      </c>
      <c r="AL61" s="47">
        <v>0</v>
      </c>
      <c r="AM61" s="58">
        <f t="shared" si="10"/>
        <v>0</v>
      </c>
      <c r="AN61" s="58">
        <f t="shared" si="11"/>
        <v>0.5</v>
      </c>
    </row>
    <row r="62" spans="1:40">
      <c r="A62" s="23">
        <v>10063</v>
      </c>
      <c r="B62" s="23" t="s">
        <v>4013</v>
      </c>
      <c r="C62" s="43">
        <v>3</v>
      </c>
      <c r="D62" s="36">
        <v>3</v>
      </c>
      <c r="E62" s="52">
        <f t="shared" si="0"/>
        <v>3</v>
      </c>
      <c r="F62" s="37">
        <v>3</v>
      </c>
      <c r="G62" s="37">
        <v>2</v>
      </c>
      <c r="H62" s="38">
        <v>1</v>
      </c>
      <c r="I62" s="38">
        <v>2</v>
      </c>
      <c r="J62" s="49">
        <f t="shared" si="1"/>
        <v>2</v>
      </c>
      <c r="K62" s="49">
        <f t="shared" si="2"/>
        <v>2</v>
      </c>
      <c r="L62" s="44">
        <v>3</v>
      </c>
      <c r="M62" s="44">
        <v>2</v>
      </c>
      <c r="N62" s="45">
        <v>2</v>
      </c>
      <c r="O62" s="45">
        <v>2</v>
      </c>
      <c r="P62" s="54">
        <f t="shared" si="3"/>
        <v>2.5</v>
      </c>
      <c r="Q62" s="54">
        <f t="shared" si="4"/>
        <v>2</v>
      </c>
      <c r="R62" s="46">
        <v>1</v>
      </c>
      <c r="S62" s="47">
        <v>1</v>
      </c>
      <c r="T62" s="57">
        <f t="shared" si="5"/>
        <v>1</v>
      </c>
      <c r="U62" s="37">
        <v>3</v>
      </c>
      <c r="V62" s="37">
        <v>0</v>
      </c>
      <c r="W62" s="37">
        <v>1</v>
      </c>
      <c r="X62" s="38">
        <v>3</v>
      </c>
      <c r="Y62" s="38">
        <v>0</v>
      </c>
      <c r="Z62" s="38">
        <v>1</v>
      </c>
      <c r="AA62" s="49">
        <f t="shared" si="6"/>
        <v>3</v>
      </c>
      <c r="AB62" s="49">
        <f t="shared" si="7"/>
        <v>1</v>
      </c>
      <c r="AC62" s="44">
        <v>0</v>
      </c>
      <c r="AD62" s="45">
        <v>0</v>
      </c>
      <c r="AE62" s="54">
        <f t="shared" si="8"/>
        <v>0</v>
      </c>
      <c r="AF62" s="43">
        <v>1</v>
      </c>
      <c r="AG62" s="36">
        <v>1</v>
      </c>
      <c r="AH62" s="54">
        <f t="shared" si="9"/>
        <v>1</v>
      </c>
      <c r="AI62" s="46">
        <v>2</v>
      </c>
      <c r="AJ62" s="46">
        <v>0</v>
      </c>
      <c r="AK62" s="47">
        <v>1</v>
      </c>
      <c r="AL62" s="47">
        <v>0</v>
      </c>
      <c r="AM62" s="58">
        <f t="shared" si="10"/>
        <v>1.5</v>
      </c>
      <c r="AN62" s="58">
        <f t="shared" si="11"/>
        <v>0</v>
      </c>
    </row>
    <row r="63" spans="1:40">
      <c r="A63" s="23">
        <v>10064</v>
      </c>
      <c r="B63" s="23" t="s">
        <v>4006</v>
      </c>
      <c r="C63" s="43">
        <v>3</v>
      </c>
      <c r="D63" s="36">
        <v>3</v>
      </c>
      <c r="E63" s="52">
        <f t="shared" si="0"/>
        <v>3</v>
      </c>
      <c r="F63" s="37">
        <v>2</v>
      </c>
      <c r="G63" s="37">
        <v>1</v>
      </c>
      <c r="H63" s="38">
        <v>1</v>
      </c>
      <c r="I63" s="38">
        <v>1</v>
      </c>
      <c r="J63" s="49">
        <f t="shared" si="1"/>
        <v>1.5</v>
      </c>
      <c r="K63" s="49">
        <f t="shared" si="2"/>
        <v>1</v>
      </c>
      <c r="L63" s="44">
        <v>3</v>
      </c>
      <c r="M63" s="44">
        <v>0</v>
      </c>
      <c r="N63" s="45">
        <v>2</v>
      </c>
      <c r="O63" s="45">
        <v>0</v>
      </c>
      <c r="P63" s="54">
        <f t="shared" si="3"/>
        <v>2.5</v>
      </c>
      <c r="Q63" s="54">
        <f t="shared" si="4"/>
        <v>0</v>
      </c>
      <c r="R63" s="46">
        <v>0</v>
      </c>
      <c r="S63" s="47">
        <v>0</v>
      </c>
      <c r="T63" s="57">
        <f t="shared" si="5"/>
        <v>0</v>
      </c>
      <c r="U63" s="37">
        <v>0</v>
      </c>
      <c r="V63" s="37">
        <v>0</v>
      </c>
      <c r="W63" s="37">
        <v>0</v>
      </c>
      <c r="X63" s="38">
        <v>0</v>
      </c>
      <c r="Y63" s="38">
        <v>0</v>
      </c>
      <c r="Z63" s="38">
        <v>0</v>
      </c>
      <c r="AA63" s="49">
        <f t="shared" si="6"/>
        <v>0</v>
      </c>
      <c r="AB63" s="49">
        <f t="shared" si="7"/>
        <v>0</v>
      </c>
      <c r="AC63" s="44">
        <v>0</v>
      </c>
      <c r="AD63" s="45">
        <v>0</v>
      </c>
      <c r="AE63" s="54">
        <f t="shared" si="8"/>
        <v>0</v>
      </c>
      <c r="AF63" s="43">
        <v>0</v>
      </c>
      <c r="AG63" s="36">
        <v>0</v>
      </c>
      <c r="AH63" s="54">
        <f t="shared" si="9"/>
        <v>0</v>
      </c>
      <c r="AI63" s="46">
        <v>0</v>
      </c>
      <c r="AJ63" s="46">
        <v>0</v>
      </c>
      <c r="AK63" s="47">
        <v>1</v>
      </c>
      <c r="AL63" s="47">
        <v>0</v>
      </c>
      <c r="AM63" s="58">
        <f t="shared" si="10"/>
        <v>0.5</v>
      </c>
      <c r="AN63" s="58">
        <f t="shared" si="11"/>
        <v>0</v>
      </c>
    </row>
    <row r="64" spans="1:40">
      <c r="A64" s="23">
        <v>10065</v>
      </c>
      <c r="B64" s="23" t="s">
        <v>3958</v>
      </c>
      <c r="C64" s="43">
        <v>3</v>
      </c>
      <c r="D64" s="36">
        <v>3</v>
      </c>
      <c r="E64" s="52">
        <f t="shared" si="0"/>
        <v>3</v>
      </c>
      <c r="F64" s="37">
        <v>3</v>
      </c>
      <c r="G64" s="37">
        <v>1</v>
      </c>
      <c r="H64" s="38">
        <v>2</v>
      </c>
      <c r="I64" s="38">
        <v>1</v>
      </c>
      <c r="J64" s="49">
        <f t="shared" si="1"/>
        <v>2.5</v>
      </c>
      <c r="K64" s="49">
        <f t="shared" si="2"/>
        <v>1</v>
      </c>
      <c r="L64" s="44">
        <v>0</v>
      </c>
      <c r="M64" s="44">
        <v>1</v>
      </c>
      <c r="N64" s="45">
        <v>0</v>
      </c>
      <c r="O64" s="45">
        <v>1</v>
      </c>
      <c r="P64" s="54">
        <f t="shared" si="3"/>
        <v>0</v>
      </c>
      <c r="Q64" s="54">
        <f t="shared" si="4"/>
        <v>1</v>
      </c>
      <c r="R64" s="46">
        <v>1</v>
      </c>
      <c r="S64" s="47">
        <v>0</v>
      </c>
      <c r="T64" s="57">
        <f t="shared" si="5"/>
        <v>0.5</v>
      </c>
      <c r="U64" s="37">
        <v>3</v>
      </c>
      <c r="V64" s="37">
        <v>3</v>
      </c>
      <c r="W64" s="37">
        <v>2</v>
      </c>
      <c r="X64" s="38">
        <v>2</v>
      </c>
      <c r="Y64" s="38">
        <v>3</v>
      </c>
      <c r="Z64" s="38">
        <v>2</v>
      </c>
      <c r="AA64" s="49">
        <f t="shared" si="6"/>
        <v>2.5</v>
      </c>
      <c r="AB64" s="49">
        <f t="shared" si="7"/>
        <v>2</v>
      </c>
      <c r="AC64" s="44">
        <v>0</v>
      </c>
      <c r="AD64" s="45">
        <v>0</v>
      </c>
      <c r="AE64" s="54">
        <f t="shared" si="8"/>
        <v>0</v>
      </c>
      <c r="AF64" s="43">
        <v>0</v>
      </c>
      <c r="AG64" s="36">
        <v>1</v>
      </c>
      <c r="AH64" s="54">
        <f t="shared" si="9"/>
        <v>0.5</v>
      </c>
      <c r="AI64" s="46">
        <v>2</v>
      </c>
      <c r="AJ64" s="46">
        <v>0</v>
      </c>
      <c r="AK64" s="47">
        <v>1</v>
      </c>
      <c r="AL64" s="47">
        <v>0</v>
      </c>
      <c r="AM64" s="58">
        <f t="shared" si="10"/>
        <v>1.5</v>
      </c>
      <c r="AN64" s="58">
        <f t="shared" si="11"/>
        <v>0</v>
      </c>
    </row>
    <row r="65" spans="1:40">
      <c r="A65" s="23">
        <v>10066</v>
      </c>
      <c r="B65" s="23" t="s">
        <v>3982</v>
      </c>
      <c r="C65" s="43">
        <v>1</v>
      </c>
      <c r="D65" s="36">
        <v>0</v>
      </c>
      <c r="E65" s="52">
        <f t="shared" si="0"/>
        <v>0.5</v>
      </c>
      <c r="F65" s="37">
        <v>3</v>
      </c>
      <c r="G65" s="37">
        <v>1</v>
      </c>
      <c r="H65" s="38">
        <v>2</v>
      </c>
      <c r="I65" s="38">
        <v>1</v>
      </c>
      <c r="J65" s="49">
        <f t="shared" si="1"/>
        <v>2.5</v>
      </c>
      <c r="K65" s="49">
        <f t="shared" si="2"/>
        <v>1</v>
      </c>
      <c r="L65" s="44">
        <v>1</v>
      </c>
      <c r="M65" s="44">
        <v>1</v>
      </c>
      <c r="N65" s="45">
        <v>0</v>
      </c>
      <c r="O65" s="45">
        <v>1</v>
      </c>
      <c r="P65" s="54">
        <f t="shared" si="3"/>
        <v>0.5</v>
      </c>
      <c r="Q65" s="54">
        <f t="shared" si="4"/>
        <v>1</v>
      </c>
      <c r="R65" s="46">
        <v>0</v>
      </c>
      <c r="S65" s="47">
        <v>0</v>
      </c>
      <c r="T65" s="57">
        <f t="shared" si="5"/>
        <v>0</v>
      </c>
      <c r="U65" s="37">
        <v>2</v>
      </c>
      <c r="V65" s="37">
        <v>0</v>
      </c>
      <c r="W65" s="37">
        <v>2</v>
      </c>
      <c r="X65" s="38">
        <v>1</v>
      </c>
      <c r="Y65" s="38">
        <v>0</v>
      </c>
      <c r="Z65" s="38">
        <v>2</v>
      </c>
      <c r="AA65" s="49">
        <f t="shared" si="6"/>
        <v>1.5</v>
      </c>
      <c r="AB65" s="49">
        <f t="shared" si="7"/>
        <v>2</v>
      </c>
      <c r="AC65" s="44">
        <v>0</v>
      </c>
      <c r="AD65" s="45">
        <v>0</v>
      </c>
      <c r="AE65" s="54">
        <f t="shared" si="8"/>
        <v>0</v>
      </c>
      <c r="AF65" s="43">
        <v>0</v>
      </c>
      <c r="AG65" s="36">
        <v>1</v>
      </c>
      <c r="AH65" s="54">
        <f t="shared" si="9"/>
        <v>0.5</v>
      </c>
      <c r="AI65" s="46">
        <v>1</v>
      </c>
      <c r="AJ65" s="46">
        <v>1</v>
      </c>
      <c r="AK65" s="47">
        <v>1</v>
      </c>
      <c r="AL65" s="47">
        <v>0</v>
      </c>
      <c r="AM65" s="58">
        <f t="shared" si="10"/>
        <v>1</v>
      </c>
      <c r="AN65" s="58">
        <f t="shared" si="11"/>
        <v>0.5</v>
      </c>
    </row>
    <row r="66" spans="1:40">
      <c r="A66" s="23">
        <v>10067</v>
      </c>
      <c r="B66" s="23" t="s">
        <v>3952</v>
      </c>
      <c r="C66" s="43">
        <v>1</v>
      </c>
      <c r="D66" s="36">
        <v>1</v>
      </c>
      <c r="E66" s="52">
        <f t="shared" si="0"/>
        <v>1</v>
      </c>
      <c r="F66" s="37">
        <v>0</v>
      </c>
      <c r="G66" s="37">
        <v>1</v>
      </c>
      <c r="H66" s="38">
        <v>0</v>
      </c>
      <c r="I66" s="38">
        <v>1</v>
      </c>
      <c r="J66" s="49">
        <f t="shared" si="1"/>
        <v>0</v>
      </c>
      <c r="K66" s="49">
        <f t="shared" si="2"/>
        <v>1</v>
      </c>
      <c r="L66" s="44">
        <v>0</v>
      </c>
      <c r="M66" s="44">
        <v>1</v>
      </c>
      <c r="N66" s="45">
        <v>0</v>
      </c>
      <c r="O66" s="45">
        <v>1</v>
      </c>
      <c r="P66" s="54">
        <f t="shared" si="3"/>
        <v>0</v>
      </c>
      <c r="Q66" s="54">
        <f t="shared" si="4"/>
        <v>1</v>
      </c>
      <c r="R66" s="46">
        <v>1</v>
      </c>
      <c r="S66" s="47">
        <v>1</v>
      </c>
      <c r="T66" s="57">
        <f t="shared" si="5"/>
        <v>1</v>
      </c>
      <c r="U66" s="37">
        <v>3</v>
      </c>
      <c r="V66" s="37">
        <v>0</v>
      </c>
      <c r="W66" s="37">
        <v>0</v>
      </c>
      <c r="X66" s="38">
        <v>3</v>
      </c>
      <c r="Y66" s="38">
        <v>0</v>
      </c>
      <c r="Z66" s="38">
        <v>0</v>
      </c>
      <c r="AA66" s="49">
        <f t="shared" si="6"/>
        <v>3</v>
      </c>
      <c r="AB66" s="49">
        <f t="shared" si="7"/>
        <v>0</v>
      </c>
      <c r="AC66" s="44">
        <v>1</v>
      </c>
      <c r="AD66" s="45">
        <v>1</v>
      </c>
      <c r="AE66" s="54">
        <f t="shared" si="8"/>
        <v>1</v>
      </c>
      <c r="AF66" s="43">
        <v>1</v>
      </c>
      <c r="AG66" s="36">
        <v>1</v>
      </c>
      <c r="AH66" s="54">
        <f t="shared" si="9"/>
        <v>1</v>
      </c>
      <c r="AI66" s="46">
        <v>3</v>
      </c>
      <c r="AJ66" s="46">
        <v>0</v>
      </c>
      <c r="AK66" s="47">
        <v>3</v>
      </c>
      <c r="AL66" s="47">
        <v>0</v>
      </c>
      <c r="AM66" s="58">
        <f t="shared" si="10"/>
        <v>3</v>
      </c>
      <c r="AN66" s="58">
        <f t="shared" si="11"/>
        <v>0</v>
      </c>
    </row>
    <row r="67" spans="1:40">
      <c r="A67" s="23">
        <v>10068</v>
      </c>
      <c r="B67" s="23" t="s">
        <v>3913</v>
      </c>
      <c r="C67" s="43">
        <v>2</v>
      </c>
      <c r="D67" s="36">
        <v>2</v>
      </c>
      <c r="E67" s="52">
        <f t="shared" ref="E67:E130" si="12">AVERAGE(C67:D67)</f>
        <v>2</v>
      </c>
      <c r="F67" s="37">
        <v>0</v>
      </c>
      <c r="G67" s="37">
        <v>1</v>
      </c>
      <c r="H67" s="38">
        <v>0</v>
      </c>
      <c r="I67" s="38">
        <v>1</v>
      </c>
      <c r="J67" s="49">
        <f t="shared" ref="J67:J130" si="13">AVERAGE(F67,H67)</f>
        <v>0</v>
      </c>
      <c r="K67" s="49">
        <f t="shared" ref="K67:K130" si="14">AVERAGE(G67,I67)</f>
        <v>1</v>
      </c>
      <c r="L67" s="44">
        <v>3</v>
      </c>
      <c r="M67" s="44">
        <v>1</v>
      </c>
      <c r="N67" s="45">
        <v>2</v>
      </c>
      <c r="O67" s="45">
        <v>1</v>
      </c>
      <c r="P67" s="54">
        <f t="shared" ref="P67:P130" si="15">AVERAGE(L67,N67)</f>
        <v>2.5</v>
      </c>
      <c r="Q67" s="54">
        <f t="shared" ref="Q67:Q130" si="16">AVERAGE(M67,O67)</f>
        <v>1</v>
      </c>
      <c r="R67" s="46">
        <v>1</v>
      </c>
      <c r="S67" s="47">
        <v>1</v>
      </c>
      <c r="T67" s="57">
        <f t="shared" ref="T67:T130" si="17">AVERAGE(R67:S67)</f>
        <v>1</v>
      </c>
      <c r="U67" s="37">
        <v>3</v>
      </c>
      <c r="V67" s="37">
        <v>0</v>
      </c>
      <c r="W67" s="37">
        <v>0</v>
      </c>
      <c r="X67" s="38">
        <v>2</v>
      </c>
      <c r="Y67" s="38">
        <v>0</v>
      </c>
      <c r="Z67" s="38">
        <v>0</v>
      </c>
      <c r="AA67" s="49">
        <f t="shared" ref="AA67:AA130" si="18">AVERAGE(U67,X67)</f>
        <v>2.5</v>
      </c>
      <c r="AB67" s="49">
        <f t="shared" ref="AB67:AB130" si="19">AVERAGE(W67,Z67)</f>
        <v>0</v>
      </c>
      <c r="AC67" s="44">
        <v>0</v>
      </c>
      <c r="AD67" s="45">
        <v>0</v>
      </c>
      <c r="AE67" s="54">
        <f t="shared" ref="AE67:AE130" si="20">AVERAGE(AC67:AD67)</f>
        <v>0</v>
      </c>
      <c r="AF67" s="43">
        <v>1</v>
      </c>
      <c r="AG67" s="36">
        <v>1</v>
      </c>
      <c r="AH67" s="54">
        <f t="shared" ref="AH67:AH130" si="21">AVERAGE(AF67:AG67)</f>
        <v>1</v>
      </c>
      <c r="AI67" s="46">
        <v>0</v>
      </c>
      <c r="AJ67" s="46">
        <v>0</v>
      </c>
      <c r="AK67" s="47">
        <v>1</v>
      </c>
      <c r="AL67" s="47">
        <v>0</v>
      </c>
      <c r="AM67" s="58">
        <f t="shared" ref="AM67:AM130" si="22">AVERAGE(AI67,AK67)</f>
        <v>0.5</v>
      </c>
      <c r="AN67" s="58">
        <f t="shared" ref="AN67:AN130" si="23">AVERAGE(AJ67,AL67)</f>
        <v>0</v>
      </c>
    </row>
    <row r="68" spans="1:40">
      <c r="A68" s="23">
        <v>10069</v>
      </c>
      <c r="B68" s="23" t="s">
        <v>3861</v>
      </c>
      <c r="C68" s="43">
        <v>3</v>
      </c>
      <c r="D68" s="36">
        <v>3</v>
      </c>
      <c r="E68" s="52">
        <f t="shared" si="12"/>
        <v>3</v>
      </c>
      <c r="F68" s="37">
        <v>3</v>
      </c>
      <c r="G68" s="37">
        <v>1</v>
      </c>
      <c r="H68" s="38">
        <v>1</v>
      </c>
      <c r="I68" s="38">
        <v>1</v>
      </c>
      <c r="J68" s="49">
        <f t="shared" si="13"/>
        <v>2</v>
      </c>
      <c r="K68" s="49">
        <f t="shared" si="14"/>
        <v>1</v>
      </c>
      <c r="L68" s="44">
        <v>3</v>
      </c>
      <c r="M68" s="44">
        <v>0</v>
      </c>
      <c r="N68" s="45">
        <v>1</v>
      </c>
      <c r="O68" s="45">
        <v>0</v>
      </c>
      <c r="P68" s="54">
        <f t="shared" si="15"/>
        <v>2</v>
      </c>
      <c r="Q68" s="54">
        <f t="shared" si="16"/>
        <v>0</v>
      </c>
      <c r="R68" s="46">
        <v>1</v>
      </c>
      <c r="S68" s="47">
        <v>1</v>
      </c>
      <c r="T68" s="57">
        <f t="shared" si="17"/>
        <v>1</v>
      </c>
      <c r="U68" s="37">
        <v>0</v>
      </c>
      <c r="V68" s="37">
        <v>1</v>
      </c>
      <c r="W68" s="37">
        <v>2</v>
      </c>
      <c r="X68" s="38">
        <v>0</v>
      </c>
      <c r="Y68" s="38">
        <v>0</v>
      </c>
      <c r="Z68" s="38">
        <v>2</v>
      </c>
      <c r="AA68" s="49">
        <f t="shared" si="18"/>
        <v>0</v>
      </c>
      <c r="AB68" s="49">
        <f t="shared" si="19"/>
        <v>2</v>
      </c>
      <c r="AC68" s="44">
        <v>1</v>
      </c>
      <c r="AD68" s="45">
        <v>0</v>
      </c>
      <c r="AE68" s="54">
        <f t="shared" si="20"/>
        <v>0.5</v>
      </c>
      <c r="AF68" s="43">
        <v>1</v>
      </c>
      <c r="AG68" s="36">
        <v>1</v>
      </c>
      <c r="AH68" s="54">
        <f t="shared" si="21"/>
        <v>1</v>
      </c>
      <c r="AI68" s="46">
        <v>3</v>
      </c>
      <c r="AJ68" s="46">
        <v>0</v>
      </c>
      <c r="AK68" s="47">
        <v>3</v>
      </c>
      <c r="AL68" s="47">
        <v>0</v>
      </c>
      <c r="AM68" s="58">
        <f t="shared" si="22"/>
        <v>3</v>
      </c>
      <c r="AN68" s="58">
        <f t="shared" si="23"/>
        <v>0</v>
      </c>
    </row>
    <row r="69" spans="1:40">
      <c r="A69" s="23">
        <v>10070</v>
      </c>
      <c r="B69" s="23" t="s">
        <v>3750</v>
      </c>
      <c r="C69" s="43">
        <v>1</v>
      </c>
      <c r="D69" s="36">
        <v>1</v>
      </c>
      <c r="E69" s="52">
        <f t="shared" si="12"/>
        <v>1</v>
      </c>
      <c r="F69" s="37">
        <v>3</v>
      </c>
      <c r="G69" s="37">
        <v>1</v>
      </c>
      <c r="H69" s="38">
        <v>1</v>
      </c>
      <c r="I69" s="38">
        <v>1</v>
      </c>
      <c r="J69" s="49">
        <f t="shared" si="13"/>
        <v>2</v>
      </c>
      <c r="K69" s="49">
        <f t="shared" si="14"/>
        <v>1</v>
      </c>
      <c r="L69" s="44">
        <v>3</v>
      </c>
      <c r="M69" s="44">
        <v>1</v>
      </c>
      <c r="N69" s="45">
        <v>1</v>
      </c>
      <c r="O69" s="45">
        <v>1</v>
      </c>
      <c r="P69" s="54">
        <f t="shared" si="15"/>
        <v>2</v>
      </c>
      <c r="Q69" s="54">
        <f t="shared" si="16"/>
        <v>1</v>
      </c>
      <c r="R69" s="46">
        <v>2</v>
      </c>
      <c r="S69" s="47">
        <v>0</v>
      </c>
      <c r="T69" s="57">
        <f t="shared" si="17"/>
        <v>1</v>
      </c>
      <c r="U69" s="37">
        <v>2</v>
      </c>
      <c r="V69" s="37">
        <v>0</v>
      </c>
      <c r="W69" s="37">
        <v>2</v>
      </c>
      <c r="X69" s="38">
        <v>1</v>
      </c>
      <c r="Y69" s="38">
        <v>0</v>
      </c>
      <c r="Z69" s="38">
        <v>2</v>
      </c>
      <c r="AA69" s="49">
        <f t="shared" si="18"/>
        <v>1.5</v>
      </c>
      <c r="AB69" s="49">
        <f t="shared" si="19"/>
        <v>2</v>
      </c>
      <c r="AC69" s="44">
        <v>1</v>
      </c>
      <c r="AD69" s="45">
        <v>0</v>
      </c>
      <c r="AE69" s="54">
        <f t="shared" si="20"/>
        <v>0.5</v>
      </c>
      <c r="AF69" s="43">
        <v>1</v>
      </c>
      <c r="AG69" s="36">
        <v>1</v>
      </c>
      <c r="AH69" s="54">
        <f t="shared" si="21"/>
        <v>1</v>
      </c>
      <c r="AI69" s="46">
        <v>1</v>
      </c>
      <c r="AJ69" s="46">
        <v>0</v>
      </c>
      <c r="AK69" s="47">
        <v>1</v>
      </c>
      <c r="AL69" s="47">
        <v>0</v>
      </c>
      <c r="AM69" s="58">
        <f t="shared" si="22"/>
        <v>1</v>
      </c>
      <c r="AN69" s="58">
        <f t="shared" si="23"/>
        <v>0</v>
      </c>
    </row>
    <row r="70" spans="1:40">
      <c r="A70" s="23">
        <v>10071</v>
      </c>
      <c r="B70" s="23" t="s">
        <v>3917</v>
      </c>
      <c r="C70" s="43">
        <v>1</v>
      </c>
      <c r="D70" s="36">
        <v>0</v>
      </c>
      <c r="E70" s="52">
        <f t="shared" si="12"/>
        <v>0.5</v>
      </c>
      <c r="F70" s="37">
        <v>3</v>
      </c>
      <c r="G70" s="37">
        <v>0</v>
      </c>
      <c r="H70" s="38">
        <v>1</v>
      </c>
      <c r="I70" s="38">
        <v>0</v>
      </c>
      <c r="J70" s="49">
        <f t="shared" si="13"/>
        <v>2</v>
      </c>
      <c r="K70" s="49">
        <f t="shared" si="14"/>
        <v>0</v>
      </c>
      <c r="L70" s="44">
        <v>0</v>
      </c>
      <c r="M70" s="44">
        <v>1</v>
      </c>
      <c r="N70" s="45">
        <v>0</v>
      </c>
      <c r="O70" s="45">
        <v>1</v>
      </c>
      <c r="P70" s="54">
        <f t="shared" si="15"/>
        <v>0</v>
      </c>
      <c r="Q70" s="54">
        <f t="shared" si="16"/>
        <v>1</v>
      </c>
      <c r="R70" s="46">
        <v>0</v>
      </c>
      <c r="S70" s="47">
        <v>0</v>
      </c>
      <c r="T70" s="57">
        <f t="shared" si="17"/>
        <v>0</v>
      </c>
      <c r="U70" s="37">
        <v>3</v>
      </c>
      <c r="V70" s="37">
        <v>3</v>
      </c>
      <c r="W70" s="37">
        <v>2</v>
      </c>
      <c r="X70" s="38">
        <v>2</v>
      </c>
      <c r="Y70" s="38">
        <v>2</v>
      </c>
      <c r="Z70" s="38">
        <v>2</v>
      </c>
      <c r="AA70" s="49">
        <f t="shared" si="18"/>
        <v>2.5</v>
      </c>
      <c r="AB70" s="49">
        <f t="shared" si="19"/>
        <v>2</v>
      </c>
      <c r="AC70" s="44">
        <v>1</v>
      </c>
      <c r="AD70" s="45">
        <v>0</v>
      </c>
      <c r="AE70" s="54">
        <f t="shared" si="20"/>
        <v>0.5</v>
      </c>
      <c r="AF70" s="43">
        <v>1</v>
      </c>
      <c r="AG70" s="36">
        <v>1</v>
      </c>
      <c r="AH70" s="54">
        <f t="shared" si="21"/>
        <v>1</v>
      </c>
      <c r="AI70" s="46">
        <v>0</v>
      </c>
      <c r="AJ70" s="46">
        <v>0</v>
      </c>
      <c r="AK70" s="47">
        <v>0</v>
      </c>
      <c r="AL70" s="47">
        <v>0</v>
      </c>
      <c r="AM70" s="58">
        <f t="shared" si="22"/>
        <v>0</v>
      </c>
      <c r="AN70" s="58">
        <f t="shared" si="23"/>
        <v>0</v>
      </c>
    </row>
    <row r="71" spans="1:40">
      <c r="A71" s="23">
        <v>10072</v>
      </c>
      <c r="B71" s="23" t="s">
        <v>3980</v>
      </c>
      <c r="C71" s="43">
        <v>3</v>
      </c>
      <c r="D71" s="36">
        <v>3</v>
      </c>
      <c r="E71" s="52">
        <f t="shared" si="12"/>
        <v>3</v>
      </c>
      <c r="F71" s="37">
        <v>3</v>
      </c>
      <c r="G71" s="37">
        <v>1</v>
      </c>
      <c r="H71" s="38">
        <v>1</v>
      </c>
      <c r="I71" s="38">
        <v>1</v>
      </c>
      <c r="J71" s="49">
        <f t="shared" si="13"/>
        <v>2</v>
      </c>
      <c r="K71" s="49">
        <f t="shared" si="14"/>
        <v>1</v>
      </c>
      <c r="L71" s="44">
        <v>2</v>
      </c>
      <c r="M71" s="44">
        <v>0</v>
      </c>
      <c r="N71" s="45">
        <v>2</v>
      </c>
      <c r="O71" s="45">
        <v>0</v>
      </c>
      <c r="P71" s="54">
        <f t="shared" si="15"/>
        <v>2</v>
      </c>
      <c r="Q71" s="54">
        <f t="shared" si="16"/>
        <v>0</v>
      </c>
      <c r="R71" s="46">
        <v>0</v>
      </c>
      <c r="S71" s="47">
        <v>0</v>
      </c>
      <c r="T71" s="57">
        <f t="shared" si="17"/>
        <v>0</v>
      </c>
      <c r="U71" s="37">
        <v>3</v>
      </c>
      <c r="V71" s="37">
        <v>0</v>
      </c>
      <c r="W71" s="37">
        <v>2</v>
      </c>
      <c r="X71" s="38">
        <v>1</v>
      </c>
      <c r="Y71" s="38">
        <v>0</v>
      </c>
      <c r="Z71" s="38">
        <v>2</v>
      </c>
      <c r="AA71" s="49">
        <f t="shared" si="18"/>
        <v>2</v>
      </c>
      <c r="AB71" s="49">
        <f t="shared" si="19"/>
        <v>2</v>
      </c>
      <c r="AC71" s="44">
        <v>0</v>
      </c>
      <c r="AD71" s="45">
        <v>0</v>
      </c>
      <c r="AE71" s="54">
        <f t="shared" si="20"/>
        <v>0</v>
      </c>
      <c r="AF71" s="43">
        <v>0</v>
      </c>
      <c r="AG71" s="36">
        <v>0</v>
      </c>
      <c r="AH71" s="54">
        <f t="shared" si="21"/>
        <v>0</v>
      </c>
      <c r="AI71" s="46">
        <v>0</v>
      </c>
      <c r="AJ71" s="46">
        <v>0</v>
      </c>
      <c r="AK71" s="47">
        <v>0</v>
      </c>
      <c r="AL71" s="47">
        <v>0</v>
      </c>
      <c r="AM71" s="58">
        <f t="shared" si="22"/>
        <v>0</v>
      </c>
      <c r="AN71" s="58">
        <f t="shared" si="23"/>
        <v>0</v>
      </c>
    </row>
    <row r="72" spans="1:40">
      <c r="A72" s="23">
        <v>10073</v>
      </c>
      <c r="B72" s="23" t="s">
        <v>3748</v>
      </c>
      <c r="C72" s="43">
        <v>3</v>
      </c>
      <c r="D72" s="36">
        <v>3</v>
      </c>
      <c r="E72" s="52">
        <f t="shared" si="12"/>
        <v>3</v>
      </c>
      <c r="F72" s="37">
        <v>3</v>
      </c>
      <c r="G72" s="37">
        <v>1</v>
      </c>
      <c r="H72" s="38">
        <v>3</v>
      </c>
      <c r="I72" s="38">
        <v>1</v>
      </c>
      <c r="J72" s="49">
        <f t="shared" si="13"/>
        <v>3</v>
      </c>
      <c r="K72" s="49">
        <f t="shared" si="14"/>
        <v>1</v>
      </c>
      <c r="L72" s="44">
        <v>3</v>
      </c>
      <c r="M72" s="44">
        <v>1</v>
      </c>
      <c r="N72" s="45">
        <v>1</v>
      </c>
      <c r="O72" s="45">
        <v>1</v>
      </c>
      <c r="P72" s="54">
        <f t="shared" si="15"/>
        <v>2</v>
      </c>
      <c r="Q72" s="54">
        <f t="shared" si="16"/>
        <v>1</v>
      </c>
      <c r="R72" s="46">
        <v>2</v>
      </c>
      <c r="S72" s="47">
        <v>0</v>
      </c>
      <c r="T72" s="57">
        <f t="shared" si="17"/>
        <v>1</v>
      </c>
      <c r="U72" s="37">
        <v>3</v>
      </c>
      <c r="V72" s="37">
        <v>0</v>
      </c>
      <c r="W72" s="37">
        <v>2</v>
      </c>
      <c r="X72" s="38">
        <v>3</v>
      </c>
      <c r="Y72" s="38">
        <v>0</v>
      </c>
      <c r="Z72" s="38">
        <v>2</v>
      </c>
      <c r="AA72" s="49">
        <f t="shared" si="18"/>
        <v>3</v>
      </c>
      <c r="AB72" s="49">
        <f t="shared" si="19"/>
        <v>2</v>
      </c>
      <c r="AC72" s="44">
        <v>0</v>
      </c>
      <c r="AD72" s="45">
        <v>0</v>
      </c>
      <c r="AE72" s="54">
        <f t="shared" si="20"/>
        <v>0</v>
      </c>
      <c r="AF72" s="43">
        <v>2</v>
      </c>
      <c r="AG72" s="36">
        <v>2</v>
      </c>
      <c r="AH72" s="54">
        <f t="shared" si="21"/>
        <v>2</v>
      </c>
      <c r="AI72" s="46">
        <v>1</v>
      </c>
      <c r="AJ72" s="46">
        <v>1</v>
      </c>
      <c r="AK72" s="47">
        <v>0</v>
      </c>
      <c r="AL72" s="47">
        <v>0</v>
      </c>
      <c r="AM72" s="58">
        <f t="shared" si="22"/>
        <v>0.5</v>
      </c>
      <c r="AN72" s="58">
        <f t="shared" si="23"/>
        <v>0.5</v>
      </c>
    </row>
    <row r="73" spans="1:40">
      <c r="A73" s="23">
        <v>10074</v>
      </c>
      <c r="B73" s="23" t="s">
        <v>4014</v>
      </c>
      <c r="C73" s="43">
        <v>2</v>
      </c>
      <c r="D73" s="36">
        <v>3</v>
      </c>
      <c r="E73" s="52">
        <f t="shared" si="12"/>
        <v>2.5</v>
      </c>
      <c r="F73" s="37">
        <v>3</v>
      </c>
      <c r="G73" s="37">
        <v>2</v>
      </c>
      <c r="H73" s="38">
        <v>1</v>
      </c>
      <c r="I73" s="38">
        <v>2</v>
      </c>
      <c r="J73" s="49">
        <f t="shared" si="13"/>
        <v>2</v>
      </c>
      <c r="K73" s="49">
        <f t="shared" si="14"/>
        <v>2</v>
      </c>
      <c r="L73" s="44">
        <v>3</v>
      </c>
      <c r="M73" s="44">
        <v>0</v>
      </c>
      <c r="N73" s="45">
        <v>0</v>
      </c>
      <c r="O73" s="45">
        <v>0</v>
      </c>
      <c r="P73" s="54">
        <f t="shared" si="15"/>
        <v>1.5</v>
      </c>
      <c r="Q73" s="54">
        <f t="shared" si="16"/>
        <v>0</v>
      </c>
      <c r="R73" s="46">
        <v>2</v>
      </c>
      <c r="S73" s="47">
        <v>2</v>
      </c>
      <c r="T73" s="57">
        <f t="shared" si="17"/>
        <v>2</v>
      </c>
      <c r="U73" s="37">
        <v>3</v>
      </c>
      <c r="V73" s="37">
        <v>3</v>
      </c>
      <c r="W73" s="37">
        <v>2</v>
      </c>
      <c r="X73" s="38">
        <v>3</v>
      </c>
      <c r="Y73" s="38">
        <v>1</v>
      </c>
      <c r="Z73" s="38">
        <v>2</v>
      </c>
      <c r="AA73" s="49">
        <f t="shared" si="18"/>
        <v>3</v>
      </c>
      <c r="AB73" s="49">
        <f t="shared" si="19"/>
        <v>2</v>
      </c>
      <c r="AC73" s="44">
        <v>2</v>
      </c>
      <c r="AD73" s="45">
        <v>2</v>
      </c>
      <c r="AE73" s="54">
        <f t="shared" si="20"/>
        <v>2</v>
      </c>
      <c r="AF73" s="43">
        <v>0</v>
      </c>
      <c r="AG73" s="36">
        <v>0</v>
      </c>
      <c r="AH73" s="54">
        <f t="shared" si="21"/>
        <v>0</v>
      </c>
      <c r="AI73" s="46">
        <v>2</v>
      </c>
      <c r="AJ73" s="46">
        <v>0</v>
      </c>
      <c r="AK73" s="47">
        <v>2</v>
      </c>
      <c r="AL73" s="47">
        <v>0</v>
      </c>
      <c r="AM73" s="58">
        <f t="shared" si="22"/>
        <v>2</v>
      </c>
      <c r="AN73" s="58">
        <f t="shared" si="23"/>
        <v>0</v>
      </c>
    </row>
    <row r="74" spans="1:40">
      <c r="A74" s="23">
        <v>10075</v>
      </c>
      <c r="B74" s="23" t="s">
        <v>3902</v>
      </c>
      <c r="C74" s="43">
        <v>3</v>
      </c>
      <c r="D74" s="36">
        <v>2</v>
      </c>
      <c r="E74" s="52">
        <f t="shared" si="12"/>
        <v>2.5</v>
      </c>
      <c r="F74" s="37">
        <v>0</v>
      </c>
      <c r="G74" s="37">
        <v>2</v>
      </c>
      <c r="H74" s="38">
        <v>0</v>
      </c>
      <c r="I74" s="38">
        <v>2</v>
      </c>
      <c r="J74" s="49">
        <f t="shared" si="13"/>
        <v>0</v>
      </c>
      <c r="K74" s="49">
        <f t="shared" si="14"/>
        <v>2</v>
      </c>
      <c r="L74" s="44">
        <v>3</v>
      </c>
      <c r="M74" s="44">
        <v>1</v>
      </c>
      <c r="N74" s="45">
        <v>1</v>
      </c>
      <c r="O74" s="45">
        <v>1</v>
      </c>
      <c r="P74" s="54">
        <f t="shared" si="15"/>
        <v>2</v>
      </c>
      <c r="Q74" s="54">
        <f t="shared" si="16"/>
        <v>1</v>
      </c>
      <c r="R74" s="46">
        <v>2</v>
      </c>
      <c r="S74" s="47">
        <v>0</v>
      </c>
      <c r="T74" s="57">
        <f t="shared" si="17"/>
        <v>1</v>
      </c>
      <c r="U74" s="37">
        <v>2</v>
      </c>
      <c r="V74" s="37">
        <v>0</v>
      </c>
      <c r="W74" s="37">
        <v>1</v>
      </c>
      <c r="X74" s="38">
        <v>1</v>
      </c>
      <c r="Y74" s="38">
        <v>0</v>
      </c>
      <c r="Z74" s="38">
        <v>1</v>
      </c>
      <c r="AA74" s="49">
        <f t="shared" si="18"/>
        <v>1.5</v>
      </c>
      <c r="AB74" s="49">
        <f t="shared" si="19"/>
        <v>1</v>
      </c>
      <c r="AC74" s="44">
        <v>2</v>
      </c>
      <c r="AD74" s="45">
        <v>2</v>
      </c>
      <c r="AE74" s="54">
        <f t="shared" si="20"/>
        <v>2</v>
      </c>
      <c r="AF74" s="43">
        <v>1</v>
      </c>
      <c r="AG74" s="36">
        <v>1</v>
      </c>
      <c r="AH74" s="54">
        <f t="shared" si="21"/>
        <v>1</v>
      </c>
      <c r="AI74" s="46">
        <v>0</v>
      </c>
      <c r="AJ74" s="46">
        <v>0</v>
      </c>
      <c r="AK74" s="47">
        <v>1</v>
      </c>
      <c r="AL74" s="47">
        <v>0</v>
      </c>
      <c r="AM74" s="58">
        <f t="shared" si="22"/>
        <v>0.5</v>
      </c>
      <c r="AN74" s="58">
        <f t="shared" si="23"/>
        <v>0</v>
      </c>
    </row>
    <row r="75" spans="1:40">
      <c r="A75" s="23">
        <v>10076</v>
      </c>
      <c r="B75" s="23" t="s">
        <v>3784</v>
      </c>
      <c r="C75" s="43">
        <v>3</v>
      </c>
      <c r="D75" s="36">
        <v>3</v>
      </c>
      <c r="E75" s="52">
        <f t="shared" si="12"/>
        <v>3</v>
      </c>
      <c r="F75" s="37">
        <v>3</v>
      </c>
      <c r="G75" s="37">
        <v>0</v>
      </c>
      <c r="H75" s="38">
        <v>2</v>
      </c>
      <c r="I75" s="38">
        <v>0</v>
      </c>
      <c r="J75" s="49">
        <f t="shared" si="13"/>
        <v>2.5</v>
      </c>
      <c r="K75" s="49">
        <f t="shared" si="14"/>
        <v>0</v>
      </c>
      <c r="L75" s="44">
        <v>3</v>
      </c>
      <c r="M75" s="44">
        <v>1</v>
      </c>
      <c r="N75" s="45">
        <v>2</v>
      </c>
      <c r="O75" s="45">
        <v>1</v>
      </c>
      <c r="P75" s="54">
        <f t="shared" si="15"/>
        <v>2.5</v>
      </c>
      <c r="Q75" s="54">
        <f t="shared" si="16"/>
        <v>1</v>
      </c>
      <c r="R75" s="46">
        <v>1</v>
      </c>
      <c r="S75" s="47">
        <v>0</v>
      </c>
      <c r="T75" s="57">
        <f t="shared" si="17"/>
        <v>0.5</v>
      </c>
      <c r="U75" s="37">
        <v>3</v>
      </c>
      <c r="V75" s="37">
        <v>0</v>
      </c>
      <c r="W75" s="37">
        <v>1</v>
      </c>
      <c r="X75" s="38">
        <v>1</v>
      </c>
      <c r="Y75" s="38">
        <v>0</v>
      </c>
      <c r="Z75" s="38">
        <v>0</v>
      </c>
      <c r="AA75" s="49">
        <f t="shared" si="18"/>
        <v>2</v>
      </c>
      <c r="AB75" s="49">
        <f t="shared" si="19"/>
        <v>0.5</v>
      </c>
      <c r="AC75" s="44">
        <v>1</v>
      </c>
      <c r="AD75" s="45">
        <v>0</v>
      </c>
      <c r="AE75" s="54">
        <f t="shared" si="20"/>
        <v>0.5</v>
      </c>
      <c r="AF75" s="43">
        <v>1</v>
      </c>
      <c r="AG75" s="36">
        <v>1</v>
      </c>
      <c r="AH75" s="54">
        <f t="shared" si="21"/>
        <v>1</v>
      </c>
      <c r="AI75" s="46">
        <v>2</v>
      </c>
      <c r="AJ75" s="46">
        <v>0</v>
      </c>
      <c r="AK75" s="47">
        <v>2</v>
      </c>
      <c r="AL75" s="47">
        <v>0</v>
      </c>
      <c r="AM75" s="58">
        <f t="shared" si="22"/>
        <v>2</v>
      </c>
      <c r="AN75" s="58">
        <f t="shared" si="23"/>
        <v>0</v>
      </c>
    </row>
    <row r="76" spans="1:40">
      <c r="A76" s="23">
        <v>10077</v>
      </c>
      <c r="B76" s="23" t="s">
        <v>3909</v>
      </c>
      <c r="C76" s="43">
        <v>2</v>
      </c>
      <c r="D76" s="36">
        <v>1</v>
      </c>
      <c r="E76" s="52">
        <f t="shared" si="12"/>
        <v>1.5</v>
      </c>
      <c r="F76" s="37">
        <v>0</v>
      </c>
      <c r="G76" s="37">
        <v>1</v>
      </c>
      <c r="H76" s="38">
        <v>0</v>
      </c>
      <c r="I76" s="38">
        <v>1</v>
      </c>
      <c r="J76" s="49">
        <f t="shared" si="13"/>
        <v>0</v>
      </c>
      <c r="K76" s="49">
        <f t="shared" si="14"/>
        <v>1</v>
      </c>
      <c r="L76" s="44">
        <v>2</v>
      </c>
      <c r="M76" s="44">
        <v>2</v>
      </c>
      <c r="N76" s="45">
        <v>0</v>
      </c>
      <c r="O76" s="45">
        <v>2</v>
      </c>
      <c r="P76" s="54">
        <f t="shared" si="15"/>
        <v>1</v>
      </c>
      <c r="Q76" s="54">
        <f t="shared" si="16"/>
        <v>2</v>
      </c>
      <c r="R76" s="46">
        <v>2</v>
      </c>
      <c r="S76" s="47">
        <v>2</v>
      </c>
      <c r="T76" s="57">
        <f t="shared" si="17"/>
        <v>2</v>
      </c>
      <c r="U76" s="37">
        <v>3</v>
      </c>
      <c r="V76" s="37">
        <v>0</v>
      </c>
      <c r="W76" s="37">
        <v>2</v>
      </c>
      <c r="X76" s="38">
        <v>3</v>
      </c>
      <c r="Y76" s="38">
        <v>0</v>
      </c>
      <c r="Z76" s="38">
        <v>2</v>
      </c>
      <c r="AA76" s="49">
        <f t="shared" si="18"/>
        <v>3</v>
      </c>
      <c r="AB76" s="49">
        <f t="shared" si="19"/>
        <v>2</v>
      </c>
      <c r="AC76" s="44">
        <v>2</v>
      </c>
      <c r="AD76" s="45">
        <v>2</v>
      </c>
      <c r="AE76" s="54">
        <f t="shared" si="20"/>
        <v>2</v>
      </c>
      <c r="AF76" s="43">
        <v>0</v>
      </c>
      <c r="AG76" s="36">
        <v>0</v>
      </c>
      <c r="AH76" s="54">
        <f t="shared" si="21"/>
        <v>0</v>
      </c>
      <c r="AI76" s="46">
        <v>1</v>
      </c>
      <c r="AJ76" s="46">
        <v>0</v>
      </c>
      <c r="AK76" s="47">
        <v>0</v>
      </c>
      <c r="AL76" s="47">
        <v>0</v>
      </c>
      <c r="AM76" s="58">
        <f t="shared" si="22"/>
        <v>0.5</v>
      </c>
      <c r="AN76" s="58">
        <f t="shared" si="23"/>
        <v>0</v>
      </c>
    </row>
    <row r="77" spans="1:40">
      <c r="A77" s="23">
        <v>10078</v>
      </c>
      <c r="B77" s="23" t="s">
        <v>3845</v>
      </c>
      <c r="C77" s="43">
        <v>3</v>
      </c>
      <c r="D77" s="36">
        <v>2</v>
      </c>
      <c r="E77" s="52">
        <f t="shared" si="12"/>
        <v>2.5</v>
      </c>
      <c r="F77" s="37">
        <v>3</v>
      </c>
      <c r="G77" s="37">
        <v>1</v>
      </c>
      <c r="H77" s="38">
        <v>2</v>
      </c>
      <c r="I77" s="38">
        <v>1</v>
      </c>
      <c r="J77" s="49">
        <f t="shared" si="13"/>
        <v>2.5</v>
      </c>
      <c r="K77" s="49">
        <f t="shared" si="14"/>
        <v>1</v>
      </c>
      <c r="L77" s="44">
        <v>2</v>
      </c>
      <c r="M77" s="44">
        <v>0</v>
      </c>
      <c r="N77" s="45">
        <v>2</v>
      </c>
      <c r="O77" s="45">
        <v>0</v>
      </c>
      <c r="P77" s="54">
        <f t="shared" si="15"/>
        <v>2</v>
      </c>
      <c r="Q77" s="54">
        <f t="shared" si="16"/>
        <v>0</v>
      </c>
      <c r="R77" s="46">
        <v>2</v>
      </c>
      <c r="S77" s="47">
        <v>0</v>
      </c>
      <c r="T77" s="57">
        <f t="shared" si="17"/>
        <v>1</v>
      </c>
      <c r="U77" s="37">
        <v>0</v>
      </c>
      <c r="V77" s="37">
        <v>3</v>
      </c>
      <c r="W77" s="37">
        <v>2</v>
      </c>
      <c r="X77" s="38">
        <v>0</v>
      </c>
      <c r="Y77" s="38">
        <v>3</v>
      </c>
      <c r="Z77" s="38">
        <v>2</v>
      </c>
      <c r="AA77" s="49">
        <f t="shared" si="18"/>
        <v>0</v>
      </c>
      <c r="AB77" s="49">
        <f t="shared" si="19"/>
        <v>2</v>
      </c>
      <c r="AC77" s="44">
        <v>1</v>
      </c>
      <c r="AD77" s="45">
        <v>0</v>
      </c>
      <c r="AE77" s="54">
        <f t="shared" si="20"/>
        <v>0.5</v>
      </c>
      <c r="AF77" s="43">
        <v>0</v>
      </c>
      <c r="AG77" s="36">
        <v>0</v>
      </c>
      <c r="AH77" s="54">
        <f t="shared" si="21"/>
        <v>0</v>
      </c>
      <c r="AI77" s="46">
        <v>2</v>
      </c>
      <c r="AJ77" s="46">
        <v>0</v>
      </c>
      <c r="AK77" s="47">
        <v>1</v>
      </c>
      <c r="AL77" s="47">
        <v>0</v>
      </c>
      <c r="AM77" s="58">
        <f t="shared" si="22"/>
        <v>1.5</v>
      </c>
      <c r="AN77" s="58">
        <f t="shared" si="23"/>
        <v>0</v>
      </c>
    </row>
    <row r="78" spans="1:40">
      <c r="A78" s="23">
        <v>10079</v>
      </c>
      <c r="B78" s="23" t="s">
        <v>3992</v>
      </c>
      <c r="C78" s="43">
        <v>1</v>
      </c>
      <c r="D78" s="36">
        <v>0</v>
      </c>
      <c r="E78" s="52">
        <f t="shared" si="12"/>
        <v>0.5</v>
      </c>
      <c r="F78" s="37">
        <v>3</v>
      </c>
      <c r="G78" s="37">
        <v>0</v>
      </c>
      <c r="H78" s="38">
        <v>1</v>
      </c>
      <c r="I78" s="38">
        <v>0</v>
      </c>
      <c r="J78" s="49">
        <f t="shared" si="13"/>
        <v>2</v>
      </c>
      <c r="K78" s="49">
        <f t="shared" si="14"/>
        <v>0</v>
      </c>
      <c r="L78" s="44">
        <v>3</v>
      </c>
      <c r="M78" s="44">
        <v>2</v>
      </c>
      <c r="N78" s="45">
        <v>3</v>
      </c>
      <c r="O78" s="45">
        <v>1</v>
      </c>
      <c r="P78" s="54">
        <f t="shared" si="15"/>
        <v>3</v>
      </c>
      <c r="Q78" s="54">
        <f t="shared" si="16"/>
        <v>1.5</v>
      </c>
      <c r="R78" s="46">
        <v>0</v>
      </c>
      <c r="S78" s="47">
        <v>0</v>
      </c>
      <c r="T78" s="57">
        <f t="shared" si="17"/>
        <v>0</v>
      </c>
      <c r="U78" s="37">
        <v>3</v>
      </c>
      <c r="V78" s="37">
        <v>0</v>
      </c>
      <c r="W78" s="37">
        <v>2</v>
      </c>
      <c r="X78" s="38">
        <v>3</v>
      </c>
      <c r="Y78" s="38">
        <v>0</v>
      </c>
      <c r="Z78" s="38">
        <v>2</v>
      </c>
      <c r="AA78" s="49">
        <f t="shared" si="18"/>
        <v>3</v>
      </c>
      <c r="AB78" s="49">
        <f t="shared" si="19"/>
        <v>2</v>
      </c>
      <c r="AC78" s="44">
        <v>1</v>
      </c>
      <c r="AD78" s="45">
        <v>0</v>
      </c>
      <c r="AE78" s="54">
        <f t="shared" si="20"/>
        <v>0.5</v>
      </c>
      <c r="AF78" s="43">
        <v>1</v>
      </c>
      <c r="AG78" s="36">
        <v>1</v>
      </c>
      <c r="AH78" s="54">
        <f t="shared" si="21"/>
        <v>1</v>
      </c>
      <c r="AI78" s="46">
        <v>3</v>
      </c>
      <c r="AJ78" s="46">
        <v>0</v>
      </c>
      <c r="AK78" s="47">
        <v>3</v>
      </c>
      <c r="AL78" s="47">
        <v>0</v>
      </c>
      <c r="AM78" s="58">
        <f t="shared" si="22"/>
        <v>3</v>
      </c>
      <c r="AN78" s="58">
        <f t="shared" si="23"/>
        <v>0</v>
      </c>
    </row>
    <row r="79" spans="1:40">
      <c r="A79" s="23">
        <v>10080</v>
      </c>
      <c r="B79" s="23" t="s">
        <v>3788</v>
      </c>
      <c r="C79" s="43">
        <v>1</v>
      </c>
      <c r="D79" s="36">
        <v>2</v>
      </c>
      <c r="E79" s="52">
        <f t="shared" si="12"/>
        <v>1.5</v>
      </c>
      <c r="F79" s="37">
        <v>3</v>
      </c>
      <c r="G79" s="37">
        <v>1</v>
      </c>
      <c r="H79" s="38">
        <v>2</v>
      </c>
      <c r="I79" s="38">
        <v>1</v>
      </c>
      <c r="J79" s="49">
        <f t="shared" si="13"/>
        <v>2.5</v>
      </c>
      <c r="K79" s="49">
        <f t="shared" si="14"/>
        <v>1</v>
      </c>
      <c r="L79" s="44">
        <v>3</v>
      </c>
      <c r="M79" s="44">
        <v>0</v>
      </c>
      <c r="N79" s="45">
        <v>3</v>
      </c>
      <c r="O79" s="45">
        <v>0</v>
      </c>
      <c r="P79" s="54">
        <f t="shared" si="15"/>
        <v>3</v>
      </c>
      <c r="Q79" s="54">
        <f t="shared" si="16"/>
        <v>0</v>
      </c>
      <c r="R79" s="46">
        <v>1</v>
      </c>
      <c r="S79" s="47">
        <v>0</v>
      </c>
      <c r="T79" s="57">
        <f t="shared" si="17"/>
        <v>0.5</v>
      </c>
      <c r="U79" s="37">
        <v>0</v>
      </c>
      <c r="V79" s="37">
        <v>3</v>
      </c>
      <c r="W79" s="37">
        <v>2</v>
      </c>
      <c r="X79" s="38">
        <v>0</v>
      </c>
      <c r="Y79" s="38">
        <v>3</v>
      </c>
      <c r="Z79" s="38">
        <v>2</v>
      </c>
      <c r="AA79" s="49">
        <f t="shared" si="18"/>
        <v>0</v>
      </c>
      <c r="AB79" s="49">
        <f t="shared" si="19"/>
        <v>2</v>
      </c>
      <c r="AC79" s="44">
        <v>0</v>
      </c>
      <c r="AD79" s="45">
        <v>0</v>
      </c>
      <c r="AE79" s="54">
        <f t="shared" si="20"/>
        <v>0</v>
      </c>
      <c r="AF79" s="43">
        <v>0</v>
      </c>
      <c r="AG79" s="36">
        <v>1</v>
      </c>
      <c r="AH79" s="54">
        <f t="shared" si="21"/>
        <v>0.5</v>
      </c>
      <c r="AI79" s="46">
        <v>3</v>
      </c>
      <c r="AJ79" s="46">
        <v>0</v>
      </c>
      <c r="AK79" s="47">
        <v>2</v>
      </c>
      <c r="AL79" s="47">
        <v>0</v>
      </c>
      <c r="AM79" s="58">
        <f t="shared" si="22"/>
        <v>2.5</v>
      </c>
      <c r="AN79" s="58">
        <f t="shared" si="23"/>
        <v>0</v>
      </c>
    </row>
    <row r="80" spans="1:40">
      <c r="A80" s="23">
        <v>10081</v>
      </c>
      <c r="B80" s="23" t="s">
        <v>4002</v>
      </c>
      <c r="C80" s="43">
        <v>0</v>
      </c>
      <c r="D80" s="36">
        <v>0</v>
      </c>
      <c r="E80" s="52">
        <f t="shared" si="12"/>
        <v>0</v>
      </c>
      <c r="F80" s="37">
        <v>0</v>
      </c>
      <c r="G80" s="37">
        <v>0</v>
      </c>
      <c r="H80" s="38">
        <v>0</v>
      </c>
      <c r="I80" s="38">
        <v>0</v>
      </c>
      <c r="J80" s="49">
        <f t="shared" si="13"/>
        <v>0</v>
      </c>
      <c r="K80" s="49">
        <f t="shared" si="14"/>
        <v>0</v>
      </c>
      <c r="L80" s="44">
        <v>0</v>
      </c>
      <c r="M80" s="44">
        <v>0</v>
      </c>
      <c r="N80" s="45">
        <v>0</v>
      </c>
      <c r="O80" s="45">
        <v>0</v>
      </c>
      <c r="P80" s="54">
        <f t="shared" si="15"/>
        <v>0</v>
      </c>
      <c r="Q80" s="54">
        <f t="shared" si="16"/>
        <v>0</v>
      </c>
      <c r="R80" s="46">
        <v>1</v>
      </c>
      <c r="S80" s="47">
        <v>0</v>
      </c>
      <c r="T80" s="57">
        <f t="shared" si="17"/>
        <v>0.5</v>
      </c>
      <c r="U80" s="37">
        <v>0</v>
      </c>
      <c r="V80" s="37">
        <v>0</v>
      </c>
      <c r="W80" s="37">
        <v>1</v>
      </c>
      <c r="X80" s="38">
        <v>0</v>
      </c>
      <c r="Y80" s="38">
        <v>0</v>
      </c>
      <c r="Z80" s="38">
        <v>0</v>
      </c>
      <c r="AA80" s="49">
        <f t="shared" si="18"/>
        <v>0</v>
      </c>
      <c r="AB80" s="49">
        <f t="shared" si="19"/>
        <v>0.5</v>
      </c>
      <c r="AC80" s="44">
        <v>0</v>
      </c>
      <c r="AD80" s="45">
        <v>0</v>
      </c>
      <c r="AE80" s="54">
        <f t="shared" si="20"/>
        <v>0</v>
      </c>
      <c r="AF80" s="43">
        <v>0</v>
      </c>
      <c r="AG80" s="36">
        <v>1</v>
      </c>
      <c r="AH80" s="54">
        <f t="shared" si="21"/>
        <v>0.5</v>
      </c>
      <c r="AI80" s="46">
        <v>0</v>
      </c>
      <c r="AJ80" s="46">
        <v>0</v>
      </c>
      <c r="AK80" s="47">
        <v>0</v>
      </c>
      <c r="AL80" s="47">
        <v>0</v>
      </c>
      <c r="AM80" s="58">
        <f t="shared" si="22"/>
        <v>0</v>
      </c>
      <c r="AN80" s="58">
        <f t="shared" si="23"/>
        <v>0</v>
      </c>
    </row>
    <row r="81" spans="1:40">
      <c r="A81" s="23">
        <v>10082</v>
      </c>
      <c r="B81" s="23" t="s">
        <v>3875</v>
      </c>
      <c r="C81" s="43">
        <v>3</v>
      </c>
      <c r="D81" s="36">
        <v>3</v>
      </c>
      <c r="E81" s="52">
        <f t="shared" si="12"/>
        <v>3</v>
      </c>
      <c r="F81" s="37">
        <v>3</v>
      </c>
      <c r="G81" s="37">
        <v>1</v>
      </c>
      <c r="H81" s="38">
        <v>1</v>
      </c>
      <c r="I81" s="38">
        <v>1</v>
      </c>
      <c r="J81" s="49">
        <f t="shared" si="13"/>
        <v>2</v>
      </c>
      <c r="K81" s="49">
        <f t="shared" si="14"/>
        <v>1</v>
      </c>
      <c r="L81" s="44">
        <v>3</v>
      </c>
      <c r="M81" s="44">
        <v>1</v>
      </c>
      <c r="N81" s="45">
        <v>2</v>
      </c>
      <c r="O81" s="45">
        <v>1</v>
      </c>
      <c r="P81" s="54">
        <f t="shared" si="15"/>
        <v>2.5</v>
      </c>
      <c r="Q81" s="54">
        <f t="shared" si="16"/>
        <v>1</v>
      </c>
      <c r="R81" s="46">
        <v>0</v>
      </c>
      <c r="S81" s="47">
        <v>0</v>
      </c>
      <c r="T81" s="57">
        <f t="shared" si="17"/>
        <v>0</v>
      </c>
      <c r="U81" s="37">
        <v>3</v>
      </c>
      <c r="V81" s="37">
        <v>0</v>
      </c>
      <c r="W81" s="37">
        <v>1</v>
      </c>
      <c r="X81" s="38">
        <v>3</v>
      </c>
      <c r="Y81" s="38">
        <v>0</v>
      </c>
      <c r="Z81" s="38">
        <v>1</v>
      </c>
      <c r="AA81" s="49">
        <f t="shared" si="18"/>
        <v>3</v>
      </c>
      <c r="AB81" s="49">
        <f t="shared" si="19"/>
        <v>1</v>
      </c>
      <c r="AC81" s="44">
        <v>0</v>
      </c>
      <c r="AD81" s="45">
        <v>0</v>
      </c>
      <c r="AE81" s="54">
        <f t="shared" si="20"/>
        <v>0</v>
      </c>
      <c r="AF81" s="43">
        <v>1</v>
      </c>
      <c r="AG81" s="36">
        <v>1</v>
      </c>
      <c r="AH81" s="54">
        <f t="shared" si="21"/>
        <v>1</v>
      </c>
      <c r="AI81" s="46">
        <v>0</v>
      </c>
      <c r="AJ81" s="46">
        <v>0</v>
      </c>
      <c r="AK81" s="47">
        <v>0</v>
      </c>
      <c r="AL81" s="47">
        <v>0</v>
      </c>
      <c r="AM81" s="58">
        <f t="shared" si="22"/>
        <v>0</v>
      </c>
      <c r="AN81" s="58">
        <f t="shared" si="23"/>
        <v>0</v>
      </c>
    </row>
    <row r="82" spans="1:40">
      <c r="A82" s="23">
        <v>10083</v>
      </c>
      <c r="B82" s="23" t="s">
        <v>4015</v>
      </c>
      <c r="C82" s="43">
        <v>3</v>
      </c>
      <c r="D82" s="36">
        <v>3</v>
      </c>
      <c r="E82" s="52">
        <f t="shared" si="12"/>
        <v>3</v>
      </c>
      <c r="F82" s="37">
        <v>3</v>
      </c>
      <c r="G82" s="37">
        <v>2</v>
      </c>
      <c r="H82" s="38">
        <v>1</v>
      </c>
      <c r="I82" s="38">
        <v>1</v>
      </c>
      <c r="J82" s="49">
        <f t="shared" si="13"/>
        <v>2</v>
      </c>
      <c r="K82" s="49">
        <f t="shared" si="14"/>
        <v>1.5</v>
      </c>
      <c r="L82" s="44">
        <v>3</v>
      </c>
      <c r="M82" s="44">
        <v>2</v>
      </c>
      <c r="N82" s="45">
        <v>2</v>
      </c>
      <c r="O82" s="45">
        <v>1</v>
      </c>
      <c r="P82" s="54">
        <f t="shared" si="15"/>
        <v>2.5</v>
      </c>
      <c r="Q82" s="54">
        <f t="shared" si="16"/>
        <v>1.5</v>
      </c>
      <c r="R82" s="46">
        <v>2</v>
      </c>
      <c r="S82" s="47">
        <v>2</v>
      </c>
      <c r="T82" s="57">
        <f t="shared" si="17"/>
        <v>2</v>
      </c>
      <c r="U82" s="37">
        <v>0</v>
      </c>
      <c r="V82" s="37">
        <v>3</v>
      </c>
      <c r="W82" s="37">
        <v>2</v>
      </c>
      <c r="X82" s="38">
        <v>0</v>
      </c>
      <c r="Y82" s="38">
        <v>2</v>
      </c>
      <c r="Z82" s="38">
        <v>2</v>
      </c>
      <c r="AA82" s="49">
        <f t="shared" si="18"/>
        <v>0</v>
      </c>
      <c r="AB82" s="49">
        <f t="shared" si="19"/>
        <v>2</v>
      </c>
      <c r="AC82" s="44">
        <v>0</v>
      </c>
      <c r="AD82" s="45">
        <v>0</v>
      </c>
      <c r="AE82" s="54">
        <f t="shared" si="20"/>
        <v>0</v>
      </c>
      <c r="AF82" s="43">
        <v>0</v>
      </c>
      <c r="AG82" s="36">
        <v>0</v>
      </c>
      <c r="AH82" s="54">
        <f t="shared" si="21"/>
        <v>0</v>
      </c>
      <c r="AI82" s="46">
        <v>0</v>
      </c>
      <c r="AJ82" s="46">
        <v>0</v>
      </c>
      <c r="AK82" s="47">
        <v>0</v>
      </c>
      <c r="AL82" s="47">
        <v>0</v>
      </c>
      <c r="AM82" s="58">
        <f t="shared" si="22"/>
        <v>0</v>
      </c>
      <c r="AN82" s="58">
        <f t="shared" si="23"/>
        <v>0</v>
      </c>
    </row>
    <row r="83" spans="1:40">
      <c r="A83" s="23">
        <v>10084</v>
      </c>
      <c r="B83" s="23" t="s">
        <v>3966</v>
      </c>
      <c r="C83" s="43">
        <v>2</v>
      </c>
      <c r="D83" s="36">
        <v>1</v>
      </c>
      <c r="E83" s="52">
        <f t="shared" si="12"/>
        <v>1.5</v>
      </c>
      <c r="F83" s="37">
        <v>0</v>
      </c>
      <c r="G83" s="37">
        <v>1</v>
      </c>
      <c r="H83" s="38">
        <v>0</v>
      </c>
      <c r="I83" s="38">
        <v>1</v>
      </c>
      <c r="J83" s="49">
        <f t="shared" si="13"/>
        <v>0</v>
      </c>
      <c r="K83" s="49">
        <f t="shared" si="14"/>
        <v>1</v>
      </c>
      <c r="L83" s="44">
        <v>0</v>
      </c>
      <c r="M83" s="44">
        <v>1</v>
      </c>
      <c r="N83" s="45">
        <v>0</v>
      </c>
      <c r="O83" s="45">
        <v>1</v>
      </c>
      <c r="P83" s="54">
        <f t="shared" si="15"/>
        <v>0</v>
      </c>
      <c r="Q83" s="54">
        <f t="shared" si="16"/>
        <v>1</v>
      </c>
      <c r="R83" s="46">
        <v>0</v>
      </c>
      <c r="S83" s="47">
        <v>0</v>
      </c>
      <c r="T83" s="57">
        <f t="shared" si="17"/>
        <v>0</v>
      </c>
      <c r="U83" s="37">
        <v>2</v>
      </c>
      <c r="V83" s="37">
        <v>0</v>
      </c>
      <c r="W83" s="37">
        <v>1</v>
      </c>
      <c r="X83" s="38">
        <v>1</v>
      </c>
      <c r="Y83" s="38">
        <v>0</v>
      </c>
      <c r="Z83" s="38">
        <v>2</v>
      </c>
      <c r="AA83" s="49">
        <f t="shared" si="18"/>
        <v>1.5</v>
      </c>
      <c r="AB83" s="49">
        <f t="shared" si="19"/>
        <v>1.5</v>
      </c>
      <c r="AC83" s="44">
        <v>1</v>
      </c>
      <c r="AD83" s="45">
        <v>0</v>
      </c>
      <c r="AE83" s="54">
        <f t="shared" si="20"/>
        <v>0.5</v>
      </c>
      <c r="AF83" s="43">
        <v>0</v>
      </c>
      <c r="AG83" s="36">
        <v>1</v>
      </c>
      <c r="AH83" s="54">
        <f t="shared" si="21"/>
        <v>0.5</v>
      </c>
      <c r="AI83" s="46">
        <v>0</v>
      </c>
      <c r="AJ83" s="46">
        <v>0</v>
      </c>
      <c r="AK83" s="47">
        <v>0</v>
      </c>
      <c r="AL83" s="47">
        <v>0</v>
      </c>
      <c r="AM83" s="58">
        <f t="shared" si="22"/>
        <v>0</v>
      </c>
      <c r="AN83" s="58">
        <f t="shared" si="23"/>
        <v>0</v>
      </c>
    </row>
    <row r="84" spans="1:40">
      <c r="A84" s="23">
        <v>10085</v>
      </c>
      <c r="B84" s="23" t="s">
        <v>3865</v>
      </c>
      <c r="C84" s="43">
        <v>0</v>
      </c>
      <c r="D84" s="36">
        <v>0</v>
      </c>
      <c r="E84" s="52">
        <f t="shared" si="12"/>
        <v>0</v>
      </c>
      <c r="F84" s="37">
        <v>3</v>
      </c>
      <c r="G84" s="37">
        <v>2</v>
      </c>
      <c r="H84" s="38">
        <v>2</v>
      </c>
      <c r="I84" s="38">
        <v>2</v>
      </c>
      <c r="J84" s="49">
        <f t="shared" si="13"/>
        <v>2.5</v>
      </c>
      <c r="K84" s="49">
        <f t="shared" si="14"/>
        <v>2</v>
      </c>
      <c r="L84" s="44">
        <v>3</v>
      </c>
      <c r="M84" s="44">
        <v>2</v>
      </c>
      <c r="N84" s="45">
        <v>2</v>
      </c>
      <c r="O84" s="45">
        <v>2</v>
      </c>
      <c r="P84" s="54">
        <f t="shared" si="15"/>
        <v>2.5</v>
      </c>
      <c r="Q84" s="54">
        <f t="shared" si="16"/>
        <v>2</v>
      </c>
      <c r="R84" s="46">
        <v>2</v>
      </c>
      <c r="S84" s="47">
        <v>2</v>
      </c>
      <c r="T84" s="57">
        <f t="shared" si="17"/>
        <v>2</v>
      </c>
      <c r="U84" s="37">
        <v>3</v>
      </c>
      <c r="V84" s="37">
        <v>0</v>
      </c>
      <c r="W84" s="37">
        <v>2</v>
      </c>
      <c r="X84" s="38">
        <v>2</v>
      </c>
      <c r="Y84" s="38">
        <v>0</v>
      </c>
      <c r="Z84" s="38">
        <v>2</v>
      </c>
      <c r="AA84" s="49">
        <f t="shared" si="18"/>
        <v>2.5</v>
      </c>
      <c r="AB84" s="49">
        <f t="shared" si="19"/>
        <v>2</v>
      </c>
      <c r="AC84" s="44">
        <v>2</v>
      </c>
      <c r="AD84" s="45">
        <v>2</v>
      </c>
      <c r="AE84" s="54">
        <f t="shared" si="20"/>
        <v>2</v>
      </c>
      <c r="AF84" s="43">
        <v>1</v>
      </c>
      <c r="AG84" s="36">
        <v>1</v>
      </c>
      <c r="AH84" s="54">
        <f t="shared" si="21"/>
        <v>1</v>
      </c>
      <c r="AI84" s="46">
        <v>2</v>
      </c>
      <c r="AJ84" s="46">
        <v>0</v>
      </c>
      <c r="AK84" s="47">
        <v>2</v>
      </c>
      <c r="AL84" s="47">
        <v>0</v>
      </c>
      <c r="AM84" s="58">
        <f t="shared" si="22"/>
        <v>2</v>
      </c>
      <c r="AN84" s="58">
        <f t="shared" si="23"/>
        <v>0</v>
      </c>
    </row>
    <row r="85" spans="1:40">
      <c r="A85" s="23">
        <v>10086</v>
      </c>
      <c r="B85" s="23" t="s">
        <v>4004</v>
      </c>
      <c r="C85" s="43">
        <v>3</v>
      </c>
      <c r="D85" s="36">
        <v>3</v>
      </c>
      <c r="E85" s="52">
        <f t="shared" si="12"/>
        <v>3</v>
      </c>
      <c r="F85" s="37">
        <v>0</v>
      </c>
      <c r="G85" s="37">
        <v>2</v>
      </c>
      <c r="H85" s="38">
        <v>0</v>
      </c>
      <c r="I85" s="38">
        <v>1</v>
      </c>
      <c r="J85" s="49">
        <f t="shared" si="13"/>
        <v>0</v>
      </c>
      <c r="K85" s="49">
        <f t="shared" si="14"/>
        <v>1.5</v>
      </c>
      <c r="L85" s="44">
        <v>3</v>
      </c>
      <c r="M85" s="44">
        <v>0</v>
      </c>
      <c r="N85" s="45">
        <v>1</v>
      </c>
      <c r="O85" s="45">
        <v>0</v>
      </c>
      <c r="P85" s="54">
        <f t="shared" si="15"/>
        <v>2</v>
      </c>
      <c r="Q85" s="54">
        <f t="shared" si="16"/>
        <v>0</v>
      </c>
      <c r="R85" s="46">
        <v>0</v>
      </c>
      <c r="S85" s="47">
        <v>0</v>
      </c>
      <c r="T85" s="57">
        <f t="shared" si="17"/>
        <v>0</v>
      </c>
      <c r="U85" s="37">
        <v>0</v>
      </c>
      <c r="V85" s="37">
        <v>0</v>
      </c>
      <c r="W85" s="37">
        <v>1</v>
      </c>
      <c r="X85" s="38">
        <v>0</v>
      </c>
      <c r="Y85" s="38">
        <v>0</v>
      </c>
      <c r="Z85" s="38">
        <v>0</v>
      </c>
      <c r="AA85" s="49">
        <f t="shared" si="18"/>
        <v>0</v>
      </c>
      <c r="AB85" s="49">
        <f t="shared" si="19"/>
        <v>0.5</v>
      </c>
      <c r="AC85" s="44">
        <v>1</v>
      </c>
      <c r="AD85" s="45">
        <v>0</v>
      </c>
      <c r="AE85" s="54">
        <f t="shared" si="20"/>
        <v>0.5</v>
      </c>
      <c r="AF85" s="43">
        <v>0</v>
      </c>
      <c r="AG85" s="36">
        <v>0</v>
      </c>
      <c r="AH85" s="54">
        <f t="shared" si="21"/>
        <v>0</v>
      </c>
      <c r="AI85" s="46">
        <v>0</v>
      </c>
      <c r="AJ85" s="46">
        <v>0</v>
      </c>
      <c r="AK85" s="47">
        <v>0</v>
      </c>
      <c r="AL85" s="47">
        <v>0</v>
      </c>
      <c r="AM85" s="58">
        <f t="shared" si="22"/>
        <v>0</v>
      </c>
      <c r="AN85" s="58">
        <f t="shared" si="23"/>
        <v>0</v>
      </c>
    </row>
    <row r="86" spans="1:40">
      <c r="A86" s="23">
        <v>10087</v>
      </c>
      <c r="B86" s="23" t="s">
        <v>3971</v>
      </c>
      <c r="C86" s="43">
        <v>1</v>
      </c>
      <c r="D86" s="36">
        <v>1</v>
      </c>
      <c r="E86" s="52">
        <f t="shared" si="12"/>
        <v>1</v>
      </c>
      <c r="F86" s="37">
        <v>0</v>
      </c>
      <c r="G86" s="37">
        <v>0</v>
      </c>
      <c r="H86" s="38">
        <v>0</v>
      </c>
      <c r="I86" s="38">
        <v>0</v>
      </c>
      <c r="J86" s="49">
        <f t="shared" si="13"/>
        <v>0</v>
      </c>
      <c r="K86" s="49">
        <f t="shared" si="14"/>
        <v>0</v>
      </c>
      <c r="L86" s="44">
        <v>0</v>
      </c>
      <c r="M86" s="44">
        <v>1</v>
      </c>
      <c r="N86" s="45">
        <v>0</v>
      </c>
      <c r="O86" s="45">
        <v>1</v>
      </c>
      <c r="P86" s="54">
        <f t="shared" si="15"/>
        <v>0</v>
      </c>
      <c r="Q86" s="54">
        <f t="shared" si="16"/>
        <v>1</v>
      </c>
      <c r="R86" s="46">
        <v>2</v>
      </c>
      <c r="S86" s="47">
        <v>0</v>
      </c>
      <c r="T86" s="57">
        <f t="shared" si="17"/>
        <v>1</v>
      </c>
      <c r="U86" s="37">
        <v>3</v>
      </c>
      <c r="V86" s="37">
        <v>0</v>
      </c>
      <c r="W86" s="37">
        <v>2</v>
      </c>
      <c r="X86" s="38">
        <v>3</v>
      </c>
      <c r="Y86" s="38">
        <v>0</v>
      </c>
      <c r="Z86" s="38">
        <v>2</v>
      </c>
      <c r="AA86" s="49">
        <f t="shared" si="18"/>
        <v>3</v>
      </c>
      <c r="AB86" s="49">
        <f t="shared" si="19"/>
        <v>2</v>
      </c>
      <c r="AC86" s="44">
        <v>2</v>
      </c>
      <c r="AD86" s="45">
        <v>2</v>
      </c>
      <c r="AE86" s="54">
        <f t="shared" si="20"/>
        <v>2</v>
      </c>
      <c r="AF86" s="36">
        <v>1</v>
      </c>
      <c r="AG86" s="36">
        <v>1</v>
      </c>
      <c r="AH86" s="54">
        <f t="shared" si="21"/>
        <v>1</v>
      </c>
      <c r="AI86" s="46">
        <v>1</v>
      </c>
      <c r="AJ86" s="46">
        <v>0</v>
      </c>
      <c r="AK86" s="47">
        <v>1</v>
      </c>
      <c r="AL86" s="47">
        <v>0</v>
      </c>
      <c r="AM86" s="58">
        <f t="shared" si="22"/>
        <v>1</v>
      </c>
      <c r="AN86" s="58">
        <f t="shared" si="23"/>
        <v>0</v>
      </c>
    </row>
    <row r="87" spans="1:40">
      <c r="A87" s="23">
        <v>10088</v>
      </c>
      <c r="B87" s="23" t="s">
        <v>3831</v>
      </c>
      <c r="C87" s="43">
        <v>1</v>
      </c>
      <c r="D87" s="36">
        <v>3</v>
      </c>
      <c r="E87" s="52">
        <f t="shared" si="12"/>
        <v>2</v>
      </c>
      <c r="F87" s="37">
        <v>3</v>
      </c>
      <c r="G87" s="37">
        <v>2</v>
      </c>
      <c r="H87" s="38">
        <v>2</v>
      </c>
      <c r="I87" s="38">
        <v>2</v>
      </c>
      <c r="J87" s="49">
        <f t="shared" si="13"/>
        <v>2.5</v>
      </c>
      <c r="K87" s="49">
        <f t="shared" si="14"/>
        <v>2</v>
      </c>
      <c r="L87" s="44">
        <v>2</v>
      </c>
      <c r="M87" s="44">
        <v>2</v>
      </c>
      <c r="N87" s="45">
        <v>2</v>
      </c>
      <c r="O87" s="45">
        <v>0</v>
      </c>
      <c r="P87" s="54">
        <f t="shared" si="15"/>
        <v>2</v>
      </c>
      <c r="Q87" s="54">
        <f t="shared" si="16"/>
        <v>1</v>
      </c>
      <c r="R87" s="46">
        <v>1</v>
      </c>
      <c r="S87" s="47">
        <v>0</v>
      </c>
      <c r="T87" s="57">
        <f t="shared" si="17"/>
        <v>0.5</v>
      </c>
      <c r="U87" s="37">
        <v>3</v>
      </c>
      <c r="V87" s="37">
        <v>3</v>
      </c>
      <c r="W87" s="37">
        <v>2</v>
      </c>
      <c r="X87" s="38">
        <v>3</v>
      </c>
      <c r="Y87" s="38">
        <v>2</v>
      </c>
      <c r="Z87" s="38">
        <v>2</v>
      </c>
      <c r="AA87" s="49">
        <f t="shared" si="18"/>
        <v>3</v>
      </c>
      <c r="AB87" s="49">
        <f t="shared" si="19"/>
        <v>2</v>
      </c>
      <c r="AC87" s="44">
        <v>1</v>
      </c>
      <c r="AD87" s="45">
        <v>0</v>
      </c>
      <c r="AE87" s="54">
        <f t="shared" si="20"/>
        <v>0.5</v>
      </c>
      <c r="AF87" s="36">
        <v>1</v>
      </c>
      <c r="AG87" s="36">
        <v>1</v>
      </c>
      <c r="AH87" s="54">
        <f t="shared" si="21"/>
        <v>1</v>
      </c>
      <c r="AI87" s="46">
        <v>1</v>
      </c>
      <c r="AJ87" s="46">
        <v>0</v>
      </c>
      <c r="AK87" s="47">
        <v>0</v>
      </c>
      <c r="AL87" s="47">
        <v>0</v>
      </c>
      <c r="AM87" s="58">
        <f t="shared" si="22"/>
        <v>0.5</v>
      </c>
      <c r="AN87" s="58">
        <f t="shared" si="23"/>
        <v>0</v>
      </c>
    </row>
    <row r="88" spans="1:40">
      <c r="A88" s="23">
        <v>10089</v>
      </c>
      <c r="B88" s="23" t="s">
        <v>3770</v>
      </c>
      <c r="C88" s="43">
        <v>3</v>
      </c>
      <c r="D88" s="36">
        <v>3</v>
      </c>
      <c r="E88" s="52">
        <f t="shared" si="12"/>
        <v>3</v>
      </c>
      <c r="F88" s="37">
        <v>0</v>
      </c>
      <c r="G88" s="37">
        <v>1</v>
      </c>
      <c r="H88" s="38">
        <v>0</v>
      </c>
      <c r="I88" s="38">
        <v>1</v>
      </c>
      <c r="J88" s="49">
        <f t="shared" si="13"/>
        <v>0</v>
      </c>
      <c r="K88" s="49">
        <f t="shared" si="14"/>
        <v>1</v>
      </c>
      <c r="L88" s="44">
        <v>0</v>
      </c>
      <c r="M88" s="44">
        <v>2</v>
      </c>
      <c r="N88" s="45">
        <v>0</v>
      </c>
      <c r="O88" s="45">
        <v>2</v>
      </c>
      <c r="P88" s="54">
        <f t="shared" si="15"/>
        <v>0</v>
      </c>
      <c r="Q88" s="54">
        <f t="shared" si="16"/>
        <v>2</v>
      </c>
      <c r="R88" s="46">
        <v>2</v>
      </c>
      <c r="S88" s="47">
        <v>2</v>
      </c>
      <c r="T88" s="57">
        <f t="shared" si="17"/>
        <v>2</v>
      </c>
      <c r="U88" s="37">
        <v>3</v>
      </c>
      <c r="V88" s="37">
        <v>2</v>
      </c>
      <c r="W88" s="37">
        <v>2</v>
      </c>
      <c r="X88" s="38">
        <v>3</v>
      </c>
      <c r="Y88" s="38">
        <v>0</v>
      </c>
      <c r="Z88" s="38">
        <v>2</v>
      </c>
      <c r="AA88" s="49">
        <f t="shared" si="18"/>
        <v>3</v>
      </c>
      <c r="AB88" s="49">
        <f t="shared" si="19"/>
        <v>2</v>
      </c>
      <c r="AC88" s="44">
        <v>2</v>
      </c>
      <c r="AD88" s="45">
        <v>2</v>
      </c>
      <c r="AE88" s="54">
        <f t="shared" si="20"/>
        <v>2</v>
      </c>
      <c r="AF88" s="36">
        <v>1</v>
      </c>
      <c r="AG88" s="36">
        <v>1</v>
      </c>
      <c r="AH88" s="54">
        <f t="shared" si="21"/>
        <v>1</v>
      </c>
      <c r="AI88" s="46">
        <v>1</v>
      </c>
      <c r="AJ88" s="46">
        <v>0</v>
      </c>
      <c r="AK88" s="47">
        <v>0</v>
      </c>
      <c r="AL88" s="47">
        <v>0</v>
      </c>
      <c r="AM88" s="58">
        <f t="shared" si="22"/>
        <v>0.5</v>
      </c>
      <c r="AN88" s="58">
        <f t="shared" si="23"/>
        <v>0</v>
      </c>
    </row>
    <row r="89" spans="1:40">
      <c r="A89" s="23">
        <v>10090</v>
      </c>
      <c r="B89" s="23" t="s">
        <v>3989</v>
      </c>
      <c r="C89" s="43">
        <v>3</v>
      </c>
      <c r="D89" s="36">
        <v>3</v>
      </c>
      <c r="E89" s="52">
        <f t="shared" si="12"/>
        <v>3</v>
      </c>
      <c r="F89" s="37">
        <v>3</v>
      </c>
      <c r="G89" s="37">
        <v>1</v>
      </c>
      <c r="H89" s="38">
        <v>1</v>
      </c>
      <c r="I89" s="38">
        <v>1</v>
      </c>
      <c r="J89" s="49">
        <f t="shared" si="13"/>
        <v>2</v>
      </c>
      <c r="K89" s="49">
        <f t="shared" si="14"/>
        <v>1</v>
      </c>
      <c r="L89" s="44">
        <v>1</v>
      </c>
      <c r="M89" s="44">
        <v>1</v>
      </c>
      <c r="N89" s="45">
        <v>0</v>
      </c>
      <c r="O89" s="45">
        <v>1</v>
      </c>
      <c r="P89" s="54">
        <f t="shared" si="15"/>
        <v>0.5</v>
      </c>
      <c r="Q89" s="54">
        <f t="shared" si="16"/>
        <v>1</v>
      </c>
      <c r="R89" s="46">
        <v>1</v>
      </c>
      <c r="S89" s="47">
        <v>0</v>
      </c>
      <c r="T89" s="57">
        <f t="shared" si="17"/>
        <v>0.5</v>
      </c>
      <c r="U89" s="37">
        <v>2</v>
      </c>
      <c r="V89" s="37">
        <v>0</v>
      </c>
      <c r="W89" s="37">
        <v>2</v>
      </c>
      <c r="X89" s="38">
        <v>1</v>
      </c>
      <c r="Y89" s="38">
        <v>0</v>
      </c>
      <c r="Z89" s="38">
        <v>2</v>
      </c>
      <c r="AA89" s="49">
        <f t="shared" si="18"/>
        <v>1.5</v>
      </c>
      <c r="AB89" s="49">
        <f t="shared" si="19"/>
        <v>2</v>
      </c>
      <c r="AC89" s="44">
        <v>0</v>
      </c>
      <c r="AD89" s="45">
        <v>0</v>
      </c>
      <c r="AE89" s="54">
        <f t="shared" si="20"/>
        <v>0</v>
      </c>
      <c r="AF89" s="36">
        <v>1</v>
      </c>
      <c r="AG89" s="36">
        <v>1</v>
      </c>
      <c r="AH89" s="54">
        <f t="shared" si="21"/>
        <v>1</v>
      </c>
      <c r="AI89" s="46">
        <v>1</v>
      </c>
      <c r="AJ89" s="46">
        <v>0</v>
      </c>
      <c r="AK89" s="47">
        <v>0</v>
      </c>
      <c r="AL89" s="47">
        <v>0</v>
      </c>
      <c r="AM89" s="58">
        <f t="shared" si="22"/>
        <v>0.5</v>
      </c>
      <c r="AN89" s="58">
        <f t="shared" si="23"/>
        <v>0</v>
      </c>
    </row>
    <row r="90" spans="1:40">
      <c r="A90" s="23">
        <v>10091</v>
      </c>
      <c r="B90" s="23" t="s">
        <v>3883</v>
      </c>
      <c r="C90" s="43">
        <v>3</v>
      </c>
      <c r="D90" s="36">
        <v>3</v>
      </c>
      <c r="E90" s="52">
        <f t="shared" si="12"/>
        <v>3</v>
      </c>
      <c r="F90" s="37">
        <v>0</v>
      </c>
      <c r="G90" s="37">
        <v>2</v>
      </c>
      <c r="H90" s="38">
        <v>1</v>
      </c>
      <c r="I90" s="38">
        <v>1</v>
      </c>
      <c r="J90" s="49">
        <f t="shared" si="13"/>
        <v>0.5</v>
      </c>
      <c r="K90" s="49">
        <f t="shared" si="14"/>
        <v>1.5</v>
      </c>
      <c r="L90" s="44">
        <v>2</v>
      </c>
      <c r="M90" s="44">
        <v>1</v>
      </c>
      <c r="N90" s="45">
        <v>2</v>
      </c>
      <c r="O90" s="45">
        <v>1</v>
      </c>
      <c r="P90" s="54">
        <f t="shared" si="15"/>
        <v>2</v>
      </c>
      <c r="Q90" s="54">
        <f t="shared" si="16"/>
        <v>1</v>
      </c>
      <c r="R90" s="46">
        <v>0</v>
      </c>
      <c r="S90" s="47">
        <v>0</v>
      </c>
      <c r="T90" s="57">
        <f t="shared" si="17"/>
        <v>0</v>
      </c>
      <c r="U90" s="37">
        <v>3</v>
      </c>
      <c r="V90" s="37">
        <v>0</v>
      </c>
      <c r="W90" s="37">
        <v>1</v>
      </c>
      <c r="X90" s="38">
        <v>1</v>
      </c>
      <c r="Y90" s="38">
        <v>0</v>
      </c>
      <c r="Z90" s="38">
        <v>1</v>
      </c>
      <c r="AA90" s="49">
        <f t="shared" si="18"/>
        <v>2</v>
      </c>
      <c r="AB90" s="49">
        <f t="shared" si="19"/>
        <v>1</v>
      </c>
      <c r="AC90" s="44">
        <v>1</v>
      </c>
      <c r="AD90" s="45">
        <v>0</v>
      </c>
      <c r="AE90" s="54">
        <f t="shared" si="20"/>
        <v>0.5</v>
      </c>
      <c r="AF90" s="43">
        <v>1</v>
      </c>
      <c r="AG90" s="36">
        <v>1</v>
      </c>
      <c r="AH90" s="54">
        <f t="shared" si="21"/>
        <v>1</v>
      </c>
      <c r="AI90" s="46">
        <v>0</v>
      </c>
      <c r="AJ90" s="46">
        <v>1</v>
      </c>
      <c r="AK90" s="47">
        <v>0</v>
      </c>
      <c r="AL90" s="47">
        <v>0</v>
      </c>
      <c r="AM90" s="58">
        <f t="shared" si="22"/>
        <v>0</v>
      </c>
      <c r="AN90" s="58">
        <f t="shared" si="23"/>
        <v>0.5</v>
      </c>
    </row>
    <row r="91" spans="1:40">
      <c r="A91" s="23">
        <v>10092</v>
      </c>
      <c r="B91" s="23" t="s">
        <v>3924</v>
      </c>
      <c r="C91" s="43">
        <v>3</v>
      </c>
      <c r="D91" s="36">
        <v>0</v>
      </c>
      <c r="E91" s="52">
        <f t="shared" si="12"/>
        <v>1.5</v>
      </c>
      <c r="F91" s="37">
        <v>3</v>
      </c>
      <c r="G91" s="37">
        <v>1</v>
      </c>
      <c r="H91" s="38">
        <v>1</v>
      </c>
      <c r="I91" s="38">
        <v>1</v>
      </c>
      <c r="J91" s="49">
        <f t="shared" si="13"/>
        <v>2</v>
      </c>
      <c r="K91" s="49">
        <f t="shared" si="14"/>
        <v>1</v>
      </c>
      <c r="L91" s="44">
        <v>2</v>
      </c>
      <c r="M91" s="44">
        <v>0</v>
      </c>
      <c r="N91" s="45">
        <v>1</v>
      </c>
      <c r="O91" s="45">
        <v>0</v>
      </c>
      <c r="P91" s="54">
        <f t="shared" si="15"/>
        <v>1.5</v>
      </c>
      <c r="Q91" s="54">
        <f t="shared" si="16"/>
        <v>0</v>
      </c>
      <c r="R91" s="46">
        <v>0</v>
      </c>
      <c r="S91" s="47">
        <v>0</v>
      </c>
      <c r="T91" s="57">
        <f t="shared" si="17"/>
        <v>0</v>
      </c>
      <c r="U91" s="37">
        <v>2</v>
      </c>
      <c r="V91" s="37">
        <v>0</v>
      </c>
      <c r="W91" s="37">
        <v>1</v>
      </c>
      <c r="X91" s="38">
        <v>1</v>
      </c>
      <c r="Y91" s="38">
        <v>0</v>
      </c>
      <c r="Z91" s="38">
        <v>0</v>
      </c>
      <c r="AA91" s="49">
        <f t="shared" si="18"/>
        <v>1.5</v>
      </c>
      <c r="AB91" s="49">
        <f t="shared" si="19"/>
        <v>0.5</v>
      </c>
      <c r="AC91" s="44">
        <v>0</v>
      </c>
      <c r="AD91" s="45">
        <v>0</v>
      </c>
      <c r="AE91" s="54">
        <f t="shared" si="20"/>
        <v>0</v>
      </c>
      <c r="AF91" s="43">
        <v>0</v>
      </c>
      <c r="AG91" s="36">
        <v>0</v>
      </c>
      <c r="AH91" s="54">
        <f t="shared" si="21"/>
        <v>0</v>
      </c>
      <c r="AI91" s="46">
        <v>1</v>
      </c>
      <c r="AJ91" s="46">
        <v>0</v>
      </c>
      <c r="AK91" s="47">
        <v>1</v>
      </c>
      <c r="AL91" s="47">
        <v>0</v>
      </c>
      <c r="AM91" s="58">
        <f t="shared" si="22"/>
        <v>1</v>
      </c>
      <c r="AN91" s="58">
        <f t="shared" si="23"/>
        <v>0</v>
      </c>
    </row>
    <row r="92" spans="1:40">
      <c r="A92" s="23">
        <v>10093</v>
      </c>
      <c r="B92" s="23" t="s">
        <v>3766</v>
      </c>
      <c r="C92" s="43">
        <v>0</v>
      </c>
      <c r="D92" s="36">
        <v>2</v>
      </c>
      <c r="E92" s="52">
        <f t="shared" si="12"/>
        <v>1</v>
      </c>
      <c r="F92" s="37">
        <v>3</v>
      </c>
      <c r="G92" s="37">
        <v>2</v>
      </c>
      <c r="H92" s="38">
        <v>2</v>
      </c>
      <c r="I92" s="38">
        <v>2</v>
      </c>
      <c r="J92" s="49">
        <f t="shared" si="13"/>
        <v>2.5</v>
      </c>
      <c r="K92" s="49">
        <f t="shared" si="14"/>
        <v>2</v>
      </c>
      <c r="L92" s="44">
        <v>0</v>
      </c>
      <c r="M92" s="44">
        <v>1</v>
      </c>
      <c r="N92" s="45">
        <v>0</v>
      </c>
      <c r="O92" s="45">
        <v>1</v>
      </c>
      <c r="P92" s="54">
        <f t="shared" si="15"/>
        <v>0</v>
      </c>
      <c r="Q92" s="54">
        <f t="shared" si="16"/>
        <v>1</v>
      </c>
      <c r="R92" s="46">
        <v>0</v>
      </c>
      <c r="S92" s="47">
        <v>0</v>
      </c>
      <c r="T92" s="57">
        <f t="shared" si="17"/>
        <v>0</v>
      </c>
      <c r="U92" s="37">
        <v>3</v>
      </c>
      <c r="V92" s="37">
        <v>3</v>
      </c>
      <c r="W92" s="37">
        <v>1</v>
      </c>
      <c r="X92" s="38">
        <v>0</v>
      </c>
      <c r="Y92" s="38">
        <v>3</v>
      </c>
      <c r="Z92" s="38">
        <v>0</v>
      </c>
      <c r="AA92" s="49">
        <f t="shared" si="18"/>
        <v>1.5</v>
      </c>
      <c r="AB92" s="49">
        <f t="shared" si="19"/>
        <v>0.5</v>
      </c>
      <c r="AC92" s="44">
        <v>0</v>
      </c>
      <c r="AD92" s="45">
        <v>0</v>
      </c>
      <c r="AE92" s="54">
        <f t="shared" si="20"/>
        <v>0</v>
      </c>
      <c r="AF92" s="43">
        <v>0</v>
      </c>
      <c r="AG92" s="36">
        <v>0</v>
      </c>
      <c r="AH92" s="54">
        <f t="shared" si="21"/>
        <v>0</v>
      </c>
      <c r="AI92" s="46">
        <v>0</v>
      </c>
      <c r="AJ92" s="46">
        <v>0</v>
      </c>
      <c r="AK92" s="47">
        <v>0</v>
      </c>
      <c r="AL92" s="47">
        <v>0</v>
      </c>
      <c r="AM92" s="58">
        <f t="shared" si="22"/>
        <v>0</v>
      </c>
      <c r="AN92" s="58">
        <f t="shared" si="23"/>
        <v>0</v>
      </c>
    </row>
    <row r="93" spans="1:40">
      <c r="A93" s="23">
        <v>10094</v>
      </c>
      <c r="B93" s="23" t="s">
        <v>4016</v>
      </c>
      <c r="C93" s="43">
        <v>1</v>
      </c>
      <c r="D93" s="36">
        <v>1</v>
      </c>
      <c r="E93" s="52">
        <f t="shared" si="12"/>
        <v>1</v>
      </c>
      <c r="F93" s="37">
        <v>0</v>
      </c>
      <c r="G93" s="37">
        <v>1</v>
      </c>
      <c r="H93" s="38">
        <v>0</v>
      </c>
      <c r="I93" s="38">
        <v>1</v>
      </c>
      <c r="J93" s="49">
        <f t="shared" si="13"/>
        <v>0</v>
      </c>
      <c r="K93" s="49">
        <f t="shared" si="14"/>
        <v>1</v>
      </c>
      <c r="L93" s="44">
        <v>3</v>
      </c>
      <c r="M93" s="44">
        <v>1</v>
      </c>
      <c r="N93" s="45">
        <v>2</v>
      </c>
      <c r="O93" s="45">
        <v>1</v>
      </c>
      <c r="P93" s="54">
        <f t="shared" si="15"/>
        <v>2.5</v>
      </c>
      <c r="Q93" s="54">
        <f t="shared" si="16"/>
        <v>1</v>
      </c>
      <c r="R93" s="46">
        <v>0</v>
      </c>
      <c r="S93" s="47">
        <v>0</v>
      </c>
      <c r="T93" s="57">
        <f t="shared" si="17"/>
        <v>0</v>
      </c>
      <c r="U93" s="37">
        <v>2</v>
      </c>
      <c r="V93" s="37">
        <v>0</v>
      </c>
      <c r="W93" s="37">
        <v>1</v>
      </c>
      <c r="X93" s="38">
        <v>2</v>
      </c>
      <c r="Y93" s="38">
        <v>0</v>
      </c>
      <c r="Z93" s="38">
        <v>0</v>
      </c>
      <c r="AA93" s="49">
        <f t="shared" si="18"/>
        <v>2</v>
      </c>
      <c r="AB93" s="49">
        <f t="shared" si="19"/>
        <v>0.5</v>
      </c>
      <c r="AC93" s="44">
        <v>0</v>
      </c>
      <c r="AD93" s="45">
        <v>0</v>
      </c>
      <c r="AE93" s="54">
        <f t="shared" si="20"/>
        <v>0</v>
      </c>
      <c r="AF93" s="36">
        <v>1</v>
      </c>
      <c r="AG93" s="36">
        <v>1</v>
      </c>
      <c r="AH93" s="54">
        <f t="shared" si="21"/>
        <v>1</v>
      </c>
      <c r="AI93" s="46">
        <v>1</v>
      </c>
      <c r="AJ93" s="46">
        <v>0</v>
      </c>
      <c r="AK93" s="47">
        <v>1</v>
      </c>
      <c r="AL93" s="47">
        <v>0</v>
      </c>
      <c r="AM93" s="58">
        <f t="shared" si="22"/>
        <v>1</v>
      </c>
      <c r="AN93" s="58">
        <f t="shared" si="23"/>
        <v>0</v>
      </c>
    </row>
    <row r="94" spans="1:40">
      <c r="A94" s="23">
        <v>10095</v>
      </c>
      <c r="B94" s="23" t="s">
        <v>3798</v>
      </c>
      <c r="C94" s="43">
        <v>1</v>
      </c>
      <c r="D94" s="36">
        <v>1</v>
      </c>
      <c r="E94" s="52">
        <f t="shared" si="12"/>
        <v>1</v>
      </c>
      <c r="F94" s="37">
        <v>0</v>
      </c>
      <c r="G94" s="37">
        <v>1</v>
      </c>
      <c r="H94" s="38">
        <v>0</v>
      </c>
      <c r="I94" s="38">
        <v>1</v>
      </c>
      <c r="J94" s="49">
        <f t="shared" si="13"/>
        <v>0</v>
      </c>
      <c r="K94" s="49">
        <f t="shared" si="14"/>
        <v>1</v>
      </c>
      <c r="L94" s="44">
        <v>2</v>
      </c>
      <c r="M94" s="44">
        <v>2</v>
      </c>
      <c r="N94" s="45">
        <v>2</v>
      </c>
      <c r="O94" s="45">
        <v>2</v>
      </c>
      <c r="P94" s="54">
        <f t="shared" si="15"/>
        <v>2</v>
      </c>
      <c r="Q94" s="54">
        <f t="shared" si="16"/>
        <v>2</v>
      </c>
      <c r="R94" s="46">
        <v>2</v>
      </c>
      <c r="S94" s="47">
        <v>2</v>
      </c>
      <c r="T94" s="57">
        <f t="shared" si="17"/>
        <v>2</v>
      </c>
      <c r="U94" s="37">
        <v>2</v>
      </c>
      <c r="V94" s="37">
        <v>1</v>
      </c>
      <c r="W94" s="37">
        <v>2</v>
      </c>
      <c r="X94" s="38">
        <v>1</v>
      </c>
      <c r="Y94" s="38">
        <v>0</v>
      </c>
      <c r="Z94" s="38">
        <v>2</v>
      </c>
      <c r="AA94" s="49">
        <f t="shared" si="18"/>
        <v>1.5</v>
      </c>
      <c r="AB94" s="49">
        <f t="shared" si="19"/>
        <v>2</v>
      </c>
      <c r="AC94" s="44">
        <v>0</v>
      </c>
      <c r="AD94" s="45">
        <v>0</v>
      </c>
      <c r="AE94" s="54">
        <f t="shared" si="20"/>
        <v>0</v>
      </c>
      <c r="AF94" s="36">
        <v>1</v>
      </c>
      <c r="AG94" s="36">
        <v>1</v>
      </c>
      <c r="AH94" s="54">
        <f t="shared" si="21"/>
        <v>1</v>
      </c>
      <c r="AI94" s="46">
        <v>1</v>
      </c>
      <c r="AJ94" s="46">
        <v>0</v>
      </c>
      <c r="AK94" s="47">
        <v>2</v>
      </c>
      <c r="AL94" s="47">
        <v>0</v>
      </c>
      <c r="AM94" s="58">
        <f t="shared" si="22"/>
        <v>1.5</v>
      </c>
      <c r="AN94" s="58">
        <f t="shared" si="23"/>
        <v>0</v>
      </c>
    </row>
    <row r="95" spans="1:40">
      <c r="A95" s="23">
        <v>10096</v>
      </c>
      <c r="B95" s="23" t="s">
        <v>3978</v>
      </c>
      <c r="C95" s="43">
        <v>0</v>
      </c>
      <c r="D95" s="36">
        <v>0</v>
      </c>
      <c r="E95" s="52">
        <f t="shared" si="12"/>
        <v>0</v>
      </c>
      <c r="F95" s="37">
        <v>3</v>
      </c>
      <c r="G95" s="37">
        <v>1</v>
      </c>
      <c r="H95" s="38">
        <v>1</v>
      </c>
      <c r="I95" s="38">
        <v>1</v>
      </c>
      <c r="J95" s="49">
        <f t="shared" si="13"/>
        <v>2</v>
      </c>
      <c r="K95" s="49">
        <f t="shared" si="14"/>
        <v>1</v>
      </c>
      <c r="L95" s="44">
        <v>2</v>
      </c>
      <c r="M95" s="44">
        <v>1</v>
      </c>
      <c r="N95" s="45">
        <v>2</v>
      </c>
      <c r="O95" s="45">
        <v>1</v>
      </c>
      <c r="P95" s="54">
        <f t="shared" si="15"/>
        <v>2</v>
      </c>
      <c r="Q95" s="54">
        <f t="shared" si="16"/>
        <v>1</v>
      </c>
      <c r="R95" s="46">
        <v>0</v>
      </c>
      <c r="S95" s="47">
        <v>0</v>
      </c>
      <c r="T95" s="57">
        <f t="shared" si="17"/>
        <v>0</v>
      </c>
      <c r="U95" s="37">
        <v>3</v>
      </c>
      <c r="V95" s="37">
        <v>1</v>
      </c>
      <c r="W95" s="37">
        <v>2</v>
      </c>
      <c r="X95" s="38">
        <v>3</v>
      </c>
      <c r="Y95" s="38">
        <v>0</v>
      </c>
      <c r="Z95" s="38">
        <v>2</v>
      </c>
      <c r="AA95" s="49">
        <f t="shared" si="18"/>
        <v>3</v>
      </c>
      <c r="AB95" s="49">
        <f t="shared" si="19"/>
        <v>2</v>
      </c>
      <c r="AC95" s="44">
        <v>1</v>
      </c>
      <c r="AD95" s="45">
        <v>1</v>
      </c>
      <c r="AE95" s="54">
        <f t="shared" si="20"/>
        <v>1</v>
      </c>
      <c r="AF95" s="36">
        <v>0</v>
      </c>
      <c r="AG95" s="36">
        <v>0</v>
      </c>
      <c r="AH95" s="54">
        <f t="shared" si="21"/>
        <v>0</v>
      </c>
      <c r="AI95" s="46">
        <v>2</v>
      </c>
      <c r="AJ95" s="46">
        <v>0</v>
      </c>
      <c r="AK95" s="47">
        <v>1</v>
      </c>
      <c r="AL95" s="47">
        <v>0</v>
      </c>
      <c r="AM95" s="58">
        <f t="shared" si="22"/>
        <v>1.5</v>
      </c>
      <c r="AN95" s="58">
        <f t="shared" si="23"/>
        <v>0</v>
      </c>
    </row>
    <row r="96" spans="1:40">
      <c r="A96" s="23">
        <v>10097</v>
      </c>
      <c r="B96" s="23" t="s">
        <v>3950</v>
      </c>
      <c r="C96" s="43">
        <v>1</v>
      </c>
      <c r="D96" s="36">
        <v>1</v>
      </c>
      <c r="E96" s="52">
        <f t="shared" si="12"/>
        <v>1</v>
      </c>
      <c r="F96" s="37">
        <v>0</v>
      </c>
      <c r="G96" s="37">
        <v>1</v>
      </c>
      <c r="H96" s="38">
        <v>0</v>
      </c>
      <c r="I96" s="38">
        <v>1</v>
      </c>
      <c r="J96" s="49">
        <f t="shared" si="13"/>
        <v>0</v>
      </c>
      <c r="K96" s="49">
        <f t="shared" si="14"/>
        <v>1</v>
      </c>
      <c r="L96" s="44">
        <v>2</v>
      </c>
      <c r="M96" s="44">
        <v>1</v>
      </c>
      <c r="N96" s="45">
        <v>2</v>
      </c>
      <c r="O96" s="45">
        <v>1</v>
      </c>
      <c r="P96" s="54">
        <f t="shared" si="15"/>
        <v>2</v>
      </c>
      <c r="Q96" s="54">
        <f t="shared" si="16"/>
        <v>1</v>
      </c>
      <c r="R96" s="46">
        <v>0</v>
      </c>
      <c r="S96" s="47">
        <v>0</v>
      </c>
      <c r="T96" s="57">
        <f t="shared" si="17"/>
        <v>0</v>
      </c>
      <c r="U96" s="37">
        <v>2</v>
      </c>
      <c r="V96" s="37">
        <v>0</v>
      </c>
      <c r="W96" s="37">
        <v>2</v>
      </c>
      <c r="X96" s="38">
        <v>1</v>
      </c>
      <c r="Y96" s="38">
        <v>0</v>
      </c>
      <c r="Z96" s="38">
        <v>2</v>
      </c>
      <c r="AA96" s="49">
        <f t="shared" si="18"/>
        <v>1.5</v>
      </c>
      <c r="AB96" s="49">
        <f t="shared" si="19"/>
        <v>2</v>
      </c>
      <c r="AC96" s="44">
        <v>2</v>
      </c>
      <c r="AD96" s="45">
        <v>2</v>
      </c>
      <c r="AE96" s="54">
        <f t="shared" si="20"/>
        <v>2</v>
      </c>
      <c r="AF96" s="36">
        <v>1</v>
      </c>
      <c r="AG96" s="36">
        <v>1</v>
      </c>
      <c r="AH96" s="54">
        <f t="shared" si="21"/>
        <v>1</v>
      </c>
      <c r="AI96" s="46">
        <v>1</v>
      </c>
      <c r="AJ96" s="46">
        <v>0</v>
      </c>
      <c r="AK96" s="47">
        <v>0</v>
      </c>
      <c r="AL96" s="47">
        <v>0</v>
      </c>
      <c r="AM96" s="58">
        <f t="shared" si="22"/>
        <v>0.5</v>
      </c>
      <c r="AN96" s="58">
        <f t="shared" si="23"/>
        <v>0</v>
      </c>
    </row>
    <row r="97" spans="1:40">
      <c r="A97" s="23">
        <v>10098</v>
      </c>
      <c r="B97" s="23" t="s">
        <v>3935</v>
      </c>
      <c r="C97" s="43">
        <v>1</v>
      </c>
      <c r="D97" s="36">
        <v>0</v>
      </c>
      <c r="E97" s="52">
        <f t="shared" si="12"/>
        <v>0.5</v>
      </c>
      <c r="F97" s="37">
        <v>3</v>
      </c>
      <c r="G97" s="37">
        <v>1</v>
      </c>
      <c r="H97" s="38">
        <v>2</v>
      </c>
      <c r="I97" s="38">
        <v>1</v>
      </c>
      <c r="J97" s="49">
        <f t="shared" si="13"/>
        <v>2.5</v>
      </c>
      <c r="K97" s="49">
        <f t="shared" si="14"/>
        <v>1</v>
      </c>
      <c r="L97" s="44">
        <v>2</v>
      </c>
      <c r="M97" s="44">
        <v>1</v>
      </c>
      <c r="N97" s="45">
        <v>1</v>
      </c>
      <c r="O97" s="45">
        <v>1</v>
      </c>
      <c r="P97" s="54">
        <f t="shared" si="15"/>
        <v>1.5</v>
      </c>
      <c r="Q97" s="54">
        <f t="shared" si="16"/>
        <v>1</v>
      </c>
      <c r="R97" s="46">
        <v>0</v>
      </c>
      <c r="S97" s="47">
        <v>0</v>
      </c>
      <c r="T97" s="57">
        <f t="shared" si="17"/>
        <v>0</v>
      </c>
      <c r="U97" s="37">
        <v>2</v>
      </c>
      <c r="V97" s="37">
        <v>0</v>
      </c>
      <c r="W97" s="37">
        <v>1</v>
      </c>
      <c r="X97" s="38">
        <v>1</v>
      </c>
      <c r="Y97" s="38">
        <v>0</v>
      </c>
      <c r="Z97" s="38">
        <v>0</v>
      </c>
      <c r="AA97" s="49">
        <f t="shared" si="18"/>
        <v>1.5</v>
      </c>
      <c r="AB97" s="49">
        <f t="shared" si="19"/>
        <v>0.5</v>
      </c>
      <c r="AC97" s="44">
        <v>0</v>
      </c>
      <c r="AD97" s="45">
        <v>0</v>
      </c>
      <c r="AE97" s="54">
        <f t="shared" si="20"/>
        <v>0</v>
      </c>
      <c r="AF97" s="36">
        <v>1</v>
      </c>
      <c r="AG97" s="36">
        <v>1</v>
      </c>
      <c r="AH97" s="54">
        <f t="shared" si="21"/>
        <v>1</v>
      </c>
      <c r="AI97" s="46">
        <v>1</v>
      </c>
      <c r="AJ97" s="46">
        <v>0</v>
      </c>
      <c r="AK97" s="47">
        <v>0</v>
      </c>
      <c r="AL97" s="47">
        <v>0</v>
      </c>
      <c r="AM97" s="58">
        <f t="shared" si="22"/>
        <v>0.5</v>
      </c>
      <c r="AN97" s="58">
        <f t="shared" si="23"/>
        <v>0</v>
      </c>
    </row>
    <row r="98" spans="1:40">
      <c r="A98" s="23">
        <v>10099</v>
      </c>
      <c r="B98" s="23" t="s">
        <v>3881</v>
      </c>
      <c r="C98" s="43">
        <v>3</v>
      </c>
      <c r="D98" s="36">
        <v>3</v>
      </c>
      <c r="E98" s="52">
        <f t="shared" si="12"/>
        <v>3</v>
      </c>
      <c r="F98" s="37">
        <v>3</v>
      </c>
      <c r="G98" s="37">
        <v>1</v>
      </c>
      <c r="H98" s="38">
        <v>1</v>
      </c>
      <c r="I98" s="38">
        <v>1</v>
      </c>
      <c r="J98" s="49">
        <f t="shared" si="13"/>
        <v>2</v>
      </c>
      <c r="K98" s="49">
        <f t="shared" si="14"/>
        <v>1</v>
      </c>
      <c r="L98" s="44">
        <v>2</v>
      </c>
      <c r="M98" s="44">
        <v>1</v>
      </c>
      <c r="N98" s="45">
        <v>1</v>
      </c>
      <c r="O98" s="45">
        <v>1</v>
      </c>
      <c r="P98" s="54">
        <f t="shared" si="15"/>
        <v>1.5</v>
      </c>
      <c r="Q98" s="54">
        <f t="shared" si="16"/>
        <v>1</v>
      </c>
      <c r="R98" s="46">
        <v>2</v>
      </c>
      <c r="S98" s="47">
        <v>2</v>
      </c>
      <c r="T98" s="57">
        <f t="shared" si="17"/>
        <v>2</v>
      </c>
      <c r="U98" s="37">
        <v>1</v>
      </c>
      <c r="V98" s="37">
        <v>0</v>
      </c>
      <c r="W98" s="37">
        <v>1</v>
      </c>
      <c r="X98" s="38">
        <v>1</v>
      </c>
      <c r="Y98" s="38">
        <v>0</v>
      </c>
      <c r="Z98" s="38">
        <v>0</v>
      </c>
      <c r="AA98" s="49">
        <f t="shared" si="18"/>
        <v>1</v>
      </c>
      <c r="AB98" s="49">
        <f t="shared" si="19"/>
        <v>0.5</v>
      </c>
      <c r="AC98" s="44">
        <v>0</v>
      </c>
      <c r="AD98" s="45">
        <v>0</v>
      </c>
      <c r="AE98" s="54">
        <f t="shared" si="20"/>
        <v>0</v>
      </c>
      <c r="AF98" s="43">
        <v>2</v>
      </c>
      <c r="AG98" s="36">
        <v>2</v>
      </c>
      <c r="AH98" s="54">
        <f t="shared" si="21"/>
        <v>2</v>
      </c>
      <c r="AI98" s="46">
        <v>0</v>
      </c>
      <c r="AJ98" s="46">
        <v>0</v>
      </c>
      <c r="AK98" s="47">
        <v>2</v>
      </c>
      <c r="AL98" s="47">
        <v>0</v>
      </c>
      <c r="AM98" s="58">
        <f t="shared" si="22"/>
        <v>1</v>
      </c>
      <c r="AN98" s="58">
        <f t="shared" si="23"/>
        <v>0</v>
      </c>
    </row>
    <row r="99" spans="1:40">
      <c r="A99" s="23">
        <v>10100</v>
      </c>
      <c r="B99" s="23" t="s">
        <v>3790</v>
      </c>
      <c r="C99" s="43">
        <v>3</v>
      </c>
      <c r="D99" s="36">
        <v>1</v>
      </c>
      <c r="E99" s="52">
        <f t="shared" si="12"/>
        <v>2</v>
      </c>
      <c r="F99" s="37">
        <v>3</v>
      </c>
      <c r="G99" s="37">
        <v>2</v>
      </c>
      <c r="H99" s="38">
        <v>2</v>
      </c>
      <c r="I99" s="38">
        <v>1</v>
      </c>
      <c r="J99" s="49">
        <f t="shared" si="13"/>
        <v>2.5</v>
      </c>
      <c r="K99" s="49">
        <f t="shared" si="14"/>
        <v>1.5</v>
      </c>
      <c r="L99" s="44">
        <v>2</v>
      </c>
      <c r="M99" s="44">
        <v>1</v>
      </c>
      <c r="N99" s="45">
        <v>2</v>
      </c>
      <c r="O99" s="45">
        <v>1</v>
      </c>
      <c r="P99" s="54">
        <f t="shared" si="15"/>
        <v>2</v>
      </c>
      <c r="Q99" s="54">
        <f t="shared" si="16"/>
        <v>1</v>
      </c>
      <c r="R99" s="46">
        <v>1</v>
      </c>
      <c r="S99" s="47">
        <v>1</v>
      </c>
      <c r="T99" s="57">
        <f t="shared" si="17"/>
        <v>1</v>
      </c>
      <c r="U99" s="37">
        <v>3</v>
      </c>
      <c r="V99" s="37">
        <v>3</v>
      </c>
      <c r="W99" s="37">
        <v>2</v>
      </c>
      <c r="X99" s="38">
        <v>3</v>
      </c>
      <c r="Y99" s="38">
        <v>3</v>
      </c>
      <c r="Z99" s="38">
        <v>2</v>
      </c>
      <c r="AA99" s="49">
        <f t="shared" si="18"/>
        <v>3</v>
      </c>
      <c r="AB99" s="49">
        <f t="shared" si="19"/>
        <v>2</v>
      </c>
      <c r="AC99" s="44">
        <v>1</v>
      </c>
      <c r="AD99" s="45">
        <v>0</v>
      </c>
      <c r="AE99" s="54">
        <f t="shared" si="20"/>
        <v>0.5</v>
      </c>
      <c r="AF99" s="43">
        <v>0</v>
      </c>
      <c r="AG99" s="36">
        <v>0</v>
      </c>
      <c r="AH99" s="54">
        <f t="shared" si="21"/>
        <v>0</v>
      </c>
      <c r="AI99" s="46">
        <v>1</v>
      </c>
      <c r="AJ99" s="46">
        <v>0</v>
      </c>
      <c r="AK99" s="47">
        <v>1</v>
      </c>
      <c r="AL99" s="47">
        <v>0</v>
      </c>
      <c r="AM99" s="58">
        <f t="shared" si="22"/>
        <v>1</v>
      </c>
      <c r="AN99" s="58">
        <f t="shared" si="23"/>
        <v>0</v>
      </c>
    </row>
    <row r="100" spans="1:40">
      <c r="A100" s="23">
        <v>10101</v>
      </c>
      <c r="B100" s="23" t="s">
        <v>3938</v>
      </c>
      <c r="C100" s="43">
        <v>1</v>
      </c>
      <c r="D100" s="36">
        <v>3</v>
      </c>
      <c r="E100" s="52">
        <f t="shared" si="12"/>
        <v>2</v>
      </c>
      <c r="F100" s="37">
        <v>3</v>
      </c>
      <c r="G100" s="37">
        <v>2</v>
      </c>
      <c r="H100" s="38">
        <v>1</v>
      </c>
      <c r="I100" s="38">
        <v>2</v>
      </c>
      <c r="J100" s="49">
        <f t="shared" si="13"/>
        <v>2</v>
      </c>
      <c r="K100" s="49">
        <f t="shared" si="14"/>
        <v>2</v>
      </c>
      <c r="L100" s="44">
        <v>0</v>
      </c>
      <c r="M100" s="44">
        <v>1</v>
      </c>
      <c r="N100" s="45">
        <v>0</v>
      </c>
      <c r="O100" s="45">
        <v>1</v>
      </c>
      <c r="P100" s="54">
        <f t="shared" si="15"/>
        <v>0</v>
      </c>
      <c r="Q100" s="54">
        <f t="shared" si="16"/>
        <v>1</v>
      </c>
      <c r="R100" s="46">
        <v>0</v>
      </c>
      <c r="S100" s="47">
        <v>0</v>
      </c>
      <c r="T100" s="57">
        <f t="shared" si="17"/>
        <v>0</v>
      </c>
      <c r="U100" s="37">
        <v>0</v>
      </c>
      <c r="V100" s="37">
        <v>0</v>
      </c>
      <c r="W100" s="37">
        <v>1</v>
      </c>
      <c r="X100" s="38">
        <v>0</v>
      </c>
      <c r="Y100" s="38">
        <v>0</v>
      </c>
      <c r="Z100" s="38">
        <v>0</v>
      </c>
      <c r="AA100" s="49">
        <f t="shared" si="18"/>
        <v>0</v>
      </c>
      <c r="AB100" s="49">
        <f t="shared" si="19"/>
        <v>0.5</v>
      </c>
      <c r="AC100" s="44">
        <v>1</v>
      </c>
      <c r="AD100" s="45">
        <v>0</v>
      </c>
      <c r="AE100" s="54">
        <f t="shared" si="20"/>
        <v>0.5</v>
      </c>
      <c r="AF100" s="43">
        <v>1</v>
      </c>
      <c r="AG100" s="36">
        <v>1</v>
      </c>
      <c r="AH100" s="54">
        <f t="shared" si="21"/>
        <v>1</v>
      </c>
      <c r="AI100" s="46">
        <v>2</v>
      </c>
      <c r="AJ100" s="46">
        <v>0</v>
      </c>
      <c r="AK100" s="47">
        <v>0</v>
      </c>
      <c r="AL100" s="47">
        <v>0</v>
      </c>
      <c r="AM100" s="58">
        <f t="shared" si="22"/>
        <v>1</v>
      </c>
      <c r="AN100" s="58">
        <f t="shared" si="23"/>
        <v>0</v>
      </c>
    </row>
    <row r="101" spans="1:40">
      <c r="A101" s="23">
        <v>10102</v>
      </c>
      <c r="B101" s="23" t="s">
        <v>3915</v>
      </c>
      <c r="C101" s="43">
        <v>1</v>
      </c>
      <c r="D101" s="36">
        <v>1</v>
      </c>
      <c r="E101" s="52">
        <f t="shared" si="12"/>
        <v>1</v>
      </c>
      <c r="F101" s="37">
        <v>3</v>
      </c>
      <c r="G101" s="37">
        <v>0</v>
      </c>
      <c r="H101" s="38">
        <v>1</v>
      </c>
      <c r="I101" s="38">
        <v>0</v>
      </c>
      <c r="J101" s="49">
        <f t="shared" si="13"/>
        <v>2</v>
      </c>
      <c r="K101" s="49">
        <f t="shared" si="14"/>
        <v>0</v>
      </c>
      <c r="L101" s="44">
        <v>0</v>
      </c>
      <c r="M101" s="44">
        <v>1</v>
      </c>
      <c r="N101" s="45">
        <v>0</v>
      </c>
      <c r="O101" s="45">
        <v>0</v>
      </c>
      <c r="P101" s="54">
        <f t="shared" si="15"/>
        <v>0</v>
      </c>
      <c r="Q101" s="54">
        <f t="shared" si="16"/>
        <v>0.5</v>
      </c>
      <c r="R101" s="46">
        <v>1</v>
      </c>
      <c r="S101" s="47">
        <v>0</v>
      </c>
      <c r="T101" s="57">
        <f t="shared" si="17"/>
        <v>0.5</v>
      </c>
      <c r="U101" s="37">
        <v>3</v>
      </c>
      <c r="V101" s="37">
        <v>0</v>
      </c>
      <c r="W101" s="37">
        <v>2</v>
      </c>
      <c r="X101" s="38">
        <v>3</v>
      </c>
      <c r="Y101" s="38">
        <v>0</v>
      </c>
      <c r="Z101" s="38">
        <v>2</v>
      </c>
      <c r="AA101" s="49">
        <f t="shared" si="18"/>
        <v>3</v>
      </c>
      <c r="AB101" s="49">
        <f t="shared" si="19"/>
        <v>2</v>
      </c>
      <c r="AC101" s="44">
        <v>0</v>
      </c>
      <c r="AD101" s="45">
        <v>0</v>
      </c>
      <c r="AE101" s="54">
        <f t="shared" si="20"/>
        <v>0</v>
      </c>
      <c r="AF101" s="43">
        <v>0</v>
      </c>
      <c r="AG101" s="36">
        <v>0</v>
      </c>
      <c r="AH101" s="54">
        <f t="shared" si="21"/>
        <v>0</v>
      </c>
      <c r="AI101" s="46">
        <v>0</v>
      </c>
      <c r="AJ101" s="46">
        <v>1</v>
      </c>
      <c r="AK101" s="47">
        <v>0</v>
      </c>
      <c r="AL101" s="47">
        <v>0</v>
      </c>
      <c r="AM101" s="58">
        <f t="shared" si="22"/>
        <v>0</v>
      </c>
      <c r="AN101" s="58">
        <f t="shared" si="23"/>
        <v>0.5</v>
      </c>
    </row>
    <row r="102" spans="1:40">
      <c r="A102" s="23">
        <v>10103</v>
      </c>
      <c r="B102" s="23" t="s">
        <v>3869</v>
      </c>
      <c r="C102" s="43">
        <v>1</v>
      </c>
      <c r="D102" s="36">
        <v>1</v>
      </c>
      <c r="E102" s="52">
        <f t="shared" si="12"/>
        <v>1</v>
      </c>
      <c r="F102" s="37">
        <v>3</v>
      </c>
      <c r="G102" s="37">
        <v>0</v>
      </c>
      <c r="H102" s="38">
        <v>1</v>
      </c>
      <c r="I102" s="38">
        <v>0</v>
      </c>
      <c r="J102" s="49">
        <f t="shared" si="13"/>
        <v>2</v>
      </c>
      <c r="K102" s="49">
        <f t="shared" si="14"/>
        <v>0</v>
      </c>
      <c r="L102" s="44">
        <v>2</v>
      </c>
      <c r="M102" s="44">
        <v>1</v>
      </c>
      <c r="N102" s="45">
        <v>1</v>
      </c>
      <c r="O102" s="45">
        <v>1</v>
      </c>
      <c r="P102" s="54">
        <f t="shared" si="15"/>
        <v>1.5</v>
      </c>
      <c r="Q102" s="54">
        <f t="shared" si="16"/>
        <v>1</v>
      </c>
      <c r="R102" s="46">
        <v>0</v>
      </c>
      <c r="S102" s="47">
        <v>0</v>
      </c>
      <c r="T102" s="57">
        <f t="shared" si="17"/>
        <v>0</v>
      </c>
      <c r="U102" s="37">
        <v>3</v>
      </c>
      <c r="V102" s="37">
        <v>0</v>
      </c>
      <c r="W102" s="37">
        <v>1</v>
      </c>
      <c r="X102" s="38">
        <v>2</v>
      </c>
      <c r="Y102" s="38">
        <v>1</v>
      </c>
      <c r="Z102" s="38">
        <v>0</v>
      </c>
      <c r="AA102" s="49">
        <f t="shared" si="18"/>
        <v>2.5</v>
      </c>
      <c r="AB102" s="49">
        <f t="shared" si="19"/>
        <v>0.5</v>
      </c>
      <c r="AC102" s="44">
        <v>0</v>
      </c>
      <c r="AD102" s="45">
        <v>0</v>
      </c>
      <c r="AE102" s="54">
        <f t="shared" si="20"/>
        <v>0</v>
      </c>
      <c r="AF102" s="43">
        <v>0</v>
      </c>
      <c r="AG102" s="36">
        <v>0</v>
      </c>
      <c r="AH102" s="54">
        <f t="shared" si="21"/>
        <v>0</v>
      </c>
      <c r="AI102" s="46">
        <v>0</v>
      </c>
      <c r="AJ102" s="46">
        <v>0</v>
      </c>
      <c r="AK102" s="47">
        <v>0</v>
      </c>
      <c r="AL102" s="47">
        <v>0</v>
      </c>
      <c r="AM102" s="58">
        <f t="shared" si="22"/>
        <v>0</v>
      </c>
      <c r="AN102" s="58">
        <f t="shared" si="23"/>
        <v>0</v>
      </c>
    </row>
    <row r="103" spans="1:40">
      <c r="A103" s="23">
        <v>10104</v>
      </c>
      <c r="B103" s="23" t="s">
        <v>3819</v>
      </c>
      <c r="C103" s="43">
        <v>3</v>
      </c>
      <c r="D103" s="36">
        <v>2</v>
      </c>
      <c r="E103" s="52">
        <f t="shared" si="12"/>
        <v>2.5</v>
      </c>
      <c r="F103" s="37">
        <v>3</v>
      </c>
      <c r="G103" s="37">
        <v>2</v>
      </c>
      <c r="H103" s="38">
        <v>2</v>
      </c>
      <c r="I103" s="38">
        <v>2</v>
      </c>
      <c r="J103" s="49">
        <f t="shared" si="13"/>
        <v>2.5</v>
      </c>
      <c r="K103" s="49">
        <f t="shared" si="14"/>
        <v>2</v>
      </c>
      <c r="L103" s="44">
        <v>1</v>
      </c>
      <c r="M103" s="44">
        <v>0</v>
      </c>
      <c r="N103" s="45">
        <v>1</v>
      </c>
      <c r="O103" s="45">
        <v>0</v>
      </c>
      <c r="P103" s="54">
        <f t="shared" si="15"/>
        <v>1</v>
      </c>
      <c r="Q103" s="54">
        <f t="shared" si="16"/>
        <v>0</v>
      </c>
      <c r="R103" s="46">
        <v>0</v>
      </c>
      <c r="S103" s="47">
        <v>0</v>
      </c>
      <c r="T103" s="57">
        <f t="shared" si="17"/>
        <v>0</v>
      </c>
      <c r="U103" s="37">
        <v>3</v>
      </c>
      <c r="V103" s="37">
        <v>3</v>
      </c>
      <c r="W103" s="37">
        <v>2</v>
      </c>
      <c r="X103" s="38">
        <v>2</v>
      </c>
      <c r="Y103" s="38">
        <v>3</v>
      </c>
      <c r="Z103" s="38">
        <v>2</v>
      </c>
      <c r="AA103" s="49">
        <f t="shared" si="18"/>
        <v>2.5</v>
      </c>
      <c r="AB103" s="49">
        <f t="shared" si="19"/>
        <v>2</v>
      </c>
      <c r="AC103" s="44">
        <v>0</v>
      </c>
      <c r="AD103" s="45">
        <v>0</v>
      </c>
      <c r="AE103" s="54">
        <f t="shared" si="20"/>
        <v>0</v>
      </c>
      <c r="AF103" s="43">
        <v>1</v>
      </c>
      <c r="AG103" s="36">
        <v>1</v>
      </c>
      <c r="AH103" s="54">
        <f t="shared" si="21"/>
        <v>1</v>
      </c>
      <c r="AI103" s="46">
        <v>2</v>
      </c>
      <c r="AJ103" s="46">
        <v>0</v>
      </c>
      <c r="AK103" s="47">
        <v>2</v>
      </c>
      <c r="AL103" s="47">
        <v>0</v>
      </c>
      <c r="AM103" s="58">
        <f t="shared" si="22"/>
        <v>2</v>
      </c>
      <c r="AN103" s="58">
        <f t="shared" si="23"/>
        <v>0</v>
      </c>
    </row>
    <row r="104" spans="1:40">
      <c r="A104" s="23">
        <v>10105</v>
      </c>
      <c r="B104" s="23" t="s">
        <v>3927</v>
      </c>
      <c r="C104" s="43">
        <v>1</v>
      </c>
      <c r="D104" s="36">
        <v>1</v>
      </c>
      <c r="E104" s="52">
        <f t="shared" si="12"/>
        <v>1</v>
      </c>
      <c r="F104" s="37">
        <v>3</v>
      </c>
      <c r="G104" s="37">
        <v>2</v>
      </c>
      <c r="H104" s="38">
        <v>1</v>
      </c>
      <c r="I104" s="38">
        <v>1</v>
      </c>
      <c r="J104" s="49">
        <f t="shared" si="13"/>
        <v>2</v>
      </c>
      <c r="K104" s="49">
        <f t="shared" si="14"/>
        <v>1.5</v>
      </c>
      <c r="L104" s="44">
        <v>2</v>
      </c>
      <c r="M104" s="44">
        <v>1</v>
      </c>
      <c r="N104" s="45">
        <v>0</v>
      </c>
      <c r="O104" s="45">
        <v>1</v>
      </c>
      <c r="P104" s="54">
        <f t="shared" si="15"/>
        <v>1</v>
      </c>
      <c r="Q104" s="54">
        <f t="shared" si="16"/>
        <v>1</v>
      </c>
      <c r="R104" s="46">
        <v>0</v>
      </c>
      <c r="S104" s="47">
        <v>0</v>
      </c>
      <c r="T104" s="57">
        <f t="shared" si="17"/>
        <v>0</v>
      </c>
      <c r="U104" s="37">
        <v>2</v>
      </c>
      <c r="V104" s="37">
        <v>0</v>
      </c>
      <c r="W104" s="37">
        <v>1</v>
      </c>
      <c r="X104" s="38">
        <v>1</v>
      </c>
      <c r="Y104" s="38">
        <v>0</v>
      </c>
      <c r="Z104" s="38">
        <v>0</v>
      </c>
      <c r="AA104" s="49">
        <f t="shared" si="18"/>
        <v>1.5</v>
      </c>
      <c r="AB104" s="49">
        <f t="shared" si="19"/>
        <v>0.5</v>
      </c>
      <c r="AC104" s="44">
        <v>2</v>
      </c>
      <c r="AD104" s="45">
        <v>2</v>
      </c>
      <c r="AE104" s="54">
        <f t="shared" si="20"/>
        <v>2</v>
      </c>
      <c r="AF104" s="43">
        <v>1</v>
      </c>
      <c r="AG104" s="36">
        <v>1</v>
      </c>
      <c r="AH104" s="54">
        <f t="shared" si="21"/>
        <v>1</v>
      </c>
      <c r="AI104" s="46">
        <v>0</v>
      </c>
      <c r="AJ104" s="46">
        <v>1</v>
      </c>
      <c r="AK104" s="47">
        <v>1</v>
      </c>
      <c r="AL104" s="47">
        <v>0</v>
      </c>
      <c r="AM104" s="58">
        <f t="shared" si="22"/>
        <v>0.5</v>
      </c>
      <c r="AN104" s="58">
        <f t="shared" si="23"/>
        <v>0.5</v>
      </c>
    </row>
    <row r="105" spans="1:40">
      <c r="A105" s="23">
        <v>10106</v>
      </c>
      <c r="B105" s="23" t="s">
        <v>3946</v>
      </c>
      <c r="C105" s="43">
        <v>2</v>
      </c>
      <c r="D105" s="36">
        <v>2</v>
      </c>
      <c r="E105" s="52">
        <f t="shared" si="12"/>
        <v>2</v>
      </c>
      <c r="F105" s="37">
        <v>3</v>
      </c>
      <c r="G105" s="38">
        <v>0</v>
      </c>
      <c r="H105" s="38">
        <v>1</v>
      </c>
      <c r="I105" s="38">
        <v>0</v>
      </c>
      <c r="J105" s="49">
        <f t="shared" si="13"/>
        <v>2</v>
      </c>
      <c r="K105" s="49">
        <f t="shared" si="14"/>
        <v>0</v>
      </c>
      <c r="L105" s="44">
        <v>2</v>
      </c>
      <c r="M105" s="44">
        <v>0</v>
      </c>
      <c r="N105" s="45">
        <v>0</v>
      </c>
      <c r="O105" s="45">
        <v>0</v>
      </c>
      <c r="P105" s="54">
        <f t="shared" si="15"/>
        <v>1</v>
      </c>
      <c r="Q105" s="54">
        <f t="shared" si="16"/>
        <v>0</v>
      </c>
      <c r="R105" s="46">
        <v>0</v>
      </c>
      <c r="S105" s="47">
        <v>0</v>
      </c>
      <c r="T105" s="57">
        <f t="shared" si="17"/>
        <v>0</v>
      </c>
      <c r="U105" s="37">
        <v>1</v>
      </c>
      <c r="V105" s="37">
        <v>3</v>
      </c>
      <c r="W105" s="37">
        <v>2</v>
      </c>
      <c r="X105" s="38">
        <v>0</v>
      </c>
      <c r="Y105" s="38">
        <v>1</v>
      </c>
      <c r="Z105" s="38">
        <v>2</v>
      </c>
      <c r="AA105" s="49">
        <f t="shared" si="18"/>
        <v>0.5</v>
      </c>
      <c r="AB105" s="49">
        <f t="shared" si="19"/>
        <v>2</v>
      </c>
      <c r="AC105" s="44">
        <v>2</v>
      </c>
      <c r="AD105" s="45">
        <v>0</v>
      </c>
      <c r="AE105" s="54">
        <f t="shared" si="20"/>
        <v>1</v>
      </c>
      <c r="AF105" s="36">
        <v>1</v>
      </c>
      <c r="AG105" s="36">
        <v>1</v>
      </c>
      <c r="AH105" s="54">
        <f t="shared" si="21"/>
        <v>1</v>
      </c>
      <c r="AI105" s="46">
        <v>1</v>
      </c>
      <c r="AJ105" s="46">
        <v>0</v>
      </c>
      <c r="AK105" s="47">
        <v>1</v>
      </c>
      <c r="AL105" s="47">
        <v>0</v>
      </c>
      <c r="AM105" s="58">
        <f t="shared" si="22"/>
        <v>1</v>
      </c>
      <c r="AN105" s="58">
        <f t="shared" si="23"/>
        <v>0</v>
      </c>
    </row>
    <row r="106" spans="1:40">
      <c r="A106" s="23">
        <v>10107</v>
      </c>
      <c r="B106" s="23" t="s">
        <v>3929</v>
      </c>
      <c r="C106" s="43">
        <v>3</v>
      </c>
      <c r="D106" s="36">
        <v>3</v>
      </c>
      <c r="E106" s="52">
        <f t="shared" si="12"/>
        <v>3</v>
      </c>
      <c r="F106" s="37">
        <v>0</v>
      </c>
      <c r="G106" s="37">
        <v>2</v>
      </c>
      <c r="H106" s="38">
        <v>0</v>
      </c>
      <c r="I106" s="38">
        <v>2</v>
      </c>
      <c r="J106" s="49">
        <f t="shared" si="13"/>
        <v>0</v>
      </c>
      <c r="K106" s="49">
        <f t="shared" si="14"/>
        <v>2</v>
      </c>
      <c r="L106" s="44">
        <v>2</v>
      </c>
      <c r="M106" s="44">
        <v>1</v>
      </c>
      <c r="N106" s="45">
        <v>2</v>
      </c>
      <c r="O106" s="45">
        <v>1</v>
      </c>
      <c r="P106" s="54">
        <f t="shared" si="15"/>
        <v>2</v>
      </c>
      <c r="Q106" s="54">
        <f t="shared" si="16"/>
        <v>1</v>
      </c>
      <c r="R106" s="46">
        <v>1</v>
      </c>
      <c r="S106" s="47">
        <v>0</v>
      </c>
      <c r="T106" s="57">
        <f t="shared" si="17"/>
        <v>0.5</v>
      </c>
      <c r="U106" s="37">
        <v>1</v>
      </c>
      <c r="V106" s="37">
        <v>0</v>
      </c>
      <c r="W106" s="37">
        <v>2</v>
      </c>
      <c r="X106" s="38">
        <v>0</v>
      </c>
      <c r="Y106" s="38">
        <v>0</v>
      </c>
      <c r="Z106" s="38">
        <v>2</v>
      </c>
      <c r="AA106" s="49">
        <f t="shared" si="18"/>
        <v>0.5</v>
      </c>
      <c r="AB106" s="49">
        <f t="shared" si="19"/>
        <v>2</v>
      </c>
      <c r="AC106" s="44">
        <v>0</v>
      </c>
      <c r="AD106" s="45">
        <v>0</v>
      </c>
      <c r="AE106" s="54">
        <f t="shared" si="20"/>
        <v>0</v>
      </c>
      <c r="AF106" s="43">
        <v>0</v>
      </c>
      <c r="AG106" s="36">
        <v>0</v>
      </c>
      <c r="AH106" s="54">
        <f t="shared" si="21"/>
        <v>0</v>
      </c>
      <c r="AI106" s="46">
        <v>1</v>
      </c>
      <c r="AJ106" s="46">
        <v>0</v>
      </c>
      <c r="AK106" s="47">
        <v>1</v>
      </c>
      <c r="AL106" s="47">
        <v>0</v>
      </c>
      <c r="AM106" s="58">
        <f t="shared" si="22"/>
        <v>1</v>
      </c>
      <c r="AN106" s="58">
        <f t="shared" si="23"/>
        <v>0</v>
      </c>
    </row>
    <row r="107" spans="1:40">
      <c r="A107" s="23">
        <v>10108</v>
      </c>
      <c r="B107" s="23" t="s">
        <v>3931</v>
      </c>
      <c r="C107" s="43">
        <v>3</v>
      </c>
      <c r="D107" s="36">
        <v>1</v>
      </c>
      <c r="E107" s="52">
        <f t="shared" si="12"/>
        <v>2</v>
      </c>
      <c r="F107" s="37">
        <v>0</v>
      </c>
      <c r="G107" s="37">
        <v>1</v>
      </c>
      <c r="H107" s="38">
        <v>0</v>
      </c>
      <c r="I107" s="38">
        <v>1</v>
      </c>
      <c r="J107" s="49">
        <f t="shared" si="13"/>
        <v>0</v>
      </c>
      <c r="K107" s="49">
        <f t="shared" si="14"/>
        <v>1</v>
      </c>
      <c r="L107" s="44">
        <v>3</v>
      </c>
      <c r="M107" s="44">
        <v>0</v>
      </c>
      <c r="N107" s="45">
        <v>2</v>
      </c>
      <c r="O107" s="45">
        <v>0</v>
      </c>
      <c r="P107" s="54">
        <f t="shared" si="15"/>
        <v>2.5</v>
      </c>
      <c r="Q107" s="54">
        <f t="shared" si="16"/>
        <v>0</v>
      </c>
      <c r="R107" s="46">
        <v>0</v>
      </c>
      <c r="S107" s="47">
        <v>0</v>
      </c>
      <c r="T107" s="57">
        <f t="shared" si="17"/>
        <v>0</v>
      </c>
      <c r="U107" s="37">
        <v>2</v>
      </c>
      <c r="V107" s="37">
        <v>1</v>
      </c>
      <c r="W107" s="37">
        <v>1</v>
      </c>
      <c r="X107" s="38">
        <v>1</v>
      </c>
      <c r="Y107" s="38">
        <v>0</v>
      </c>
      <c r="Z107" s="38">
        <v>0</v>
      </c>
      <c r="AA107" s="49">
        <f t="shared" si="18"/>
        <v>1.5</v>
      </c>
      <c r="AB107" s="49">
        <f t="shared" si="19"/>
        <v>0.5</v>
      </c>
      <c r="AC107" s="44">
        <v>0</v>
      </c>
      <c r="AD107" s="45">
        <v>0</v>
      </c>
      <c r="AE107" s="54">
        <f t="shared" si="20"/>
        <v>0</v>
      </c>
      <c r="AF107" s="36">
        <v>2</v>
      </c>
      <c r="AG107" s="36">
        <v>2</v>
      </c>
      <c r="AH107" s="54">
        <f t="shared" si="21"/>
        <v>2</v>
      </c>
      <c r="AI107" s="46">
        <v>0</v>
      </c>
      <c r="AJ107" s="46">
        <v>0</v>
      </c>
      <c r="AK107" s="47">
        <v>0</v>
      </c>
      <c r="AL107" s="47">
        <v>0</v>
      </c>
      <c r="AM107" s="58">
        <f t="shared" si="22"/>
        <v>0</v>
      </c>
      <c r="AN107" s="58">
        <f t="shared" si="23"/>
        <v>0</v>
      </c>
    </row>
    <row r="108" spans="1:40">
      <c r="A108" s="23">
        <v>10109</v>
      </c>
      <c r="B108" s="23" t="s">
        <v>3768</v>
      </c>
      <c r="C108" s="43">
        <v>3</v>
      </c>
      <c r="D108" s="36">
        <v>3</v>
      </c>
      <c r="E108" s="52">
        <f t="shared" si="12"/>
        <v>3</v>
      </c>
      <c r="F108" s="37">
        <v>3</v>
      </c>
      <c r="G108" s="37">
        <v>2</v>
      </c>
      <c r="H108" s="38">
        <v>2</v>
      </c>
      <c r="I108" s="38">
        <v>1</v>
      </c>
      <c r="J108" s="49">
        <f t="shared" si="13"/>
        <v>2.5</v>
      </c>
      <c r="K108" s="49">
        <f t="shared" si="14"/>
        <v>1.5</v>
      </c>
      <c r="L108" s="44">
        <v>3</v>
      </c>
      <c r="M108" s="44">
        <v>2</v>
      </c>
      <c r="N108" s="45">
        <v>2</v>
      </c>
      <c r="O108" s="45">
        <v>2</v>
      </c>
      <c r="P108" s="54">
        <f t="shared" si="15"/>
        <v>2.5</v>
      </c>
      <c r="Q108" s="54">
        <f t="shared" si="16"/>
        <v>2</v>
      </c>
      <c r="R108" s="46">
        <v>2</v>
      </c>
      <c r="S108" s="47">
        <v>2</v>
      </c>
      <c r="T108" s="57">
        <f t="shared" si="17"/>
        <v>2</v>
      </c>
      <c r="U108" s="37">
        <v>2</v>
      </c>
      <c r="V108" s="37">
        <v>3</v>
      </c>
      <c r="W108" s="37">
        <v>2</v>
      </c>
      <c r="X108" s="38">
        <v>0</v>
      </c>
      <c r="Y108" s="38">
        <v>3</v>
      </c>
      <c r="Z108" s="38">
        <v>2</v>
      </c>
      <c r="AA108" s="49">
        <f t="shared" si="18"/>
        <v>1</v>
      </c>
      <c r="AB108" s="49">
        <f t="shared" si="19"/>
        <v>2</v>
      </c>
      <c r="AC108" s="44">
        <v>2</v>
      </c>
      <c r="AD108" s="45">
        <v>2</v>
      </c>
      <c r="AE108" s="54">
        <f t="shared" si="20"/>
        <v>2</v>
      </c>
      <c r="AF108" s="43">
        <v>1</v>
      </c>
      <c r="AG108" s="36">
        <v>0</v>
      </c>
      <c r="AH108" s="54">
        <f t="shared" si="21"/>
        <v>0.5</v>
      </c>
      <c r="AI108" s="46">
        <v>1</v>
      </c>
      <c r="AJ108" s="46">
        <v>0</v>
      </c>
      <c r="AK108" s="47">
        <v>0</v>
      </c>
      <c r="AL108" s="47">
        <v>0</v>
      </c>
      <c r="AM108" s="58">
        <f t="shared" si="22"/>
        <v>0.5</v>
      </c>
      <c r="AN108" s="58">
        <f t="shared" si="23"/>
        <v>0</v>
      </c>
    </row>
    <row r="109" spans="1:40">
      <c r="A109" s="23">
        <v>10110</v>
      </c>
      <c r="B109" s="23" t="s">
        <v>3859</v>
      </c>
      <c r="C109" s="43">
        <v>3</v>
      </c>
      <c r="D109" s="36">
        <v>0</v>
      </c>
      <c r="E109" s="52">
        <f t="shared" si="12"/>
        <v>1.5</v>
      </c>
      <c r="F109" s="37">
        <v>0</v>
      </c>
      <c r="G109" s="37">
        <v>1</v>
      </c>
      <c r="H109" s="38">
        <v>0</v>
      </c>
      <c r="I109" s="38">
        <v>1</v>
      </c>
      <c r="J109" s="49">
        <f t="shared" si="13"/>
        <v>0</v>
      </c>
      <c r="K109" s="49">
        <f t="shared" si="14"/>
        <v>1</v>
      </c>
      <c r="L109" s="44">
        <v>0</v>
      </c>
      <c r="M109" s="44">
        <v>1</v>
      </c>
      <c r="N109" s="45">
        <v>0</v>
      </c>
      <c r="O109" s="45">
        <v>1</v>
      </c>
      <c r="P109" s="54">
        <f t="shared" si="15"/>
        <v>0</v>
      </c>
      <c r="Q109" s="54">
        <f t="shared" si="16"/>
        <v>1</v>
      </c>
      <c r="R109" s="46">
        <v>0</v>
      </c>
      <c r="S109" s="47">
        <v>0</v>
      </c>
      <c r="T109" s="57">
        <f t="shared" si="17"/>
        <v>0</v>
      </c>
      <c r="U109" s="37">
        <v>0</v>
      </c>
      <c r="V109" s="37">
        <v>0</v>
      </c>
      <c r="W109" s="37">
        <v>0</v>
      </c>
      <c r="X109" s="38">
        <v>0</v>
      </c>
      <c r="Y109" s="38">
        <v>0</v>
      </c>
      <c r="Z109" s="38">
        <v>0</v>
      </c>
      <c r="AA109" s="49">
        <f t="shared" si="18"/>
        <v>0</v>
      </c>
      <c r="AB109" s="49">
        <f t="shared" si="19"/>
        <v>0</v>
      </c>
      <c r="AC109" s="44">
        <v>1</v>
      </c>
      <c r="AD109" s="45">
        <v>0</v>
      </c>
      <c r="AE109" s="54">
        <f t="shared" si="20"/>
        <v>0.5</v>
      </c>
      <c r="AF109" s="43">
        <v>1</v>
      </c>
      <c r="AG109" s="36">
        <v>1</v>
      </c>
      <c r="AH109" s="54">
        <f t="shared" si="21"/>
        <v>1</v>
      </c>
      <c r="AI109" s="46">
        <v>1</v>
      </c>
      <c r="AJ109" s="46">
        <v>0</v>
      </c>
      <c r="AK109" s="47">
        <v>1</v>
      </c>
      <c r="AL109" s="47">
        <v>0</v>
      </c>
      <c r="AM109" s="58">
        <f t="shared" si="22"/>
        <v>1</v>
      </c>
      <c r="AN109" s="58">
        <f t="shared" si="23"/>
        <v>0</v>
      </c>
    </row>
    <row r="110" spans="1:40">
      <c r="A110" s="23">
        <v>10111</v>
      </c>
      <c r="B110" s="23" t="s">
        <v>4017</v>
      </c>
      <c r="C110" s="43">
        <v>3</v>
      </c>
      <c r="D110" s="36">
        <v>2</v>
      </c>
      <c r="E110" s="52">
        <f t="shared" si="12"/>
        <v>2.5</v>
      </c>
      <c r="F110" s="37">
        <v>3</v>
      </c>
      <c r="G110" s="37">
        <v>1</v>
      </c>
      <c r="H110" s="38">
        <v>1</v>
      </c>
      <c r="I110" s="38">
        <v>1</v>
      </c>
      <c r="J110" s="49">
        <f t="shared" si="13"/>
        <v>2</v>
      </c>
      <c r="K110" s="49">
        <f t="shared" si="14"/>
        <v>1</v>
      </c>
      <c r="L110" s="44">
        <v>0</v>
      </c>
      <c r="M110" s="44">
        <v>0</v>
      </c>
      <c r="N110" s="45">
        <v>0</v>
      </c>
      <c r="O110" s="45">
        <v>0</v>
      </c>
      <c r="P110" s="54">
        <f t="shared" si="15"/>
        <v>0</v>
      </c>
      <c r="Q110" s="54">
        <f t="shared" si="16"/>
        <v>0</v>
      </c>
      <c r="R110" s="46">
        <v>1</v>
      </c>
      <c r="S110" s="47">
        <v>0</v>
      </c>
      <c r="T110" s="57">
        <f t="shared" si="17"/>
        <v>0.5</v>
      </c>
      <c r="U110" s="37">
        <v>2</v>
      </c>
      <c r="V110" s="37">
        <v>0</v>
      </c>
      <c r="W110" s="37">
        <v>2</v>
      </c>
      <c r="X110" s="38">
        <v>1</v>
      </c>
      <c r="Y110" s="38">
        <v>0</v>
      </c>
      <c r="Z110" s="38">
        <v>2</v>
      </c>
      <c r="AA110" s="49">
        <f t="shared" si="18"/>
        <v>1.5</v>
      </c>
      <c r="AB110" s="49">
        <f t="shared" si="19"/>
        <v>2</v>
      </c>
      <c r="AC110" s="44">
        <v>1</v>
      </c>
      <c r="AD110" s="45">
        <v>0</v>
      </c>
      <c r="AE110" s="54">
        <f t="shared" si="20"/>
        <v>0.5</v>
      </c>
      <c r="AF110" s="36">
        <v>1</v>
      </c>
      <c r="AG110" s="36">
        <v>1</v>
      </c>
      <c r="AH110" s="54">
        <f t="shared" si="21"/>
        <v>1</v>
      </c>
      <c r="AI110" s="46">
        <v>0</v>
      </c>
      <c r="AJ110" s="46">
        <v>0</v>
      </c>
      <c r="AK110" s="47">
        <v>1</v>
      </c>
      <c r="AL110" s="47">
        <v>0</v>
      </c>
      <c r="AM110" s="58">
        <f t="shared" si="22"/>
        <v>0.5</v>
      </c>
      <c r="AN110" s="58">
        <f t="shared" si="23"/>
        <v>0</v>
      </c>
    </row>
    <row r="111" spans="1:40">
      <c r="A111" s="23">
        <v>10112</v>
      </c>
      <c r="B111" s="23" t="s">
        <v>3873</v>
      </c>
      <c r="C111" s="43">
        <v>2</v>
      </c>
      <c r="D111" s="36">
        <v>2</v>
      </c>
      <c r="E111" s="52">
        <f t="shared" si="12"/>
        <v>2</v>
      </c>
      <c r="F111" s="37">
        <v>3</v>
      </c>
      <c r="G111" s="38">
        <v>1</v>
      </c>
      <c r="H111" s="38">
        <v>1</v>
      </c>
      <c r="I111" s="38">
        <v>1</v>
      </c>
      <c r="J111" s="49">
        <f t="shared" si="13"/>
        <v>2</v>
      </c>
      <c r="K111" s="49">
        <f t="shared" si="14"/>
        <v>1</v>
      </c>
      <c r="L111" s="44">
        <v>3</v>
      </c>
      <c r="M111" s="44">
        <v>1</v>
      </c>
      <c r="N111" s="45">
        <v>2</v>
      </c>
      <c r="O111" s="45">
        <v>0</v>
      </c>
      <c r="P111" s="54">
        <f t="shared" si="15"/>
        <v>2.5</v>
      </c>
      <c r="Q111" s="54">
        <f t="shared" si="16"/>
        <v>0.5</v>
      </c>
      <c r="R111" s="46">
        <v>1</v>
      </c>
      <c r="S111" s="47">
        <v>0</v>
      </c>
      <c r="T111" s="57">
        <f t="shared" si="17"/>
        <v>0.5</v>
      </c>
      <c r="U111" s="37">
        <v>2</v>
      </c>
      <c r="V111" s="37">
        <v>1</v>
      </c>
      <c r="W111" s="37">
        <v>2</v>
      </c>
      <c r="X111" s="38">
        <v>1</v>
      </c>
      <c r="Y111" s="38">
        <v>0</v>
      </c>
      <c r="Z111" s="38">
        <v>2</v>
      </c>
      <c r="AA111" s="49">
        <f t="shared" si="18"/>
        <v>1.5</v>
      </c>
      <c r="AB111" s="49">
        <f t="shared" si="19"/>
        <v>2</v>
      </c>
      <c r="AC111" s="44">
        <v>0</v>
      </c>
      <c r="AD111" s="45">
        <v>0</v>
      </c>
      <c r="AE111" s="54">
        <f t="shared" si="20"/>
        <v>0</v>
      </c>
      <c r="AF111" s="43">
        <v>0</v>
      </c>
      <c r="AG111" s="36">
        <v>0</v>
      </c>
      <c r="AH111" s="54">
        <f t="shared" si="21"/>
        <v>0</v>
      </c>
      <c r="AI111" s="46">
        <v>0</v>
      </c>
      <c r="AJ111" s="46">
        <v>0</v>
      </c>
      <c r="AK111" s="47">
        <v>0</v>
      </c>
      <c r="AL111" s="47">
        <v>0</v>
      </c>
      <c r="AM111" s="58">
        <f t="shared" si="22"/>
        <v>0</v>
      </c>
      <c r="AN111" s="58">
        <f t="shared" si="23"/>
        <v>0</v>
      </c>
    </row>
    <row r="112" spans="1:40">
      <c r="A112" s="23">
        <v>10113</v>
      </c>
      <c r="B112" s="23" t="s">
        <v>4000</v>
      </c>
      <c r="C112" s="43">
        <v>1</v>
      </c>
      <c r="D112" s="36">
        <v>0</v>
      </c>
      <c r="E112" s="52">
        <f t="shared" si="12"/>
        <v>0.5</v>
      </c>
      <c r="F112" s="37">
        <v>0</v>
      </c>
      <c r="G112" s="37">
        <v>1</v>
      </c>
      <c r="H112" s="38">
        <v>0</v>
      </c>
      <c r="I112" s="38">
        <v>1</v>
      </c>
      <c r="J112" s="49">
        <f t="shared" si="13"/>
        <v>0</v>
      </c>
      <c r="K112" s="49">
        <f t="shared" si="14"/>
        <v>1</v>
      </c>
      <c r="L112" s="44">
        <v>0</v>
      </c>
      <c r="M112" s="44">
        <v>1</v>
      </c>
      <c r="N112" s="45">
        <v>0</v>
      </c>
      <c r="O112" s="45">
        <v>1</v>
      </c>
      <c r="P112" s="54">
        <f t="shared" si="15"/>
        <v>0</v>
      </c>
      <c r="Q112" s="54">
        <f t="shared" si="16"/>
        <v>1</v>
      </c>
      <c r="R112" s="46">
        <v>0</v>
      </c>
      <c r="S112" s="47">
        <v>0</v>
      </c>
      <c r="T112" s="57">
        <f t="shared" si="17"/>
        <v>0</v>
      </c>
      <c r="U112" s="37">
        <v>0</v>
      </c>
      <c r="V112" s="37">
        <v>0</v>
      </c>
      <c r="W112" s="37">
        <v>1</v>
      </c>
      <c r="X112" s="38">
        <v>0</v>
      </c>
      <c r="Y112" s="38">
        <v>0</v>
      </c>
      <c r="Z112" s="38">
        <v>0</v>
      </c>
      <c r="AA112" s="49">
        <f t="shared" si="18"/>
        <v>0</v>
      </c>
      <c r="AB112" s="49">
        <f t="shared" si="19"/>
        <v>0.5</v>
      </c>
      <c r="AC112" s="44">
        <v>0</v>
      </c>
      <c r="AD112" s="45">
        <v>0</v>
      </c>
      <c r="AE112" s="54">
        <f t="shared" si="20"/>
        <v>0</v>
      </c>
      <c r="AF112" s="43">
        <v>1</v>
      </c>
      <c r="AG112" s="36">
        <v>0</v>
      </c>
      <c r="AH112" s="54">
        <f t="shared" si="21"/>
        <v>0.5</v>
      </c>
      <c r="AI112" s="46">
        <v>0</v>
      </c>
      <c r="AJ112" s="46">
        <v>0</v>
      </c>
      <c r="AK112" s="47">
        <v>0</v>
      </c>
      <c r="AL112" s="47">
        <v>0</v>
      </c>
      <c r="AM112" s="58">
        <f t="shared" si="22"/>
        <v>0</v>
      </c>
      <c r="AN112" s="58">
        <f t="shared" si="23"/>
        <v>0</v>
      </c>
    </row>
    <row r="113" spans="1:40">
      <c r="A113" s="23">
        <v>10114</v>
      </c>
      <c r="B113" s="23" t="s">
        <v>3960</v>
      </c>
      <c r="C113" s="43">
        <v>0</v>
      </c>
      <c r="D113" s="36">
        <v>1</v>
      </c>
      <c r="E113" s="52">
        <f t="shared" si="12"/>
        <v>0.5</v>
      </c>
      <c r="F113" s="37">
        <v>0</v>
      </c>
      <c r="G113" s="37">
        <v>1</v>
      </c>
      <c r="H113" s="38">
        <v>1</v>
      </c>
      <c r="I113" s="38">
        <v>1</v>
      </c>
      <c r="J113" s="49">
        <f t="shared" si="13"/>
        <v>0.5</v>
      </c>
      <c r="K113" s="49">
        <f t="shared" si="14"/>
        <v>1</v>
      </c>
      <c r="L113" s="44">
        <v>3</v>
      </c>
      <c r="M113" s="44">
        <v>1</v>
      </c>
      <c r="N113" s="45">
        <v>2</v>
      </c>
      <c r="O113" s="45">
        <v>0</v>
      </c>
      <c r="P113" s="54">
        <f t="shared" si="15"/>
        <v>2.5</v>
      </c>
      <c r="Q113" s="54">
        <f t="shared" si="16"/>
        <v>0.5</v>
      </c>
      <c r="R113" s="46">
        <v>0</v>
      </c>
      <c r="S113" s="47">
        <v>0</v>
      </c>
      <c r="T113" s="57">
        <f t="shared" si="17"/>
        <v>0</v>
      </c>
      <c r="U113" s="37">
        <v>3</v>
      </c>
      <c r="V113" s="37">
        <v>0</v>
      </c>
      <c r="W113" s="37">
        <v>1</v>
      </c>
      <c r="X113" s="38">
        <v>2</v>
      </c>
      <c r="Y113" s="38">
        <v>0</v>
      </c>
      <c r="Z113" s="38">
        <v>2</v>
      </c>
      <c r="AA113" s="49">
        <f t="shared" si="18"/>
        <v>2.5</v>
      </c>
      <c r="AB113" s="49">
        <f t="shared" si="19"/>
        <v>1.5</v>
      </c>
      <c r="AC113" s="44">
        <v>0</v>
      </c>
      <c r="AD113" s="45">
        <v>0</v>
      </c>
      <c r="AE113" s="54">
        <f t="shared" si="20"/>
        <v>0</v>
      </c>
      <c r="AF113" s="43">
        <v>1</v>
      </c>
      <c r="AG113" s="36">
        <v>0</v>
      </c>
      <c r="AH113" s="54">
        <f t="shared" si="21"/>
        <v>0.5</v>
      </c>
      <c r="AI113" s="46">
        <v>0</v>
      </c>
      <c r="AJ113" s="46">
        <v>0</v>
      </c>
      <c r="AK113" s="47">
        <v>0</v>
      </c>
      <c r="AL113" s="47">
        <v>0</v>
      </c>
      <c r="AM113" s="58">
        <f t="shared" si="22"/>
        <v>0</v>
      </c>
      <c r="AN113" s="58">
        <f t="shared" si="23"/>
        <v>0</v>
      </c>
    </row>
    <row r="114" spans="1:40">
      <c r="A114" s="23">
        <v>10115</v>
      </c>
      <c r="B114" s="23" t="s">
        <v>3984</v>
      </c>
      <c r="C114" s="43">
        <v>2</v>
      </c>
      <c r="D114" s="36">
        <v>0</v>
      </c>
      <c r="E114" s="52">
        <f t="shared" si="12"/>
        <v>1</v>
      </c>
      <c r="F114" s="37">
        <v>0</v>
      </c>
      <c r="G114" s="37">
        <v>1</v>
      </c>
      <c r="H114" s="38">
        <v>0</v>
      </c>
      <c r="I114" s="38">
        <v>1</v>
      </c>
      <c r="J114" s="49">
        <f t="shared" si="13"/>
        <v>0</v>
      </c>
      <c r="K114" s="49">
        <f t="shared" si="14"/>
        <v>1</v>
      </c>
      <c r="L114" s="44">
        <v>3</v>
      </c>
      <c r="M114" s="44">
        <v>1</v>
      </c>
      <c r="N114" s="45">
        <v>2</v>
      </c>
      <c r="O114" s="45">
        <v>1</v>
      </c>
      <c r="P114" s="54">
        <f t="shared" si="15"/>
        <v>2.5</v>
      </c>
      <c r="Q114" s="54">
        <f t="shared" si="16"/>
        <v>1</v>
      </c>
      <c r="R114" s="46">
        <v>0</v>
      </c>
      <c r="S114" s="47">
        <v>0</v>
      </c>
      <c r="T114" s="57">
        <f t="shared" si="17"/>
        <v>0</v>
      </c>
      <c r="U114" s="37">
        <v>3</v>
      </c>
      <c r="V114" s="37">
        <v>0</v>
      </c>
      <c r="W114" s="37">
        <v>1</v>
      </c>
      <c r="X114" s="38">
        <v>1</v>
      </c>
      <c r="Y114" s="38">
        <v>0</v>
      </c>
      <c r="Z114" s="38">
        <v>0</v>
      </c>
      <c r="AA114" s="49">
        <f t="shared" si="18"/>
        <v>2</v>
      </c>
      <c r="AB114" s="49">
        <f t="shared" si="19"/>
        <v>0.5</v>
      </c>
      <c r="AC114" s="44">
        <v>0</v>
      </c>
      <c r="AD114" s="45">
        <v>0</v>
      </c>
      <c r="AE114" s="54">
        <f t="shared" si="20"/>
        <v>0</v>
      </c>
      <c r="AF114" s="43">
        <v>1</v>
      </c>
      <c r="AG114" s="36">
        <v>0</v>
      </c>
      <c r="AH114" s="54">
        <f t="shared" si="21"/>
        <v>0.5</v>
      </c>
      <c r="AI114" s="46">
        <v>2</v>
      </c>
      <c r="AJ114" s="46">
        <v>0</v>
      </c>
      <c r="AK114" s="47">
        <v>2</v>
      </c>
      <c r="AL114" s="47">
        <v>0</v>
      </c>
      <c r="AM114" s="58">
        <f t="shared" si="22"/>
        <v>2</v>
      </c>
      <c r="AN114" s="58">
        <f t="shared" si="23"/>
        <v>0</v>
      </c>
    </row>
    <row r="115" spans="1:40">
      <c r="A115" s="23">
        <v>10116</v>
      </c>
      <c r="B115" s="23" t="s">
        <v>3896</v>
      </c>
      <c r="C115" s="43">
        <v>0</v>
      </c>
      <c r="D115" s="36">
        <v>0</v>
      </c>
      <c r="E115" s="52">
        <f t="shared" si="12"/>
        <v>0</v>
      </c>
      <c r="F115" s="37">
        <v>3</v>
      </c>
      <c r="G115" s="37">
        <v>1</v>
      </c>
      <c r="H115" s="38">
        <v>2</v>
      </c>
      <c r="I115" s="38">
        <v>1</v>
      </c>
      <c r="J115" s="49">
        <f t="shared" si="13"/>
        <v>2.5</v>
      </c>
      <c r="K115" s="49">
        <f t="shared" si="14"/>
        <v>1</v>
      </c>
      <c r="L115" s="44">
        <v>0</v>
      </c>
      <c r="M115" s="44">
        <v>0</v>
      </c>
      <c r="N115" s="45">
        <v>0</v>
      </c>
      <c r="O115" s="45">
        <v>0</v>
      </c>
      <c r="P115" s="54">
        <f t="shared" si="15"/>
        <v>0</v>
      </c>
      <c r="Q115" s="54">
        <f t="shared" si="16"/>
        <v>0</v>
      </c>
      <c r="R115" s="46">
        <v>0</v>
      </c>
      <c r="S115" s="47">
        <v>0</v>
      </c>
      <c r="T115" s="57">
        <f t="shared" si="17"/>
        <v>0</v>
      </c>
      <c r="U115" s="37">
        <v>2</v>
      </c>
      <c r="V115" s="37">
        <v>0</v>
      </c>
      <c r="W115" s="37">
        <v>2</v>
      </c>
      <c r="X115" s="38">
        <v>1</v>
      </c>
      <c r="Y115" s="38">
        <v>0</v>
      </c>
      <c r="Z115" s="38">
        <v>2</v>
      </c>
      <c r="AA115" s="49">
        <f t="shared" si="18"/>
        <v>1.5</v>
      </c>
      <c r="AB115" s="49">
        <f t="shared" si="19"/>
        <v>2</v>
      </c>
      <c r="AC115" s="44">
        <v>0</v>
      </c>
      <c r="AD115" s="45">
        <v>0</v>
      </c>
      <c r="AE115" s="54">
        <f t="shared" si="20"/>
        <v>0</v>
      </c>
      <c r="AF115" s="36">
        <v>1</v>
      </c>
      <c r="AG115" s="36">
        <v>1</v>
      </c>
      <c r="AH115" s="54">
        <f t="shared" si="21"/>
        <v>1</v>
      </c>
      <c r="AI115" s="46">
        <v>0</v>
      </c>
      <c r="AJ115" s="46">
        <v>0</v>
      </c>
      <c r="AK115" s="47">
        <v>0</v>
      </c>
      <c r="AL115" s="47">
        <v>0</v>
      </c>
      <c r="AM115" s="58">
        <f t="shared" si="22"/>
        <v>0</v>
      </c>
      <c r="AN115" s="58">
        <f t="shared" si="23"/>
        <v>0</v>
      </c>
    </row>
    <row r="116" spans="1:40">
      <c r="A116" s="23">
        <v>10117</v>
      </c>
      <c r="B116" s="23" t="s">
        <v>3841</v>
      </c>
      <c r="C116" s="43">
        <v>3</v>
      </c>
      <c r="D116" s="36">
        <v>3</v>
      </c>
      <c r="E116" s="52">
        <f t="shared" si="12"/>
        <v>3</v>
      </c>
      <c r="F116" s="37">
        <v>0</v>
      </c>
      <c r="G116" s="37">
        <v>2</v>
      </c>
      <c r="H116" s="38">
        <v>0</v>
      </c>
      <c r="I116" s="38">
        <v>1</v>
      </c>
      <c r="J116" s="49">
        <f t="shared" si="13"/>
        <v>0</v>
      </c>
      <c r="K116" s="49">
        <f t="shared" si="14"/>
        <v>1.5</v>
      </c>
      <c r="L116" s="44">
        <v>0</v>
      </c>
      <c r="M116" s="44">
        <v>1</v>
      </c>
      <c r="N116" s="45">
        <v>0</v>
      </c>
      <c r="O116" s="45">
        <v>1</v>
      </c>
      <c r="P116" s="54">
        <f t="shared" si="15"/>
        <v>0</v>
      </c>
      <c r="Q116" s="54">
        <f t="shared" si="16"/>
        <v>1</v>
      </c>
      <c r="R116" s="46">
        <v>0</v>
      </c>
      <c r="S116" s="47">
        <v>0</v>
      </c>
      <c r="T116" s="57">
        <f t="shared" si="17"/>
        <v>0</v>
      </c>
      <c r="U116" s="37">
        <v>3</v>
      </c>
      <c r="V116" s="37">
        <v>0</v>
      </c>
      <c r="W116" s="37">
        <v>2</v>
      </c>
      <c r="X116" s="38">
        <v>3</v>
      </c>
      <c r="Y116" s="38">
        <v>0</v>
      </c>
      <c r="Z116" s="38">
        <v>2</v>
      </c>
      <c r="AA116" s="49">
        <f t="shared" si="18"/>
        <v>3</v>
      </c>
      <c r="AB116" s="49">
        <f t="shared" si="19"/>
        <v>2</v>
      </c>
      <c r="AC116" s="44">
        <v>0</v>
      </c>
      <c r="AD116" s="45">
        <v>0</v>
      </c>
      <c r="AE116" s="54">
        <f t="shared" si="20"/>
        <v>0</v>
      </c>
      <c r="AF116" s="43">
        <v>1</v>
      </c>
      <c r="AG116" s="36">
        <v>1</v>
      </c>
      <c r="AH116" s="54">
        <f t="shared" si="21"/>
        <v>1</v>
      </c>
      <c r="AI116" s="46">
        <v>0</v>
      </c>
      <c r="AJ116" s="46">
        <v>0</v>
      </c>
      <c r="AK116" s="47">
        <v>0</v>
      </c>
      <c r="AL116" s="47">
        <v>0</v>
      </c>
      <c r="AM116" s="58">
        <f t="shared" si="22"/>
        <v>0</v>
      </c>
      <c r="AN116" s="58">
        <f t="shared" si="23"/>
        <v>0</v>
      </c>
    </row>
    <row r="117" spans="1:40">
      <c r="A117" s="23">
        <v>10118</v>
      </c>
      <c r="B117" s="23" t="s">
        <v>3940</v>
      </c>
      <c r="C117" s="43">
        <v>2</v>
      </c>
      <c r="D117" s="36">
        <v>2</v>
      </c>
      <c r="E117" s="52">
        <f t="shared" si="12"/>
        <v>2</v>
      </c>
      <c r="F117" s="37">
        <v>0</v>
      </c>
      <c r="G117" s="38">
        <v>1</v>
      </c>
      <c r="H117" s="38">
        <v>0</v>
      </c>
      <c r="I117" s="38">
        <v>1</v>
      </c>
      <c r="J117" s="49">
        <f t="shared" si="13"/>
        <v>0</v>
      </c>
      <c r="K117" s="49">
        <f t="shared" si="14"/>
        <v>1</v>
      </c>
      <c r="L117" s="44">
        <v>3</v>
      </c>
      <c r="M117" s="44">
        <v>1</v>
      </c>
      <c r="N117" s="45">
        <v>2</v>
      </c>
      <c r="O117" s="45">
        <v>1</v>
      </c>
      <c r="P117" s="54">
        <f t="shared" si="15"/>
        <v>2.5</v>
      </c>
      <c r="Q117" s="54">
        <f t="shared" si="16"/>
        <v>1</v>
      </c>
      <c r="R117" s="46">
        <v>0</v>
      </c>
      <c r="S117" s="47">
        <v>0</v>
      </c>
      <c r="T117" s="57">
        <f t="shared" si="17"/>
        <v>0</v>
      </c>
      <c r="U117" s="37">
        <v>3</v>
      </c>
      <c r="V117" s="37">
        <v>0</v>
      </c>
      <c r="W117" s="37">
        <v>2</v>
      </c>
      <c r="X117" s="38">
        <v>1</v>
      </c>
      <c r="Y117" s="38">
        <v>0</v>
      </c>
      <c r="Z117" s="38">
        <v>2</v>
      </c>
      <c r="AA117" s="49">
        <f t="shared" si="18"/>
        <v>2</v>
      </c>
      <c r="AB117" s="49">
        <f t="shared" si="19"/>
        <v>2</v>
      </c>
      <c r="AC117" s="44">
        <v>2</v>
      </c>
      <c r="AD117" s="45">
        <v>2</v>
      </c>
      <c r="AE117" s="54">
        <f t="shared" si="20"/>
        <v>2</v>
      </c>
      <c r="AF117" s="43">
        <v>1</v>
      </c>
      <c r="AG117" s="36">
        <v>1</v>
      </c>
      <c r="AH117" s="54">
        <f t="shared" si="21"/>
        <v>1</v>
      </c>
      <c r="AI117" s="46">
        <v>0</v>
      </c>
      <c r="AJ117" s="46">
        <v>0</v>
      </c>
      <c r="AK117" s="47">
        <v>0</v>
      </c>
      <c r="AL117" s="47">
        <v>0</v>
      </c>
      <c r="AM117" s="58">
        <f t="shared" si="22"/>
        <v>0</v>
      </c>
      <c r="AN117" s="58">
        <f t="shared" si="23"/>
        <v>0</v>
      </c>
    </row>
    <row r="118" spans="1:40">
      <c r="A118" s="23">
        <v>10119</v>
      </c>
      <c r="B118" s="23" t="s">
        <v>3968</v>
      </c>
      <c r="C118" s="43">
        <v>1</v>
      </c>
      <c r="D118" s="36">
        <v>0</v>
      </c>
      <c r="E118" s="52">
        <f t="shared" si="12"/>
        <v>0.5</v>
      </c>
      <c r="F118" s="37">
        <v>0</v>
      </c>
      <c r="G118" s="37">
        <v>1</v>
      </c>
      <c r="H118" s="38">
        <v>0</v>
      </c>
      <c r="I118" s="38">
        <v>1</v>
      </c>
      <c r="J118" s="49">
        <f t="shared" si="13"/>
        <v>0</v>
      </c>
      <c r="K118" s="49">
        <f t="shared" si="14"/>
        <v>1</v>
      </c>
      <c r="L118" s="44">
        <v>0</v>
      </c>
      <c r="M118" s="44">
        <v>2</v>
      </c>
      <c r="N118" s="45">
        <v>0</v>
      </c>
      <c r="O118" s="45">
        <v>1</v>
      </c>
      <c r="P118" s="54">
        <f t="shared" si="15"/>
        <v>0</v>
      </c>
      <c r="Q118" s="54">
        <f t="shared" si="16"/>
        <v>1.5</v>
      </c>
      <c r="R118" s="46">
        <v>1</v>
      </c>
      <c r="S118" s="47">
        <v>0</v>
      </c>
      <c r="T118" s="57">
        <f t="shared" si="17"/>
        <v>0.5</v>
      </c>
      <c r="U118" s="37">
        <v>3</v>
      </c>
      <c r="V118" s="37">
        <v>0</v>
      </c>
      <c r="W118" s="37">
        <v>1</v>
      </c>
      <c r="X118" s="38">
        <v>1</v>
      </c>
      <c r="Y118" s="38">
        <v>0</v>
      </c>
      <c r="Z118" s="38">
        <v>0</v>
      </c>
      <c r="AA118" s="49">
        <f t="shared" si="18"/>
        <v>2</v>
      </c>
      <c r="AB118" s="49">
        <f t="shared" si="19"/>
        <v>0.5</v>
      </c>
      <c r="AC118" s="44">
        <v>0</v>
      </c>
      <c r="AD118" s="45">
        <v>0</v>
      </c>
      <c r="AE118" s="54">
        <f t="shared" si="20"/>
        <v>0</v>
      </c>
      <c r="AF118" s="36">
        <v>1</v>
      </c>
      <c r="AG118" s="36">
        <v>1</v>
      </c>
      <c r="AH118" s="54">
        <f t="shared" si="21"/>
        <v>1</v>
      </c>
      <c r="AI118" s="46">
        <v>2</v>
      </c>
      <c r="AJ118" s="46">
        <v>0</v>
      </c>
      <c r="AK118" s="47">
        <v>2</v>
      </c>
      <c r="AL118" s="47">
        <v>0</v>
      </c>
      <c r="AM118" s="58">
        <f t="shared" si="22"/>
        <v>2</v>
      </c>
      <c r="AN118" s="58">
        <f t="shared" si="23"/>
        <v>0</v>
      </c>
    </row>
    <row r="119" spans="1:40">
      <c r="A119" s="23">
        <v>10120</v>
      </c>
      <c r="B119" s="23" t="s">
        <v>3986</v>
      </c>
      <c r="C119" s="43">
        <v>0</v>
      </c>
      <c r="D119" s="36">
        <v>0</v>
      </c>
      <c r="E119" s="52">
        <f t="shared" si="12"/>
        <v>0</v>
      </c>
      <c r="F119" s="37">
        <v>3</v>
      </c>
      <c r="G119" s="37">
        <v>0</v>
      </c>
      <c r="H119" s="38">
        <v>1</v>
      </c>
      <c r="I119" s="38">
        <v>0</v>
      </c>
      <c r="J119" s="49">
        <f t="shared" si="13"/>
        <v>2</v>
      </c>
      <c r="K119" s="49">
        <f t="shared" si="14"/>
        <v>0</v>
      </c>
      <c r="L119" s="44">
        <v>3</v>
      </c>
      <c r="M119" s="44">
        <v>1</v>
      </c>
      <c r="N119" s="45">
        <v>1</v>
      </c>
      <c r="O119" s="45">
        <v>1</v>
      </c>
      <c r="P119" s="54">
        <f t="shared" si="15"/>
        <v>2</v>
      </c>
      <c r="Q119" s="54">
        <f t="shared" si="16"/>
        <v>1</v>
      </c>
      <c r="R119" s="46">
        <v>0</v>
      </c>
      <c r="S119" s="47">
        <v>0</v>
      </c>
      <c r="T119" s="57">
        <f t="shared" si="17"/>
        <v>0</v>
      </c>
      <c r="U119" s="37">
        <v>0</v>
      </c>
      <c r="V119" s="37">
        <v>0</v>
      </c>
      <c r="W119" s="37">
        <v>1</v>
      </c>
      <c r="X119" s="38">
        <v>0</v>
      </c>
      <c r="Y119" s="38">
        <v>0</v>
      </c>
      <c r="Z119" s="38">
        <v>2</v>
      </c>
      <c r="AA119" s="49">
        <f t="shared" si="18"/>
        <v>0</v>
      </c>
      <c r="AB119" s="49">
        <f t="shared" si="19"/>
        <v>1.5</v>
      </c>
      <c r="AC119" s="44">
        <v>0</v>
      </c>
      <c r="AD119" s="45">
        <v>0</v>
      </c>
      <c r="AE119" s="54">
        <f t="shared" si="20"/>
        <v>0</v>
      </c>
      <c r="AF119" s="43">
        <v>0</v>
      </c>
      <c r="AG119" s="36">
        <v>0</v>
      </c>
      <c r="AH119" s="54">
        <f t="shared" si="21"/>
        <v>0</v>
      </c>
      <c r="AI119" s="46">
        <v>0</v>
      </c>
      <c r="AJ119" s="46">
        <v>0</v>
      </c>
      <c r="AK119" s="47">
        <v>0</v>
      </c>
      <c r="AL119" s="47">
        <v>0</v>
      </c>
      <c r="AM119" s="58">
        <f t="shared" si="22"/>
        <v>0</v>
      </c>
      <c r="AN119" s="58">
        <f t="shared" si="23"/>
        <v>0</v>
      </c>
    </row>
    <row r="120" spans="1:40">
      <c r="A120" s="23">
        <v>10121</v>
      </c>
      <c r="B120" s="23" t="s">
        <v>3956</v>
      </c>
      <c r="C120" s="43">
        <v>0</v>
      </c>
      <c r="D120" s="36">
        <v>0</v>
      </c>
      <c r="E120" s="52">
        <f t="shared" si="12"/>
        <v>0</v>
      </c>
      <c r="F120" s="37">
        <v>0</v>
      </c>
      <c r="G120" s="37">
        <v>2</v>
      </c>
      <c r="H120" s="38">
        <v>0</v>
      </c>
      <c r="I120" s="38">
        <v>2</v>
      </c>
      <c r="J120" s="49">
        <f t="shared" si="13"/>
        <v>0</v>
      </c>
      <c r="K120" s="49">
        <f t="shared" si="14"/>
        <v>2</v>
      </c>
      <c r="L120" s="44">
        <v>0</v>
      </c>
      <c r="M120" s="44">
        <v>1</v>
      </c>
      <c r="N120" s="45">
        <v>0</v>
      </c>
      <c r="O120" s="45">
        <v>1</v>
      </c>
      <c r="P120" s="54">
        <f t="shared" si="15"/>
        <v>0</v>
      </c>
      <c r="Q120" s="54">
        <f t="shared" si="16"/>
        <v>1</v>
      </c>
      <c r="R120" s="46">
        <v>2</v>
      </c>
      <c r="S120" s="47">
        <v>2</v>
      </c>
      <c r="T120" s="57">
        <f t="shared" si="17"/>
        <v>2</v>
      </c>
      <c r="U120" s="37">
        <v>2</v>
      </c>
      <c r="V120" s="37">
        <v>0</v>
      </c>
      <c r="W120" s="37">
        <v>2</v>
      </c>
      <c r="X120" s="38">
        <v>1</v>
      </c>
      <c r="Y120" s="38">
        <v>0</v>
      </c>
      <c r="Z120" s="38">
        <v>2</v>
      </c>
      <c r="AA120" s="49">
        <f t="shared" si="18"/>
        <v>1.5</v>
      </c>
      <c r="AB120" s="49">
        <f t="shared" si="19"/>
        <v>2</v>
      </c>
      <c r="AC120" s="44">
        <v>2</v>
      </c>
      <c r="AD120" s="45">
        <v>2</v>
      </c>
      <c r="AE120" s="54">
        <f t="shared" si="20"/>
        <v>2</v>
      </c>
      <c r="AF120" s="43">
        <v>1</v>
      </c>
      <c r="AG120" s="36">
        <v>1</v>
      </c>
      <c r="AH120" s="54">
        <f t="shared" si="21"/>
        <v>1</v>
      </c>
      <c r="AI120" s="46">
        <v>1</v>
      </c>
      <c r="AJ120" s="46">
        <v>0</v>
      </c>
      <c r="AK120" s="47">
        <v>1</v>
      </c>
      <c r="AL120" s="47">
        <v>0</v>
      </c>
      <c r="AM120" s="58">
        <f t="shared" si="22"/>
        <v>1</v>
      </c>
      <c r="AN120" s="58">
        <f t="shared" si="23"/>
        <v>0</v>
      </c>
    </row>
    <row r="121" spans="1:40">
      <c r="A121" s="23">
        <v>10122</v>
      </c>
      <c r="B121" s="23" t="s">
        <v>3780</v>
      </c>
      <c r="C121" s="43">
        <v>3</v>
      </c>
      <c r="D121" s="36">
        <v>3</v>
      </c>
      <c r="E121" s="52">
        <f t="shared" si="12"/>
        <v>3</v>
      </c>
      <c r="F121" s="37">
        <v>3</v>
      </c>
      <c r="G121" s="37">
        <v>1</v>
      </c>
      <c r="H121" s="38">
        <v>2</v>
      </c>
      <c r="I121" s="38">
        <v>1</v>
      </c>
      <c r="J121" s="49">
        <f t="shared" si="13"/>
        <v>2.5</v>
      </c>
      <c r="K121" s="49">
        <f t="shared" si="14"/>
        <v>1</v>
      </c>
      <c r="L121" s="44">
        <v>3</v>
      </c>
      <c r="M121" s="44">
        <v>1</v>
      </c>
      <c r="N121" s="45">
        <v>2</v>
      </c>
      <c r="O121" s="45">
        <v>1</v>
      </c>
      <c r="P121" s="54">
        <f t="shared" si="15"/>
        <v>2.5</v>
      </c>
      <c r="Q121" s="54">
        <f t="shared" si="16"/>
        <v>1</v>
      </c>
      <c r="R121" s="46">
        <v>0</v>
      </c>
      <c r="S121" s="47">
        <v>0</v>
      </c>
      <c r="T121" s="57">
        <f t="shared" si="17"/>
        <v>0</v>
      </c>
      <c r="U121" s="37">
        <v>3</v>
      </c>
      <c r="V121" s="37">
        <v>0</v>
      </c>
      <c r="W121" s="37">
        <v>1</v>
      </c>
      <c r="X121" s="38">
        <v>3</v>
      </c>
      <c r="Y121" s="38">
        <v>0</v>
      </c>
      <c r="Z121" s="38">
        <v>0</v>
      </c>
      <c r="AA121" s="49">
        <f t="shared" si="18"/>
        <v>3</v>
      </c>
      <c r="AB121" s="49">
        <f t="shared" si="19"/>
        <v>0.5</v>
      </c>
      <c r="AC121" s="44">
        <v>0</v>
      </c>
      <c r="AD121" s="45">
        <v>0</v>
      </c>
      <c r="AE121" s="54">
        <f t="shared" si="20"/>
        <v>0</v>
      </c>
      <c r="AF121" s="36">
        <v>1</v>
      </c>
      <c r="AG121" s="36">
        <v>1</v>
      </c>
      <c r="AH121" s="54">
        <f t="shared" si="21"/>
        <v>1</v>
      </c>
      <c r="AI121" s="46">
        <v>1</v>
      </c>
      <c r="AJ121" s="46">
        <v>0</v>
      </c>
      <c r="AK121" s="47">
        <v>0</v>
      </c>
      <c r="AL121" s="47">
        <v>0</v>
      </c>
      <c r="AM121" s="58">
        <f t="shared" si="22"/>
        <v>0.5</v>
      </c>
      <c r="AN121" s="58">
        <f t="shared" si="23"/>
        <v>0</v>
      </c>
    </row>
    <row r="122" spans="1:40">
      <c r="A122" s="23">
        <v>10123</v>
      </c>
      <c r="B122" s="23" t="s">
        <v>3987</v>
      </c>
      <c r="C122" s="43">
        <v>2</v>
      </c>
      <c r="D122" s="36">
        <v>1</v>
      </c>
      <c r="E122" s="52">
        <f t="shared" si="12"/>
        <v>1.5</v>
      </c>
      <c r="F122" s="37">
        <v>0</v>
      </c>
      <c r="G122" s="37">
        <v>1</v>
      </c>
      <c r="H122" s="38">
        <v>0</v>
      </c>
      <c r="I122" s="38">
        <v>1</v>
      </c>
      <c r="J122" s="49">
        <f t="shared" si="13"/>
        <v>0</v>
      </c>
      <c r="K122" s="49">
        <f t="shared" si="14"/>
        <v>1</v>
      </c>
      <c r="L122" s="44">
        <v>3</v>
      </c>
      <c r="M122" s="44">
        <v>1</v>
      </c>
      <c r="N122" s="45">
        <v>1</v>
      </c>
      <c r="O122" s="45">
        <v>1</v>
      </c>
      <c r="P122" s="54">
        <f t="shared" si="15"/>
        <v>2</v>
      </c>
      <c r="Q122" s="54">
        <f t="shared" si="16"/>
        <v>1</v>
      </c>
      <c r="R122" s="46">
        <v>0</v>
      </c>
      <c r="S122" s="47">
        <v>0</v>
      </c>
      <c r="T122" s="57">
        <f t="shared" si="17"/>
        <v>0</v>
      </c>
      <c r="U122" s="37">
        <v>3</v>
      </c>
      <c r="V122" s="37">
        <v>0</v>
      </c>
      <c r="W122" s="37">
        <v>2</v>
      </c>
      <c r="X122" s="38">
        <v>2</v>
      </c>
      <c r="Y122" s="38">
        <v>0</v>
      </c>
      <c r="Z122" s="38">
        <v>2</v>
      </c>
      <c r="AA122" s="49">
        <f t="shared" si="18"/>
        <v>2.5</v>
      </c>
      <c r="AB122" s="49">
        <f t="shared" si="19"/>
        <v>2</v>
      </c>
      <c r="AC122" s="44">
        <v>0</v>
      </c>
      <c r="AD122" s="45">
        <v>0</v>
      </c>
      <c r="AE122" s="54">
        <f t="shared" si="20"/>
        <v>0</v>
      </c>
      <c r="AF122" s="36">
        <v>1</v>
      </c>
      <c r="AG122" s="36">
        <v>1</v>
      </c>
      <c r="AH122" s="54">
        <f t="shared" si="21"/>
        <v>1</v>
      </c>
      <c r="AI122" s="46">
        <v>0</v>
      </c>
      <c r="AJ122" s="46">
        <v>0</v>
      </c>
      <c r="AK122" s="47">
        <v>1</v>
      </c>
      <c r="AL122" s="47">
        <v>0</v>
      </c>
      <c r="AM122" s="58">
        <f t="shared" si="22"/>
        <v>0.5</v>
      </c>
      <c r="AN122" s="58">
        <f t="shared" si="23"/>
        <v>0</v>
      </c>
    </row>
    <row r="123" spans="1:40">
      <c r="A123" s="23">
        <v>10124</v>
      </c>
      <c r="B123" s="23" t="s">
        <v>4018</v>
      </c>
      <c r="C123" s="43">
        <v>1</v>
      </c>
      <c r="D123" s="36">
        <v>1</v>
      </c>
      <c r="E123" s="52">
        <f t="shared" si="12"/>
        <v>1</v>
      </c>
      <c r="F123" s="37">
        <v>3</v>
      </c>
      <c r="G123" s="37">
        <v>1</v>
      </c>
      <c r="H123" s="38">
        <v>1</v>
      </c>
      <c r="I123" s="38">
        <v>1</v>
      </c>
      <c r="J123" s="49">
        <f t="shared" si="13"/>
        <v>2</v>
      </c>
      <c r="K123" s="49">
        <f t="shared" si="14"/>
        <v>1</v>
      </c>
      <c r="L123" s="44">
        <v>0</v>
      </c>
      <c r="M123" s="44">
        <v>1</v>
      </c>
      <c r="N123" s="45">
        <v>0</v>
      </c>
      <c r="O123" s="45">
        <v>1</v>
      </c>
      <c r="P123" s="54">
        <f t="shared" si="15"/>
        <v>0</v>
      </c>
      <c r="Q123" s="54">
        <f t="shared" si="16"/>
        <v>1</v>
      </c>
      <c r="R123" s="46">
        <v>0</v>
      </c>
      <c r="S123" s="47">
        <v>0</v>
      </c>
      <c r="T123" s="57">
        <f t="shared" si="17"/>
        <v>0</v>
      </c>
      <c r="U123" s="37">
        <v>0</v>
      </c>
      <c r="V123" s="37">
        <v>0</v>
      </c>
      <c r="W123" s="37">
        <v>2</v>
      </c>
      <c r="X123" s="38">
        <v>0</v>
      </c>
      <c r="Y123" s="38">
        <v>0</v>
      </c>
      <c r="Z123" s="38">
        <v>2</v>
      </c>
      <c r="AA123" s="49">
        <f t="shared" si="18"/>
        <v>0</v>
      </c>
      <c r="AB123" s="49">
        <f t="shared" si="19"/>
        <v>2</v>
      </c>
      <c r="AC123" s="44">
        <v>0</v>
      </c>
      <c r="AD123" s="45">
        <v>0</v>
      </c>
      <c r="AE123" s="54">
        <f t="shared" si="20"/>
        <v>0</v>
      </c>
      <c r="AF123" s="36">
        <v>1</v>
      </c>
      <c r="AG123" s="36">
        <v>1</v>
      </c>
      <c r="AH123" s="54">
        <f t="shared" si="21"/>
        <v>1</v>
      </c>
      <c r="AI123" s="46">
        <v>2</v>
      </c>
      <c r="AJ123" s="46">
        <v>0</v>
      </c>
      <c r="AK123" s="47">
        <v>2</v>
      </c>
      <c r="AL123" s="47">
        <v>0</v>
      </c>
      <c r="AM123" s="58">
        <f t="shared" si="22"/>
        <v>2</v>
      </c>
      <c r="AN123" s="58">
        <f t="shared" si="23"/>
        <v>0</v>
      </c>
    </row>
    <row r="124" spans="1:40">
      <c r="A124" s="23">
        <v>10125</v>
      </c>
      <c r="B124" s="23" t="s">
        <v>3863</v>
      </c>
      <c r="C124" s="43">
        <v>0</v>
      </c>
      <c r="D124" s="36">
        <v>0</v>
      </c>
      <c r="E124" s="52">
        <f t="shared" si="12"/>
        <v>0</v>
      </c>
      <c r="F124" s="37">
        <v>0</v>
      </c>
      <c r="G124" s="37">
        <v>1</v>
      </c>
      <c r="H124" s="38">
        <v>0</v>
      </c>
      <c r="I124" s="38">
        <v>1</v>
      </c>
      <c r="J124" s="49">
        <f t="shared" si="13"/>
        <v>0</v>
      </c>
      <c r="K124" s="49">
        <f t="shared" si="14"/>
        <v>1</v>
      </c>
      <c r="L124" s="44">
        <v>3</v>
      </c>
      <c r="M124" s="44">
        <v>1</v>
      </c>
      <c r="N124" s="45">
        <v>2</v>
      </c>
      <c r="O124" s="45">
        <v>1</v>
      </c>
      <c r="P124" s="54">
        <f t="shared" si="15"/>
        <v>2.5</v>
      </c>
      <c r="Q124" s="54">
        <f t="shared" si="16"/>
        <v>1</v>
      </c>
      <c r="R124" s="46">
        <v>0</v>
      </c>
      <c r="S124" s="47">
        <v>0</v>
      </c>
      <c r="T124" s="57">
        <f t="shared" si="17"/>
        <v>0</v>
      </c>
      <c r="U124" s="37">
        <v>3</v>
      </c>
      <c r="V124" s="37">
        <v>1</v>
      </c>
      <c r="W124" s="37">
        <v>2</v>
      </c>
      <c r="X124" s="38">
        <v>3</v>
      </c>
      <c r="Y124" s="38">
        <v>0</v>
      </c>
      <c r="Z124" s="38">
        <v>2</v>
      </c>
      <c r="AA124" s="49">
        <f t="shared" si="18"/>
        <v>3</v>
      </c>
      <c r="AB124" s="49">
        <f t="shared" si="19"/>
        <v>2</v>
      </c>
      <c r="AC124" s="44">
        <v>1</v>
      </c>
      <c r="AD124" s="45">
        <v>0</v>
      </c>
      <c r="AE124" s="54">
        <f t="shared" si="20"/>
        <v>0.5</v>
      </c>
      <c r="AF124" s="36">
        <v>1</v>
      </c>
      <c r="AG124" s="36">
        <v>1</v>
      </c>
      <c r="AH124" s="54">
        <f t="shared" si="21"/>
        <v>1</v>
      </c>
      <c r="AI124" s="46">
        <v>0</v>
      </c>
      <c r="AJ124" s="46">
        <v>0</v>
      </c>
      <c r="AK124" s="47">
        <v>1</v>
      </c>
      <c r="AL124" s="47">
        <v>0</v>
      </c>
      <c r="AM124" s="58">
        <f t="shared" si="22"/>
        <v>0.5</v>
      </c>
      <c r="AN124" s="58">
        <f t="shared" si="23"/>
        <v>0</v>
      </c>
    </row>
    <row r="125" spans="1:40">
      <c r="A125" s="23">
        <v>10126</v>
      </c>
      <c r="B125" s="23" t="s">
        <v>3892</v>
      </c>
      <c r="C125" s="43">
        <v>0</v>
      </c>
      <c r="D125" s="36">
        <v>0</v>
      </c>
      <c r="E125" s="52">
        <f t="shared" si="12"/>
        <v>0</v>
      </c>
      <c r="F125" s="37">
        <v>3</v>
      </c>
      <c r="G125" s="37">
        <v>1</v>
      </c>
      <c r="H125" s="38">
        <v>2</v>
      </c>
      <c r="I125" s="38">
        <v>1</v>
      </c>
      <c r="J125" s="49">
        <f t="shared" si="13"/>
        <v>2.5</v>
      </c>
      <c r="K125" s="49">
        <f t="shared" si="14"/>
        <v>1</v>
      </c>
      <c r="L125" s="44">
        <v>3</v>
      </c>
      <c r="M125" s="44">
        <v>0</v>
      </c>
      <c r="N125" s="45">
        <v>1</v>
      </c>
      <c r="O125" s="45">
        <v>0</v>
      </c>
      <c r="P125" s="54">
        <f t="shared" si="15"/>
        <v>2</v>
      </c>
      <c r="Q125" s="54">
        <f t="shared" si="16"/>
        <v>0</v>
      </c>
      <c r="R125" s="46">
        <v>0</v>
      </c>
      <c r="S125" s="47">
        <v>0</v>
      </c>
      <c r="T125" s="57">
        <f t="shared" si="17"/>
        <v>0</v>
      </c>
      <c r="U125" s="37">
        <v>3</v>
      </c>
      <c r="V125" s="37">
        <v>0</v>
      </c>
      <c r="W125" s="37">
        <v>2</v>
      </c>
      <c r="X125" s="38">
        <v>3</v>
      </c>
      <c r="Y125" s="38">
        <v>0</v>
      </c>
      <c r="Z125" s="38">
        <v>2</v>
      </c>
      <c r="AA125" s="49">
        <f t="shared" si="18"/>
        <v>3</v>
      </c>
      <c r="AB125" s="49">
        <f t="shared" si="19"/>
        <v>2</v>
      </c>
      <c r="AC125" s="44">
        <v>0</v>
      </c>
      <c r="AD125" s="45">
        <v>0</v>
      </c>
      <c r="AE125" s="54">
        <f t="shared" si="20"/>
        <v>0</v>
      </c>
      <c r="AF125" s="36">
        <v>1</v>
      </c>
      <c r="AG125" s="36">
        <v>1</v>
      </c>
      <c r="AH125" s="54">
        <f t="shared" si="21"/>
        <v>1</v>
      </c>
      <c r="AI125" s="46">
        <v>0</v>
      </c>
      <c r="AJ125" s="46">
        <v>0</v>
      </c>
      <c r="AK125" s="47">
        <v>0</v>
      </c>
      <c r="AL125" s="47">
        <v>0</v>
      </c>
      <c r="AM125" s="58">
        <f t="shared" si="22"/>
        <v>0</v>
      </c>
      <c r="AN125" s="58">
        <f t="shared" si="23"/>
        <v>0</v>
      </c>
    </row>
    <row r="126" spans="1:40">
      <c r="A126" s="23">
        <v>10127</v>
      </c>
      <c r="B126" s="23" t="s">
        <v>3794</v>
      </c>
      <c r="C126" s="43">
        <v>0</v>
      </c>
      <c r="D126" s="36">
        <v>0</v>
      </c>
      <c r="E126" s="52">
        <f t="shared" si="12"/>
        <v>0</v>
      </c>
      <c r="F126" s="37">
        <v>3</v>
      </c>
      <c r="G126" s="37">
        <v>1</v>
      </c>
      <c r="H126" s="38">
        <v>1</v>
      </c>
      <c r="I126" s="38">
        <v>1</v>
      </c>
      <c r="J126" s="49">
        <f t="shared" si="13"/>
        <v>2</v>
      </c>
      <c r="K126" s="49">
        <f t="shared" si="14"/>
        <v>1</v>
      </c>
      <c r="L126" s="44">
        <v>0</v>
      </c>
      <c r="M126" s="44">
        <v>1</v>
      </c>
      <c r="N126" s="45">
        <v>0</v>
      </c>
      <c r="O126" s="45">
        <v>1</v>
      </c>
      <c r="P126" s="54">
        <f t="shared" si="15"/>
        <v>0</v>
      </c>
      <c r="Q126" s="54">
        <f t="shared" si="16"/>
        <v>1</v>
      </c>
      <c r="R126" s="46">
        <v>0</v>
      </c>
      <c r="S126" s="47">
        <v>0</v>
      </c>
      <c r="T126" s="57">
        <f t="shared" si="17"/>
        <v>0</v>
      </c>
      <c r="U126" s="37">
        <v>0</v>
      </c>
      <c r="V126" s="37">
        <v>0</v>
      </c>
      <c r="W126" s="37">
        <v>2</v>
      </c>
      <c r="X126" s="38">
        <v>0</v>
      </c>
      <c r="Y126" s="38">
        <v>0</v>
      </c>
      <c r="Z126" s="38">
        <v>2</v>
      </c>
      <c r="AA126" s="49">
        <f t="shared" si="18"/>
        <v>0</v>
      </c>
      <c r="AB126" s="49">
        <f t="shared" si="19"/>
        <v>2</v>
      </c>
      <c r="AC126" s="44">
        <v>0</v>
      </c>
      <c r="AD126" s="45">
        <v>0</v>
      </c>
      <c r="AE126" s="54">
        <f t="shared" si="20"/>
        <v>0</v>
      </c>
      <c r="AF126" s="36">
        <v>1</v>
      </c>
      <c r="AG126" s="36">
        <v>1</v>
      </c>
      <c r="AH126" s="54">
        <f t="shared" si="21"/>
        <v>1</v>
      </c>
      <c r="AI126" s="46">
        <v>1</v>
      </c>
      <c r="AJ126" s="46">
        <v>0</v>
      </c>
      <c r="AK126" s="47">
        <v>1</v>
      </c>
      <c r="AL126" s="47">
        <v>0</v>
      </c>
      <c r="AM126" s="58">
        <f t="shared" si="22"/>
        <v>1</v>
      </c>
      <c r="AN126" s="58">
        <f t="shared" si="23"/>
        <v>0</v>
      </c>
    </row>
    <row r="127" spans="1:40">
      <c r="A127" s="23">
        <v>10128</v>
      </c>
      <c r="B127" s="23" t="s">
        <v>3964</v>
      </c>
      <c r="C127" s="43">
        <v>1</v>
      </c>
      <c r="D127" s="36">
        <v>0</v>
      </c>
      <c r="E127" s="52">
        <f t="shared" si="12"/>
        <v>0.5</v>
      </c>
      <c r="F127" s="37">
        <v>1</v>
      </c>
      <c r="G127" s="37">
        <v>1</v>
      </c>
      <c r="H127" s="38">
        <v>0</v>
      </c>
      <c r="I127" s="38">
        <v>1</v>
      </c>
      <c r="J127" s="49">
        <f t="shared" si="13"/>
        <v>0.5</v>
      </c>
      <c r="K127" s="49">
        <f t="shared" si="14"/>
        <v>1</v>
      </c>
      <c r="L127" s="44">
        <v>0</v>
      </c>
      <c r="M127" s="44">
        <v>1</v>
      </c>
      <c r="N127" s="45">
        <v>0</v>
      </c>
      <c r="O127" s="45">
        <v>1</v>
      </c>
      <c r="P127" s="54">
        <f t="shared" si="15"/>
        <v>0</v>
      </c>
      <c r="Q127" s="54">
        <f t="shared" si="16"/>
        <v>1</v>
      </c>
      <c r="R127" s="46">
        <v>1</v>
      </c>
      <c r="S127" s="47">
        <v>0</v>
      </c>
      <c r="T127" s="57">
        <f t="shared" si="17"/>
        <v>0.5</v>
      </c>
      <c r="U127" s="37">
        <v>0</v>
      </c>
      <c r="V127" s="37">
        <v>0</v>
      </c>
      <c r="W127" s="37">
        <v>1</v>
      </c>
      <c r="X127" s="38">
        <v>0</v>
      </c>
      <c r="Y127" s="38">
        <v>0</v>
      </c>
      <c r="Z127" s="38">
        <v>0</v>
      </c>
      <c r="AA127" s="49">
        <f t="shared" si="18"/>
        <v>0</v>
      </c>
      <c r="AB127" s="49">
        <f t="shared" si="19"/>
        <v>0.5</v>
      </c>
      <c r="AC127" s="44">
        <v>1</v>
      </c>
      <c r="AD127" s="45">
        <v>0</v>
      </c>
      <c r="AE127" s="54">
        <f t="shared" si="20"/>
        <v>0.5</v>
      </c>
      <c r="AF127" s="43">
        <v>1</v>
      </c>
      <c r="AG127" s="36">
        <v>0</v>
      </c>
      <c r="AH127" s="54">
        <f t="shared" si="21"/>
        <v>0.5</v>
      </c>
      <c r="AI127" s="46">
        <v>1</v>
      </c>
      <c r="AJ127" s="46">
        <v>0</v>
      </c>
      <c r="AK127" s="47">
        <v>0</v>
      </c>
      <c r="AL127" s="47">
        <v>0</v>
      </c>
      <c r="AM127" s="58">
        <f t="shared" si="22"/>
        <v>0.5</v>
      </c>
      <c r="AN127" s="58">
        <f t="shared" si="23"/>
        <v>0</v>
      </c>
    </row>
    <row r="128" spans="1:40">
      <c r="A128" s="23">
        <v>10129</v>
      </c>
      <c r="B128" s="23" t="s">
        <v>3911</v>
      </c>
      <c r="C128" s="43">
        <v>0</v>
      </c>
      <c r="D128" s="36">
        <v>0</v>
      </c>
      <c r="E128" s="52">
        <f t="shared" si="12"/>
        <v>0</v>
      </c>
      <c r="F128" s="37">
        <v>1</v>
      </c>
      <c r="G128" s="37">
        <v>2</v>
      </c>
      <c r="H128" s="38">
        <v>0</v>
      </c>
      <c r="I128" s="38">
        <v>2</v>
      </c>
      <c r="J128" s="49">
        <f t="shared" si="13"/>
        <v>0.5</v>
      </c>
      <c r="K128" s="49">
        <f t="shared" si="14"/>
        <v>2</v>
      </c>
      <c r="L128" s="44">
        <v>3</v>
      </c>
      <c r="M128" s="44">
        <v>1</v>
      </c>
      <c r="N128" s="45">
        <v>1</v>
      </c>
      <c r="O128" s="45">
        <v>1</v>
      </c>
      <c r="P128" s="54">
        <f t="shared" si="15"/>
        <v>2</v>
      </c>
      <c r="Q128" s="54">
        <f t="shared" si="16"/>
        <v>1</v>
      </c>
      <c r="R128" s="46">
        <v>1</v>
      </c>
      <c r="S128" s="47">
        <v>0</v>
      </c>
      <c r="T128" s="57">
        <f t="shared" si="17"/>
        <v>0.5</v>
      </c>
      <c r="U128" s="37">
        <v>3</v>
      </c>
      <c r="V128" s="37">
        <v>3</v>
      </c>
      <c r="W128" s="37">
        <v>1</v>
      </c>
      <c r="X128" s="38">
        <v>3</v>
      </c>
      <c r="Y128" s="38">
        <v>2</v>
      </c>
      <c r="Z128" s="38">
        <v>0</v>
      </c>
      <c r="AA128" s="49">
        <f t="shared" si="18"/>
        <v>3</v>
      </c>
      <c r="AB128" s="49">
        <f t="shared" si="19"/>
        <v>0.5</v>
      </c>
      <c r="AC128" s="44">
        <v>2</v>
      </c>
      <c r="AD128" s="45">
        <v>2</v>
      </c>
      <c r="AE128" s="54">
        <f t="shared" si="20"/>
        <v>2</v>
      </c>
      <c r="AF128" s="43">
        <v>0</v>
      </c>
      <c r="AG128" s="36">
        <v>0</v>
      </c>
      <c r="AH128" s="54">
        <f t="shared" si="21"/>
        <v>0</v>
      </c>
      <c r="AI128" s="46">
        <v>1</v>
      </c>
      <c r="AJ128" s="46">
        <v>0</v>
      </c>
      <c r="AK128" s="47">
        <v>1</v>
      </c>
      <c r="AL128" s="47">
        <v>0</v>
      </c>
      <c r="AM128" s="58">
        <f t="shared" si="22"/>
        <v>1</v>
      </c>
      <c r="AN128" s="58">
        <f t="shared" si="23"/>
        <v>0</v>
      </c>
    </row>
    <row r="129" spans="1:40">
      <c r="A129" s="23">
        <v>10130</v>
      </c>
      <c r="B129" s="23" t="s">
        <v>3827</v>
      </c>
      <c r="C129" s="43">
        <v>1</v>
      </c>
      <c r="D129" s="36">
        <v>1</v>
      </c>
      <c r="E129" s="52">
        <f t="shared" si="12"/>
        <v>1</v>
      </c>
      <c r="F129" s="37">
        <v>1</v>
      </c>
      <c r="G129" s="37">
        <v>2</v>
      </c>
      <c r="H129" s="38">
        <v>1</v>
      </c>
      <c r="I129" s="38">
        <v>2</v>
      </c>
      <c r="J129" s="49">
        <f t="shared" si="13"/>
        <v>1</v>
      </c>
      <c r="K129" s="49">
        <f t="shared" si="14"/>
        <v>2</v>
      </c>
      <c r="L129" s="44">
        <v>3</v>
      </c>
      <c r="M129" s="44">
        <v>1</v>
      </c>
      <c r="N129" s="45">
        <v>1</v>
      </c>
      <c r="O129" s="45">
        <v>1</v>
      </c>
      <c r="P129" s="54">
        <f t="shared" si="15"/>
        <v>2</v>
      </c>
      <c r="Q129" s="54">
        <f t="shared" si="16"/>
        <v>1</v>
      </c>
      <c r="R129" s="46">
        <v>2</v>
      </c>
      <c r="S129" s="47">
        <v>2</v>
      </c>
      <c r="T129" s="57">
        <f t="shared" si="17"/>
        <v>2</v>
      </c>
      <c r="U129" s="37">
        <v>3</v>
      </c>
      <c r="V129" s="37">
        <v>0</v>
      </c>
      <c r="W129" s="37">
        <v>1</v>
      </c>
      <c r="X129" s="38">
        <v>2</v>
      </c>
      <c r="Y129" s="38">
        <v>0</v>
      </c>
      <c r="Z129" s="38">
        <v>0</v>
      </c>
      <c r="AA129" s="49">
        <f t="shared" si="18"/>
        <v>2.5</v>
      </c>
      <c r="AB129" s="49">
        <f t="shared" si="19"/>
        <v>0.5</v>
      </c>
      <c r="AC129" s="44">
        <v>2</v>
      </c>
      <c r="AD129" s="45">
        <v>2</v>
      </c>
      <c r="AE129" s="54">
        <f t="shared" si="20"/>
        <v>2</v>
      </c>
      <c r="AF129" s="43">
        <v>1</v>
      </c>
      <c r="AG129" s="36">
        <v>1</v>
      </c>
      <c r="AH129" s="54">
        <f t="shared" si="21"/>
        <v>1</v>
      </c>
      <c r="AI129" s="46">
        <v>1</v>
      </c>
      <c r="AJ129" s="46">
        <v>0</v>
      </c>
      <c r="AK129" s="47">
        <v>0</v>
      </c>
      <c r="AL129" s="47">
        <v>0</v>
      </c>
      <c r="AM129" s="58">
        <f t="shared" si="22"/>
        <v>0.5</v>
      </c>
      <c r="AN129" s="58">
        <f t="shared" si="23"/>
        <v>0</v>
      </c>
    </row>
    <row r="130" spans="1:40">
      <c r="A130" s="23">
        <v>10131</v>
      </c>
      <c r="B130" s="23" t="s">
        <v>3802</v>
      </c>
      <c r="C130" s="43">
        <v>1</v>
      </c>
      <c r="D130" s="36">
        <v>1</v>
      </c>
      <c r="E130" s="52">
        <f t="shared" si="12"/>
        <v>1</v>
      </c>
      <c r="F130" s="37">
        <v>3</v>
      </c>
      <c r="G130" s="37">
        <v>2</v>
      </c>
      <c r="H130" s="38">
        <v>2</v>
      </c>
      <c r="I130" s="38">
        <v>2</v>
      </c>
      <c r="J130" s="49">
        <f t="shared" si="13"/>
        <v>2.5</v>
      </c>
      <c r="K130" s="49">
        <f t="shared" si="14"/>
        <v>2</v>
      </c>
      <c r="L130" s="44">
        <v>3</v>
      </c>
      <c r="M130" s="44">
        <v>0</v>
      </c>
      <c r="N130" s="45">
        <v>2</v>
      </c>
      <c r="O130" s="45">
        <v>0</v>
      </c>
      <c r="P130" s="54">
        <f t="shared" si="15"/>
        <v>2.5</v>
      </c>
      <c r="Q130" s="54">
        <f t="shared" si="16"/>
        <v>0</v>
      </c>
      <c r="R130" s="46">
        <v>2</v>
      </c>
      <c r="S130" s="47">
        <v>2</v>
      </c>
      <c r="T130" s="57">
        <f t="shared" si="17"/>
        <v>2</v>
      </c>
      <c r="U130" s="37">
        <v>3</v>
      </c>
      <c r="V130" s="37">
        <v>0</v>
      </c>
      <c r="W130" s="37">
        <v>2</v>
      </c>
      <c r="X130" s="38">
        <v>3</v>
      </c>
      <c r="Y130" s="38">
        <v>0</v>
      </c>
      <c r="Z130" s="38">
        <v>2</v>
      </c>
      <c r="AA130" s="49">
        <f t="shared" si="18"/>
        <v>3</v>
      </c>
      <c r="AB130" s="49">
        <f t="shared" si="19"/>
        <v>2</v>
      </c>
      <c r="AC130" s="44">
        <v>1</v>
      </c>
      <c r="AD130" s="45">
        <v>0</v>
      </c>
      <c r="AE130" s="54">
        <f t="shared" si="20"/>
        <v>0.5</v>
      </c>
      <c r="AF130" s="43">
        <v>1</v>
      </c>
      <c r="AG130" s="36">
        <v>1</v>
      </c>
      <c r="AH130" s="54">
        <f t="shared" si="21"/>
        <v>1</v>
      </c>
      <c r="AI130" s="46">
        <v>2</v>
      </c>
      <c r="AJ130" s="46">
        <v>1</v>
      </c>
      <c r="AK130" s="47">
        <v>2</v>
      </c>
      <c r="AL130" s="47">
        <v>1</v>
      </c>
      <c r="AM130" s="58">
        <f t="shared" si="22"/>
        <v>2</v>
      </c>
      <c r="AN130" s="58">
        <f t="shared" si="23"/>
        <v>1</v>
      </c>
    </row>
    <row r="131" spans="1:40">
      <c r="A131" s="23">
        <v>10132</v>
      </c>
      <c r="B131" s="23" t="s">
        <v>3800</v>
      </c>
      <c r="C131" s="43">
        <v>2</v>
      </c>
      <c r="D131" s="36">
        <v>1</v>
      </c>
      <c r="E131" s="52">
        <f t="shared" ref="E131:E150" si="24">AVERAGE(C131:D131)</f>
        <v>1.5</v>
      </c>
      <c r="F131" s="37">
        <v>3</v>
      </c>
      <c r="G131" s="38">
        <v>1</v>
      </c>
      <c r="H131" s="38">
        <v>2</v>
      </c>
      <c r="I131" s="38">
        <v>1</v>
      </c>
      <c r="J131" s="49">
        <f t="shared" ref="J131:J150" si="25">AVERAGE(F131,H131)</f>
        <v>2.5</v>
      </c>
      <c r="K131" s="49">
        <f t="shared" ref="K131:K150" si="26">AVERAGE(G131,I131)</f>
        <v>1</v>
      </c>
      <c r="L131" s="44">
        <v>0</v>
      </c>
      <c r="M131" s="44">
        <v>1</v>
      </c>
      <c r="N131" s="45">
        <v>0</v>
      </c>
      <c r="O131" s="45">
        <v>1</v>
      </c>
      <c r="P131" s="54">
        <f t="shared" ref="P131:P150" si="27">AVERAGE(L131,N131)</f>
        <v>0</v>
      </c>
      <c r="Q131" s="54">
        <f t="shared" ref="Q131:Q150" si="28">AVERAGE(M131,O131)</f>
        <v>1</v>
      </c>
      <c r="R131" s="46">
        <v>0</v>
      </c>
      <c r="S131" s="47">
        <v>0</v>
      </c>
      <c r="T131" s="57">
        <f t="shared" ref="T131:T150" si="29">AVERAGE(R131:S131)</f>
        <v>0</v>
      </c>
      <c r="U131" s="37">
        <v>3</v>
      </c>
      <c r="V131" s="37">
        <v>3</v>
      </c>
      <c r="W131" s="37">
        <v>2</v>
      </c>
      <c r="X131" s="38">
        <v>3</v>
      </c>
      <c r="Y131" s="38">
        <v>3</v>
      </c>
      <c r="Z131" s="38">
        <v>2</v>
      </c>
      <c r="AA131" s="49">
        <f t="shared" ref="AA131:AA150" si="30">AVERAGE(U131,X131)</f>
        <v>3</v>
      </c>
      <c r="AB131" s="49">
        <f t="shared" ref="AB131:AB150" si="31">AVERAGE(W131,Z131)</f>
        <v>2</v>
      </c>
      <c r="AC131" s="44">
        <v>1</v>
      </c>
      <c r="AD131" s="45">
        <v>0</v>
      </c>
      <c r="AE131" s="54">
        <f t="shared" ref="AE131:AE150" si="32">AVERAGE(AC131:AD131)</f>
        <v>0.5</v>
      </c>
      <c r="AF131" s="36">
        <v>1</v>
      </c>
      <c r="AG131" s="36">
        <v>1</v>
      </c>
      <c r="AH131" s="54">
        <f t="shared" ref="AH131:AH150" si="33">AVERAGE(AF131:AG131)</f>
        <v>1</v>
      </c>
      <c r="AI131" s="46">
        <v>2</v>
      </c>
      <c r="AJ131" s="46">
        <v>0</v>
      </c>
      <c r="AK131" s="47">
        <v>2</v>
      </c>
      <c r="AL131" s="47">
        <v>0</v>
      </c>
      <c r="AM131" s="58">
        <f t="shared" ref="AM131:AM150" si="34">AVERAGE(AI131,AK131)</f>
        <v>2</v>
      </c>
      <c r="AN131" s="58">
        <f t="shared" ref="AN131:AN150" si="35">AVERAGE(AJ131,AL131)</f>
        <v>0</v>
      </c>
    </row>
    <row r="132" spans="1:40">
      <c r="A132" s="23">
        <v>10133</v>
      </c>
      <c r="B132" s="23" t="s">
        <v>3837</v>
      </c>
      <c r="C132" s="43">
        <v>0</v>
      </c>
      <c r="D132" s="36">
        <v>0</v>
      </c>
      <c r="E132" s="52">
        <f t="shared" si="24"/>
        <v>0</v>
      </c>
      <c r="F132" s="37">
        <v>0</v>
      </c>
      <c r="G132" s="37">
        <v>0</v>
      </c>
      <c r="H132" s="38">
        <v>0</v>
      </c>
      <c r="I132" s="38">
        <v>0</v>
      </c>
      <c r="J132" s="49">
        <f t="shared" si="25"/>
        <v>0</v>
      </c>
      <c r="K132" s="49">
        <f t="shared" si="26"/>
        <v>0</v>
      </c>
      <c r="L132" s="44">
        <v>0</v>
      </c>
      <c r="M132" s="44">
        <v>0</v>
      </c>
      <c r="N132" s="45">
        <v>0</v>
      </c>
      <c r="O132" s="45">
        <v>0</v>
      </c>
      <c r="P132" s="54">
        <f t="shared" si="27"/>
        <v>0</v>
      </c>
      <c r="Q132" s="54">
        <f t="shared" si="28"/>
        <v>0</v>
      </c>
      <c r="R132" s="46">
        <v>0</v>
      </c>
      <c r="S132" s="47">
        <v>0</v>
      </c>
      <c r="T132" s="57">
        <f t="shared" si="29"/>
        <v>0</v>
      </c>
      <c r="U132" s="37">
        <v>2</v>
      </c>
      <c r="V132" s="37">
        <v>0</v>
      </c>
      <c r="W132" s="37">
        <v>1</v>
      </c>
      <c r="X132" s="38">
        <v>1</v>
      </c>
      <c r="Y132" s="38">
        <v>0</v>
      </c>
      <c r="Z132" s="38">
        <v>0</v>
      </c>
      <c r="AA132" s="49">
        <f t="shared" si="30"/>
        <v>1.5</v>
      </c>
      <c r="AB132" s="49">
        <f t="shared" si="31"/>
        <v>0.5</v>
      </c>
      <c r="AC132" s="44">
        <v>0</v>
      </c>
      <c r="AD132" s="45">
        <v>0</v>
      </c>
      <c r="AE132" s="54">
        <f t="shared" si="32"/>
        <v>0</v>
      </c>
      <c r="AF132" s="43">
        <v>0</v>
      </c>
      <c r="AG132" s="36">
        <v>0</v>
      </c>
      <c r="AH132" s="54">
        <f t="shared" si="33"/>
        <v>0</v>
      </c>
      <c r="AI132" s="46">
        <v>1</v>
      </c>
      <c r="AJ132" s="46">
        <v>0</v>
      </c>
      <c r="AK132" s="47">
        <v>0</v>
      </c>
      <c r="AL132" s="47">
        <v>0</v>
      </c>
      <c r="AM132" s="58">
        <f t="shared" si="34"/>
        <v>0.5</v>
      </c>
      <c r="AN132" s="58">
        <f t="shared" si="35"/>
        <v>0</v>
      </c>
    </row>
    <row r="133" spans="1:40">
      <c r="A133" s="23">
        <v>10134</v>
      </c>
      <c r="B133" s="23" t="s">
        <v>3925</v>
      </c>
      <c r="C133" s="43">
        <v>2</v>
      </c>
      <c r="D133" s="36">
        <v>2</v>
      </c>
      <c r="E133" s="52">
        <f t="shared" si="24"/>
        <v>2</v>
      </c>
      <c r="F133" s="37">
        <v>3</v>
      </c>
      <c r="G133" s="37">
        <v>1</v>
      </c>
      <c r="H133" s="38">
        <v>2</v>
      </c>
      <c r="I133" s="38">
        <v>1</v>
      </c>
      <c r="J133" s="49">
        <f t="shared" si="25"/>
        <v>2.5</v>
      </c>
      <c r="K133" s="49">
        <f t="shared" si="26"/>
        <v>1</v>
      </c>
      <c r="L133" s="44">
        <v>0</v>
      </c>
      <c r="M133" s="44">
        <v>1</v>
      </c>
      <c r="N133" s="45">
        <v>0</v>
      </c>
      <c r="O133" s="45">
        <v>1</v>
      </c>
      <c r="P133" s="54">
        <f t="shared" si="27"/>
        <v>0</v>
      </c>
      <c r="Q133" s="54">
        <f t="shared" si="28"/>
        <v>1</v>
      </c>
      <c r="R133" s="46">
        <v>0</v>
      </c>
      <c r="S133" s="47">
        <v>0</v>
      </c>
      <c r="T133" s="57">
        <f t="shared" si="29"/>
        <v>0</v>
      </c>
      <c r="U133" s="37">
        <v>3</v>
      </c>
      <c r="V133" s="37">
        <v>0</v>
      </c>
      <c r="W133" s="37">
        <v>2</v>
      </c>
      <c r="X133" s="38">
        <v>1</v>
      </c>
      <c r="Y133" s="38">
        <v>0</v>
      </c>
      <c r="Z133" s="38">
        <v>2</v>
      </c>
      <c r="AA133" s="49">
        <f t="shared" si="30"/>
        <v>2</v>
      </c>
      <c r="AB133" s="49">
        <f t="shared" si="31"/>
        <v>2</v>
      </c>
      <c r="AC133" s="44">
        <v>0</v>
      </c>
      <c r="AD133" s="45">
        <v>0</v>
      </c>
      <c r="AE133" s="54">
        <f t="shared" si="32"/>
        <v>0</v>
      </c>
      <c r="AF133" s="43">
        <v>1</v>
      </c>
      <c r="AG133" s="36">
        <v>1</v>
      </c>
      <c r="AH133" s="54">
        <f t="shared" si="33"/>
        <v>1</v>
      </c>
      <c r="AI133" s="46">
        <v>2</v>
      </c>
      <c r="AJ133" s="46">
        <v>0</v>
      </c>
      <c r="AK133" s="47">
        <v>1</v>
      </c>
      <c r="AL133" s="47">
        <v>0</v>
      </c>
      <c r="AM133" s="58">
        <f t="shared" si="34"/>
        <v>1.5</v>
      </c>
      <c r="AN133" s="58">
        <f t="shared" si="35"/>
        <v>0</v>
      </c>
    </row>
    <row r="134" spans="1:40">
      <c r="A134" s="23">
        <v>10135</v>
      </c>
      <c r="B134" s="23" t="s">
        <v>3804</v>
      </c>
      <c r="C134" s="43">
        <v>3</v>
      </c>
      <c r="D134" s="36">
        <v>2</v>
      </c>
      <c r="E134" s="52">
        <f t="shared" si="24"/>
        <v>2.5</v>
      </c>
      <c r="F134" s="37">
        <v>3</v>
      </c>
      <c r="G134" s="37">
        <v>1</v>
      </c>
      <c r="H134" s="38">
        <v>1</v>
      </c>
      <c r="I134" s="38">
        <v>1</v>
      </c>
      <c r="J134" s="49">
        <f t="shared" si="25"/>
        <v>2</v>
      </c>
      <c r="K134" s="49">
        <f t="shared" si="26"/>
        <v>1</v>
      </c>
      <c r="L134" s="44">
        <v>3</v>
      </c>
      <c r="M134" s="44">
        <v>0</v>
      </c>
      <c r="N134" s="45">
        <v>1</v>
      </c>
      <c r="O134" s="45">
        <v>0</v>
      </c>
      <c r="P134" s="54">
        <f t="shared" si="27"/>
        <v>2</v>
      </c>
      <c r="Q134" s="54">
        <f t="shared" si="28"/>
        <v>0</v>
      </c>
      <c r="R134" s="46">
        <v>0</v>
      </c>
      <c r="S134" s="47">
        <v>0</v>
      </c>
      <c r="T134" s="57">
        <f t="shared" si="29"/>
        <v>0</v>
      </c>
      <c r="U134" s="37">
        <v>3</v>
      </c>
      <c r="V134" s="37">
        <v>0</v>
      </c>
      <c r="W134" s="37">
        <v>2</v>
      </c>
      <c r="X134" s="38">
        <v>3</v>
      </c>
      <c r="Y134" s="38">
        <v>0</v>
      </c>
      <c r="Z134" s="38">
        <v>2</v>
      </c>
      <c r="AA134" s="49">
        <f t="shared" si="30"/>
        <v>3</v>
      </c>
      <c r="AB134" s="49">
        <f t="shared" si="31"/>
        <v>2</v>
      </c>
      <c r="AC134" s="44">
        <v>0</v>
      </c>
      <c r="AD134" s="45">
        <v>0</v>
      </c>
      <c r="AE134" s="54">
        <f t="shared" si="32"/>
        <v>0</v>
      </c>
      <c r="AF134" s="43">
        <v>2</v>
      </c>
      <c r="AG134" s="36">
        <v>2</v>
      </c>
      <c r="AH134" s="54">
        <f t="shared" si="33"/>
        <v>2</v>
      </c>
      <c r="AI134" s="46">
        <v>2</v>
      </c>
      <c r="AJ134" s="46">
        <v>0</v>
      </c>
      <c r="AK134" s="47">
        <v>1</v>
      </c>
      <c r="AL134" s="47">
        <v>0</v>
      </c>
      <c r="AM134" s="58">
        <f t="shared" si="34"/>
        <v>1.5</v>
      </c>
      <c r="AN134" s="58">
        <f t="shared" si="35"/>
        <v>0</v>
      </c>
    </row>
    <row r="135" spans="1:40">
      <c r="A135" s="23">
        <v>10136</v>
      </c>
      <c r="B135" s="23" t="s">
        <v>3815</v>
      </c>
      <c r="C135" s="43">
        <v>2</v>
      </c>
      <c r="D135" s="36">
        <v>1</v>
      </c>
      <c r="E135" s="52">
        <f t="shared" si="24"/>
        <v>1.5</v>
      </c>
      <c r="F135" s="37">
        <v>3</v>
      </c>
      <c r="G135" s="37">
        <v>1</v>
      </c>
      <c r="H135" s="38">
        <v>2</v>
      </c>
      <c r="I135" s="38">
        <v>1</v>
      </c>
      <c r="J135" s="49">
        <f t="shared" si="25"/>
        <v>2.5</v>
      </c>
      <c r="K135" s="49">
        <f t="shared" si="26"/>
        <v>1</v>
      </c>
      <c r="L135" s="44">
        <v>0</v>
      </c>
      <c r="M135" s="44">
        <v>0</v>
      </c>
      <c r="N135" s="45">
        <v>0</v>
      </c>
      <c r="O135" s="45">
        <v>0</v>
      </c>
      <c r="P135" s="54">
        <f t="shared" si="27"/>
        <v>0</v>
      </c>
      <c r="Q135" s="54">
        <f t="shared" si="28"/>
        <v>0</v>
      </c>
      <c r="R135" s="46">
        <v>0</v>
      </c>
      <c r="S135" s="47">
        <v>0</v>
      </c>
      <c r="T135" s="57">
        <f t="shared" si="29"/>
        <v>0</v>
      </c>
      <c r="U135" s="37">
        <v>3</v>
      </c>
      <c r="V135" s="37">
        <v>3</v>
      </c>
      <c r="W135" s="37">
        <v>2</v>
      </c>
      <c r="X135" s="38">
        <v>3</v>
      </c>
      <c r="Y135" s="38">
        <v>2</v>
      </c>
      <c r="Z135" s="38">
        <v>2</v>
      </c>
      <c r="AA135" s="49">
        <f t="shared" si="30"/>
        <v>3</v>
      </c>
      <c r="AB135" s="49">
        <f t="shared" si="31"/>
        <v>2</v>
      </c>
      <c r="AC135" s="44">
        <v>0</v>
      </c>
      <c r="AD135" s="45">
        <v>0</v>
      </c>
      <c r="AE135" s="54">
        <f t="shared" si="32"/>
        <v>0</v>
      </c>
      <c r="AF135" s="43">
        <v>1</v>
      </c>
      <c r="AG135" s="36">
        <v>1</v>
      </c>
      <c r="AH135" s="54">
        <f t="shared" si="33"/>
        <v>1</v>
      </c>
      <c r="AI135" s="46">
        <v>1</v>
      </c>
      <c r="AJ135" s="46">
        <v>0</v>
      </c>
      <c r="AK135" s="47">
        <v>0</v>
      </c>
      <c r="AL135" s="47">
        <v>0</v>
      </c>
      <c r="AM135" s="58">
        <f t="shared" si="34"/>
        <v>0.5</v>
      </c>
      <c r="AN135" s="58">
        <f t="shared" si="35"/>
        <v>0</v>
      </c>
    </row>
    <row r="136" spans="1:40">
      <c r="A136" s="23">
        <v>10137</v>
      </c>
      <c r="B136" s="23" t="s">
        <v>3786</v>
      </c>
      <c r="C136" s="43">
        <v>3</v>
      </c>
      <c r="D136" s="36">
        <v>3</v>
      </c>
      <c r="E136" s="52">
        <f t="shared" si="24"/>
        <v>3</v>
      </c>
      <c r="F136" s="37">
        <v>0</v>
      </c>
      <c r="G136" s="37">
        <v>2</v>
      </c>
      <c r="H136" s="38">
        <v>0</v>
      </c>
      <c r="I136" s="38">
        <v>2</v>
      </c>
      <c r="J136" s="49">
        <f t="shared" si="25"/>
        <v>0</v>
      </c>
      <c r="K136" s="49">
        <f t="shared" si="26"/>
        <v>2</v>
      </c>
      <c r="L136" s="44">
        <v>0</v>
      </c>
      <c r="M136" s="44">
        <v>1</v>
      </c>
      <c r="N136" s="45">
        <v>0</v>
      </c>
      <c r="O136" s="45">
        <v>1</v>
      </c>
      <c r="P136" s="54">
        <f t="shared" si="27"/>
        <v>0</v>
      </c>
      <c r="Q136" s="54">
        <f t="shared" si="28"/>
        <v>1</v>
      </c>
      <c r="R136" s="46">
        <v>0</v>
      </c>
      <c r="S136" s="47">
        <v>0</v>
      </c>
      <c r="T136" s="57">
        <f t="shared" si="29"/>
        <v>0</v>
      </c>
      <c r="U136" s="37">
        <v>0</v>
      </c>
      <c r="V136" s="37">
        <v>3</v>
      </c>
      <c r="W136" s="37">
        <v>2</v>
      </c>
      <c r="X136" s="38">
        <v>0</v>
      </c>
      <c r="Y136" s="38">
        <v>3</v>
      </c>
      <c r="Z136" s="38">
        <v>2</v>
      </c>
      <c r="AA136" s="49">
        <f t="shared" si="30"/>
        <v>0</v>
      </c>
      <c r="AB136" s="49">
        <f t="shared" si="31"/>
        <v>2</v>
      </c>
      <c r="AC136" s="44">
        <v>0</v>
      </c>
      <c r="AD136" s="45">
        <v>0</v>
      </c>
      <c r="AE136" s="54">
        <f t="shared" si="32"/>
        <v>0</v>
      </c>
      <c r="AF136" s="43">
        <v>0</v>
      </c>
      <c r="AG136" s="36">
        <v>0</v>
      </c>
      <c r="AH136" s="54">
        <f t="shared" si="33"/>
        <v>0</v>
      </c>
      <c r="AI136" s="46">
        <v>0</v>
      </c>
      <c r="AJ136" s="46">
        <v>1</v>
      </c>
      <c r="AK136" s="47">
        <v>0</v>
      </c>
      <c r="AL136" s="47">
        <v>1</v>
      </c>
      <c r="AM136" s="58">
        <f t="shared" si="34"/>
        <v>0</v>
      </c>
      <c r="AN136" s="58">
        <f t="shared" si="35"/>
        <v>1</v>
      </c>
    </row>
    <row r="137" spans="1:40">
      <c r="A137" s="23">
        <v>10138</v>
      </c>
      <c r="B137" s="23" t="s">
        <v>3994</v>
      </c>
      <c r="C137" s="43">
        <v>2</v>
      </c>
      <c r="D137" s="36">
        <v>0</v>
      </c>
      <c r="E137" s="52">
        <f t="shared" si="24"/>
        <v>1</v>
      </c>
      <c r="F137" s="37">
        <v>0</v>
      </c>
      <c r="G137" s="37">
        <v>1</v>
      </c>
      <c r="H137" s="38">
        <v>0</v>
      </c>
      <c r="I137" s="38">
        <v>1</v>
      </c>
      <c r="J137" s="49">
        <f t="shared" si="25"/>
        <v>0</v>
      </c>
      <c r="K137" s="49">
        <f t="shared" si="26"/>
        <v>1</v>
      </c>
      <c r="L137" s="44">
        <v>2</v>
      </c>
      <c r="M137" s="44">
        <v>1</v>
      </c>
      <c r="N137" s="45">
        <v>2</v>
      </c>
      <c r="O137" s="45">
        <v>1</v>
      </c>
      <c r="P137" s="54">
        <f t="shared" si="27"/>
        <v>2</v>
      </c>
      <c r="Q137" s="54">
        <f t="shared" si="28"/>
        <v>1</v>
      </c>
      <c r="R137" s="46">
        <v>0</v>
      </c>
      <c r="S137" s="47">
        <v>0</v>
      </c>
      <c r="T137" s="57">
        <f t="shared" si="29"/>
        <v>0</v>
      </c>
      <c r="U137" s="37">
        <v>3</v>
      </c>
      <c r="V137" s="37">
        <v>0</v>
      </c>
      <c r="W137" s="37">
        <v>1</v>
      </c>
      <c r="X137" s="38">
        <v>0</v>
      </c>
      <c r="Y137" s="38">
        <v>0</v>
      </c>
      <c r="Z137" s="38">
        <v>0</v>
      </c>
      <c r="AA137" s="49">
        <f t="shared" si="30"/>
        <v>1.5</v>
      </c>
      <c r="AB137" s="49">
        <f t="shared" si="31"/>
        <v>0.5</v>
      </c>
      <c r="AC137" s="44">
        <v>0</v>
      </c>
      <c r="AD137" s="45">
        <v>0</v>
      </c>
      <c r="AE137" s="54">
        <f t="shared" si="32"/>
        <v>0</v>
      </c>
      <c r="AF137" s="43">
        <v>0</v>
      </c>
      <c r="AG137" s="36">
        <v>0</v>
      </c>
      <c r="AH137" s="54">
        <f t="shared" si="33"/>
        <v>0</v>
      </c>
      <c r="AI137" s="46">
        <v>1</v>
      </c>
      <c r="AJ137" s="46">
        <v>1</v>
      </c>
      <c r="AK137" s="47">
        <v>0</v>
      </c>
      <c r="AL137" s="47">
        <v>0</v>
      </c>
      <c r="AM137" s="58">
        <f t="shared" si="34"/>
        <v>0.5</v>
      </c>
      <c r="AN137" s="58">
        <f t="shared" si="35"/>
        <v>0.5</v>
      </c>
    </row>
    <row r="138" spans="1:40">
      <c r="A138" s="23">
        <v>10139</v>
      </c>
      <c r="B138" s="23" t="s">
        <v>4019</v>
      </c>
      <c r="C138" s="43">
        <v>0</v>
      </c>
      <c r="D138" s="36">
        <v>1</v>
      </c>
      <c r="E138" s="52">
        <f t="shared" si="24"/>
        <v>0.5</v>
      </c>
      <c r="F138" s="37">
        <v>3</v>
      </c>
      <c r="G138" s="37">
        <v>2</v>
      </c>
      <c r="H138" s="38">
        <v>2</v>
      </c>
      <c r="I138" s="38">
        <v>2</v>
      </c>
      <c r="J138" s="49">
        <f t="shared" si="25"/>
        <v>2.5</v>
      </c>
      <c r="K138" s="49">
        <f t="shared" si="26"/>
        <v>2</v>
      </c>
      <c r="L138" s="44">
        <v>0</v>
      </c>
      <c r="M138" s="44">
        <v>2</v>
      </c>
      <c r="N138" s="45">
        <v>0</v>
      </c>
      <c r="O138" s="45">
        <v>2</v>
      </c>
      <c r="P138" s="54">
        <f t="shared" si="27"/>
        <v>0</v>
      </c>
      <c r="Q138" s="54">
        <f t="shared" si="28"/>
        <v>2</v>
      </c>
      <c r="R138" s="46">
        <v>1</v>
      </c>
      <c r="S138" s="47">
        <v>0</v>
      </c>
      <c r="T138" s="57">
        <f t="shared" si="29"/>
        <v>0.5</v>
      </c>
      <c r="U138" s="37">
        <v>3</v>
      </c>
      <c r="V138" s="37">
        <v>0</v>
      </c>
      <c r="W138" s="37">
        <v>1</v>
      </c>
      <c r="X138" s="38">
        <v>3</v>
      </c>
      <c r="Y138" s="38">
        <v>0</v>
      </c>
      <c r="Z138" s="38">
        <v>0</v>
      </c>
      <c r="AA138" s="49">
        <f t="shared" si="30"/>
        <v>3</v>
      </c>
      <c r="AB138" s="49">
        <f t="shared" si="31"/>
        <v>0.5</v>
      </c>
      <c r="AC138" s="44">
        <v>0</v>
      </c>
      <c r="AD138" s="45">
        <v>0</v>
      </c>
      <c r="AE138" s="54">
        <f t="shared" si="32"/>
        <v>0</v>
      </c>
      <c r="AF138" s="43">
        <v>1</v>
      </c>
      <c r="AG138" s="36">
        <v>1</v>
      </c>
      <c r="AH138" s="54">
        <f t="shared" si="33"/>
        <v>1</v>
      </c>
      <c r="AI138" s="46">
        <v>0</v>
      </c>
      <c r="AJ138" s="46">
        <v>0</v>
      </c>
      <c r="AK138" s="47">
        <v>1</v>
      </c>
      <c r="AL138" s="47">
        <v>0</v>
      </c>
      <c r="AM138" s="58">
        <f t="shared" si="34"/>
        <v>0.5</v>
      </c>
      <c r="AN138" s="58">
        <f t="shared" si="35"/>
        <v>0</v>
      </c>
    </row>
    <row r="139" spans="1:40">
      <c r="A139" s="23">
        <v>10140</v>
      </c>
      <c r="B139" s="23" t="s">
        <v>3821</v>
      </c>
      <c r="C139" s="43">
        <v>0</v>
      </c>
      <c r="D139" s="36">
        <v>1</v>
      </c>
      <c r="E139" s="52">
        <f t="shared" si="24"/>
        <v>0.5</v>
      </c>
      <c r="F139" s="37">
        <v>0</v>
      </c>
      <c r="G139" s="37">
        <v>1</v>
      </c>
      <c r="H139" s="38">
        <v>0</v>
      </c>
      <c r="I139" s="38">
        <v>1</v>
      </c>
      <c r="J139" s="49">
        <f t="shared" si="25"/>
        <v>0</v>
      </c>
      <c r="K139" s="49">
        <f t="shared" si="26"/>
        <v>1</v>
      </c>
      <c r="L139" s="44">
        <v>3</v>
      </c>
      <c r="M139" s="44">
        <v>1</v>
      </c>
      <c r="N139" s="45">
        <v>1</v>
      </c>
      <c r="O139" s="45">
        <v>1</v>
      </c>
      <c r="P139" s="54">
        <f t="shared" si="27"/>
        <v>2</v>
      </c>
      <c r="Q139" s="54">
        <f t="shared" si="28"/>
        <v>1</v>
      </c>
      <c r="R139" s="46">
        <v>0</v>
      </c>
      <c r="S139" s="47">
        <v>0</v>
      </c>
      <c r="T139" s="57">
        <f t="shared" si="29"/>
        <v>0</v>
      </c>
      <c r="U139" s="37">
        <v>3</v>
      </c>
      <c r="V139" s="37">
        <v>0</v>
      </c>
      <c r="W139" s="37">
        <v>2</v>
      </c>
      <c r="X139" s="38">
        <v>3</v>
      </c>
      <c r="Y139" s="38">
        <v>0</v>
      </c>
      <c r="Z139" s="38">
        <v>2</v>
      </c>
      <c r="AA139" s="49">
        <f t="shared" si="30"/>
        <v>3</v>
      </c>
      <c r="AB139" s="49">
        <f t="shared" si="31"/>
        <v>2</v>
      </c>
      <c r="AC139" s="44">
        <v>0</v>
      </c>
      <c r="AD139" s="45">
        <v>0</v>
      </c>
      <c r="AE139" s="54">
        <f t="shared" si="32"/>
        <v>0</v>
      </c>
      <c r="AF139" s="43">
        <v>1</v>
      </c>
      <c r="AG139" s="36">
        <v>1</v>
      </c>
      <c r="AH139" s="54">
        <f t="shared" si="33"/>
        <v>1</v>
      </c>
      <c r="AI139" s="46">
        <v>2</v>
      </c>
      <c r="AJ139" s="46">
        <v>0</v>
      </c>
      <c r="AK139" s="47">
        <v>1</v>
      </c>
      <c r="AL139" s="47">
        <v>0</v>
      </c>
      <c r="AM139" s="58">
        <f t="shared" si="34"/>
        <v>1.5</v>
      </c>
      <c r="AN139" s="58">
        <f t="shared" si="35"/>
        <v>0</v>
      </c>
    </row>
    <row r="140" spans="1:40">
      <c r="A140" s="23">
        <v>10141</v>
      </c>
      <c r="B140" s="23" t="s">
        <v>3782</v>
      </c>
      <c r="C140" s="43">
        <v>3</v>
      </c>
      <c r="D140" s="36">
        <v>3</v>
      </c>
      <c r="E140" s="52">
        <f t="shared" si="24"/>
        <v>3</v>
      </c>
      <c r="F140" s="37">
        <v>3</v>
      </c>
      <c r="G140" s="37">
        <v>1</v>
      </c>
      <c r="H140" s="38">
        <v>2</v>
      </c>
      <c r="I140" s="38">
        <v>2</v>
      </c>
      <c r="J140" s="49">
        <f t="shared" si="25"/>
        <v>2.5</v>
      </c>
      <c r="K140" s="49">
        <f t="shared" si="26"/>
        <v>1.5</v>
      </c>
      <c r="L140" s="44">
        <v>0</v>
      </c>
      <c r="M140" s="44">
        <v>1</v>
      </c>
      <c r="N140" s="45">
        <v>0</v>
      </c>
      <c r="O140" s="45">
        <v>1</v>
      </c>
      <c r="P140" s="54">
        <f t="shared" si="27"/>
        <v>0</v>
      </c>
      <c r="Q140" s="54">
        <f t="shared" si="28"/>
        <v>1</v>
      </c>
      <c r="R140" s="46">
        <v>2</v>
      </c>
      <c r="S140" s="47">
        <v>2</v>
      </c>
      <c r="T140" s="57">
        <f t="shared" si="29"/>
        <v>2</v>
      </c>
      <c r="U140" s="37">
        <v>3</v>
      </c>
      <c r="V140" s="37">
        <v>3</v>
      </c>
      <c r="W140" s="37">
        <v>0</v>
      </c>
      <c r="X140" s="38">
        <v>3</v>
      </c>
      <c r="Y140" s="38">
        <v>1</v>
      </c>
      <c r="Z140" s="38">
        <v>2</v>
      </c>
      <c r="AA140" s="49">
        <f t="shared" si="30"/>
        <v>3</v>
      </c>
      <c r="AB140" s="49">
        <f t="shared" si="31"/>
        <v>1</v>
      </c>
      <c r="AC140" s="44">
        <v>2</v>
      </c>
      <c r="AD140" s="45">
        <v>2</v>
      </c>
      <c r="AE140" s="54">
        <f t="shared" si="32"/>
        <v>2</v>
      </c>
      <c r="AF140" s="43">
        <v>1</v>
      </c>
      <c r="AG140" s="36">
        <v>1</v>
      </c>
      <c r="AH140" s="54">
        <f t="shared" si="33"/>
        <v>1</v>
      </c>
      <c r="AI140" s="46">
        <v>0</v>
      </c>
      <c r="AJ140" s="46">
        <v>0</v>
      </c>
      <c r="AK140" s="47">
        <v>1</v>
      </c>
      <c r="AL140" s="47">
        <v>0</v>
      </c>
      <c r="AM140" s="58">
        <f t="shared" si="34"/>
        <v>0.5</v>
      </c>
      <c r="AN140" s="58">
        <f t="shared" si="35"/>
        <v>0</v>
      </c>
    </row>
    <row r="141" spans="1:40">
      <c r="A141" s="23">
        <v>10142</v>
      </c>
      <c r="B141" s="23" t="s">
        <v>3846</v>
      </c>
      <c r="C141" s="43">
        <v>0</v>
      </c>
      <c r="D141" s="36">
        <v>0</v>
      </c>
      <c r="E141" s="52">
        <f t="shared" si="24"/>
        <v>0</v>
      </c>
      <c r="F141" s="37">
        <v>3</v>
      </c>
      <c r="G141" s="37">
        <v>1</v>
      </c>
      <c r="H141" s="38">
        <v>2</v>
      </c>
      <c r="I141" s="38">
        <v>1</v>
      </c>
      <c r="J141" s="49">
        <f t="shared" si="25"/>
        <v>2.5</v>
      </c>
      <c r="K141" s="49">
        <f t="shared" si="26"/>
        <v>1</v>
      </c>
      <c r="L141" s="44">
        <v>1</v>
      </c>
      <c r="M141" s="44">
        <v>1</v>
      </c>
      <c r="N141" s="45">
        <v>1</v>
      </c>
      <c r="O141" s="45">
        <v>1</v>
      </c>
      <c r="P141" s="54">
        <f t="shared" si="27"/>
        <v>1</v>
      </c>
      <c r="Q141" s="54">
        <f t="shared" si="28"/>
        <v>1</v>
      </c>
      <c r="R141" s="46">
        <v>0</v>
      </c>
      <c r="S141" s="47">
        <v>0</v>
      </c>
      <c r="T141" s="57">
        <f t="shared" si="29"/>
        <v>0</v>
      </c>
      <c r="U141" s="37">
        <v>0</v>
      </c>
      <c r="V141" s="37">
        <v>3</v>
      </c>
      <c r="W141" s="37">
        <v>2</v>
      </c>
      <c r="X141" s="38">
        <v>0</v>
      </c>
      <c r="Y141" s="38">
        <v>2</v>
      </c>
      <c r="Z141" s="38">
        <v>2</v>
      </c>
      <c r="AA141" s="49">
        <f t="shared" si="30"/>
        <v>0</v>
      </c>
      <c r="AB141" s="49">
        <f t="shared" si="31"/>
        <v>2</v>
      </c>
      <c r="AC141" s="44">
        <v>0</v>
      </c>
      <c r="AD141" s="45">
        <v>0</v>
      </c>
      <c r="AE141" s="54">
        <f t="shared" si="32"/>
        <v>0</v>
      </c>
      <c r="AF141" s="43">
        <v>1</v>
      </c>
      <c r="AG141" s="36">
        <v>1</v>
      </c>
      <c r="AH141" s="54">
        <f t="shared" si="33"/>
        <v>1</v>
      </c>
      <c r="AI141" s="46">
        <v>0</v>
      </c>
      <c r="AJ141" s="46">
        <v>0</v>
      </c>
      <c r="AK141" s="47">
        <v>0</v>
      </c>
      <c r="AL141" s="47">
        <v>0</v>
      </c>
      <c r="AM141" s="58">
        <f t="shared" si="34"/>
        <v>0</v>
      </c>
      <c r="AN141" s="58">
        <f t="shared" si="35"/>
        <v>0</v>
      </c>
    </row>
    <row r="142" spans="1:40">
      <c r="A142" s="23">
        <v>10143</v>
      </c>
      <c r="B142" s="23" t="s">
        <v>4020</v>
      </c>
      <c r="C142" s="43">
        <v>3</v>
      </c>
      <c r="D142" s="36">
        <v>0</v>
      </c>
      <c r="E142" s="52">
        <f t="shared" si="24"/>
        <v>1.5</v>
      </c>
      <c r="F142" s="37">
        <v>2</v>
      </c>
      <c r="G142" s="37">
        <v>0</v>
      </c>
      <c r="H142" s="38">
        <v>1</v>
      </c>
      <c r="I142" s="38">
        <v>0</v>
      </c>
      <c r="J142" s="49">
        <f t="shared" si="25"/>
        <v>1.5</v>
      </c>
      <c r="K142" s="49">
        <f t="shared" si="26"/>
        <v>0</v>
      </c>
      <c r="L142" s="44">
        <v>0</v>
      </c>
      <c r="M142" s="44">
        <v>2</v>
      </c>
      <c r="N142" s="45">
        <v>0</v>
      </c>
      <c r="O142" s="45">
        <v>1</v>
      </c>
      <c r="P142" s="54">
        <f t="shared" si="27"/>
        <v>0</v>
      </c>
      <c r="Q142" s="54">
        <f t="shared" si="28"/>
        <v>1.5</v>
      </c>
      <c r="R142" s="46">
        <v>0</v>
      </c>
      <c r="S142" s="47">
        <v>0</v>
      </c>
      <c r="T142" s="57">
        <f t="shared" si="29"/>
        <v>0</v>
      </c>
      <c r="U142" s="37">
        <v>0</v>
      </c>
      <c r="V142" s="37">
        <v>0</v>
      </c>
      <c r="W142" s="37">
        <v>1</v>
      </c>
      <c r="X142" s="38">
        <v>0</v>
      </c>
      <c r="Y142" s="38">
        <v>0</v>
      </c>
      <c r="Z142" s="38">
        <v>0</v>
      </c>
      <c r="AA142" s="49">
        <f t="shared" si="30"/>
        <v>0</v>
      </c>
      <c r="AB142" s="49">
        <f t="shared" si="31"/>
        <v>0.5</v>
      </c>
      <c r="AC142" s="44">
        <v>1</v>
      </c>
      <c r="AD142" s="45">
        <v>0</v>
      </c>
      <c r="AE142" s="54">
        <f t="shared" si="32"/>
        <v>0.5</v>
      </c>
      <c r="AF142" s="43">
        <v>1</v>
      </c>
      <c r="AG142" s="36">
        <v>1</v>
      </c>
      <c r="AH142" s="54">
        <f t="shared" si="33"/>
        <v>1</v>
      </c>
      <c r="AI142" s="46">
        <v>0</v>
      </c>
      <c r="AJ142" s="46">
        <v>0</v>
      </c>
      <c r="AK142" s="47">
        <v>0</v>
      </c>
      <c r="AL142" s="47">
        <v>0</v>
      </c>
      <c r="AM142" s="58">
        <f t="shared" si="34"/>
        <v>0</v>
      </c>
      <c r="AN142" s="58">
        <f t="shared" si="35"/>
        <v>0</v>
      </c>
    </row>
    <row r="143" spans="1:40">
      <c r="A143" s="23">
        <v>10144</v>
      </c>
      <c r="B143" s="23" t="s">
        <v>4021</v>
      </c>
      <c r="C143" s="43">
        <v>0</v>
      </c>
      <c r="D143" s="36">
        <v>0</v>
      </c>
      <c r="E143" s="52">
        <f t="shared" si="24"/>
        <v>0</v>
      </c>
      <c r="F143" s="37">
        <v>3</v>
      </c>
      <c r="G143" s="38">
        <v>1</v>
      </c>
      <c r="H143" s="38">
        <v>1</v>
      </c>
      <c r="I143" s="38">
        <v>0</v>
      </c>
      <c r="J143" s="49">
        <f t="shared" si="25"/>
        <v>2</v>
      </c>
      <c r="K143" s="49">
        <f t="shared" si="26"/>
        <v>0.5</v>
      </c>
      <c r="L143" s="44">
        <v>2</v>
      </c>
      <c r="M143" s="44">
        <v>1</v>
      </c>
      <c r="N143" s="45">
        <v>2</v>
      </c>
      <c r="O143" s="45">
        <v>1</v>
      </c>
      <c r="P143" s="54">
        <f t="shared" si="27"/>
        <v>2</v>
      </c>
      <c r="Q143" s="54">
        <f t="shared" si="28"/>
        <v>1</v>
      </c>
      <c r="R143" s="46">
        <v>2</v>
      </c>
      <c r="S143" s="47">
        <v>2</v>
      </c>
      <c r="T143" s="57">
        <f t="shared" si="29"/>
        <v>2</v>
      </c>
      <c r="U143" s="37">
        <v>3</v>
      </c>
      <c r="V143" s="37">
        <v>0</v>
      </c>
      <c r="W143" s="37">
        <v>2</v>
      </c>
      <c r="X143" s="38">
        <v>3</v>
      </c>
      <c r="Y143" s="38">
        <v>0</v>
      </c>
      <c r="Z143" s="38">
        <v>2</v>
      </c>
      <c r="AA143" s="49">
        <f t="shared" si="30"/>
        <v>3</v>
      </c>
      <c r="AB143" s="49">
        <f t="shared" si="31"/>
        <v>2</v>
      </c>
      <c r="AC143" s="44">
        <v>2</v>
      </c>
      <c r="AD143" s="45">
        <v>2</v>
      </c>
      <c r="AE143" s="54">
        <f t="shared" si="32"/>
        <v>2</v>
      </c>
      <c r="AF143" s="43">
        <v>1</v>
      </c>
      <c r="AG143" s="36">
        <v>1</v>
      </c>
      <c r="AH143" s="54">
        <f t="shared" si="33"/>
        <v>1</v>
      </c>
      <c r="AI143" s="46">
        <v>2</v>
      </c>
      <c r="AJ143" s="46">
        <v>0</v>
      </c>
      <c r="AK143" s="47">
        <v>2</v>
      </c>
      <c r="AL143" s="47">
        <v>0</v>
      </c>
      <c r="AM143" s="58">
        <f t="shared" si="34"/>
        <v>2</v>
      </c>
      <c r="AN143" s="58">
        <f t="shared" si="35"/>
        <v>0</v>
      </c>
    </row>
    <row r="144" spans="1:40">
      <c r="A144" s="23">
        <v>10145</v>
      </c>
      <c r="B144" s="23" t="s">
        <v>3776</v>
      </c>
      <c r="C144" s="43">
        <v>3</v>
      </c>
      <c r="D144" s="36">
        <v>3</v>
      </c>
      <c r="E144" s="52">
        <f t="shared" si="24"/>
        <v>3</v>
      </c>
      <c r="F144" s="37">
        <v>3</v>
      </c>
      <c r="G144" s="37">
        <v>2</v>
      </c>
      <c r="H144" s="38">
        <v>3</v>
      </c>
      <c r="I144" s="38">
        <v>1</v>
      </c>
      <c r="J144" s="49">
        <f t="shared" si="25"/>
        <v>3</v>
      </c>
      <c r="K144" s="49">
        <f t="shared" si="26"/>
        <v>1.5</v>
      </c>
      <c r="L144" s="44">
        <v>1</v>
      </c>
      <c r="M144" s="44">
        <v>1</v>
      </c>
      <c r="N144" s="45">
        <v>0</v>
      </c>
      <c r="O144" s="45">
        <v>1</v>
      </c>
      <c r="P144" s="54">
        <f t="shared" si="27"/>
        <v>0.5</v>
      </c>
      <c r="Q144" s="54">
        <f t="shared" si="28"/>
        <v>1</v>
      </c>
      <c r="R144" s="46">
        <v>0</v>
      </c>
      <c r="S144" s="47">
        <v>0</v>
      </c>
      <c r="T144" s="57">
        <f t="shared" si="29"/>
        <v>0</v>
      </c>
      <c r="U144" s="37">
        <v>3</v>
      </c>
      <c r="V144" s="37">
        <v>3</v>
      </c>
      <c r="W144" s="37">
        <v>1</v>
      </c>
      <c r="X144" s="38">
        <v>1</v>
      </c>
      <c r="Y144" s="38">
        <v>2</v>
      </c>
      <c r="Z144" s="38">
        <v>0</v>
      </c>
      <c r="AA144" s="49">
        <f t="shared" si="30"/>
        <v>2</v>
      </c>
      <c r="AB144" s="49">
        <f t="shared" si="31"/>
        <v>0.5</v>
      </c>
      <c r="AC144" s="44">
        <v>1</v>
      </c>
      <c r="AD144" s="45">
        <v>0</v>
      </c>
      <c r="AE144" s="54">
        <f t="shared" si="32"/>
        <v>0.5</v>
      </c>
      <c r="AF144" s="43">
        <v>1</v>
      </c>
      <c r="AG144" s="36">
        <v>1</v>
      </c>
      <c r="AH144" s="54">
        <f t="shared" si="33"/>
        <v>1</v>
      </c>
      <c r="AI144" s="46">
        <v>2</v>
      </c>
      <c r="AJ144" s="46">
        <v>0</v>
      </c>
      <c r="AK144" s="47">
        <v>2</v>
      </c>
      <c r="AL144" s="47">
        <v>0</v>
      </c>
      <c r="AM144" s="58">
        <f t="shared" si="34"/>
        <v>2</v>
      </c>
      <c r="AN144" s="58">
        <f t="shared" si="35"/>
        <v>0</v>
      </c>
    </row>
    <row r="145" spans="1:40">
      <c r="A145" s="23">
        <v>10146</v>
      </c>
      <c r="B145" s="23" t="s">
        <v>3839</v>
      </c>
      <c r="C145" s="43">
        <v>2</v>
      </c>
      <c r="D145" s="36">
        <v>1</v>
      </c>
      <c r="E145" s="52">
        <f t="shared" si="24"/>
        <v>1.5</v>
      </c>
      <c r="F145" s="37">
        <v>3</v>
      </c>
      <c r="G145" s="37">
        <v>2</v>
      </c>
      <c r="H145" s="38">
        <v>3</v>
      </c>
      <c r="I145" s="38">
        <v>1</v>
      </c>
      <c r="J145" s="49">
        <f t="shared" si="25"/>
        <v>3</v>
      </c>
      <c r="K145" s="49">
        <f t="shared" si="26"/>
        <v>1.5</v>
      </c>
      <c r="L145" s="44">
        <v>1</v>
      </c>
      <c r="M145" s="44">
        <v>0</v>
      </c>
      <c r="N145" s="45">
        <v>0</v>
      </c>
      <c r="O145" s="45">
        <v>0</v>
      </c>
      <c r="P145" s="54">
        <f t="shared" si="27"/>
        <v>0.5</v>
      </c>
      <c r="Q145" s="54">
        <f t="shared" si="28"/>
        <v>0</v>
      </c>
      <c r="R145" s="46">
        <v>0</v>
      </c>
      <c r="S145" s="47">
        <v>0</v>
      </c>
      <c r="T145" s="57">
        <f t="shared" si="29"/>
        <v>0</v>
      </c>
      <c r="U145" s="37">
        <v>3</v>
      </c>
      <c r="V145" s="37">
        <v>0</v>
      </c>
      <c r="W145" s="37">
        <v>2</v>
      </c>
      <c r="X145" s="38">
        <v>2</v>
      </c>
      <c r="Y145" s="38">
        <v>2</v>
      </c>
      <c r="Z145" s="38">
        <v>2</v>
      </c>
      <c r="AA145" s="49">
        <f t="shared" si="30"/>
        <v>2.5</v>
      </c>
      <c r="AB145" s="49">
        <f t="shared" si="31"/>
        <v>2</v>
      </c>
      <c r="AC145" s="44">
        <v>1</v>
      </c>
      <c r="AD145" s="45">
        <v>0</v>
      </c>
      <c r="AE145" s="54">
        <f t="shared" si="32"/>
        <v>0.5</v>
      </c>
      <c r="AF145" s="43">
        <v>1</v>
      </c>
      <c r="AG145" s="36">
        <v>1</v>
      </c>
      <c r="AH145" s="54">
        <f t="shared" si="33"/>
        <v>1</v>
      </c>
      <c r="AI145" s="46">
        <v>0</v>
      </c>
      <c r="AJ145" s="46">
        <v>0</v>
      </c>
      <c r="AK145" s="47">
        <v>1</v>
      </c>
      <c r="AL145" s="47">
        <v>0</v>
      </c>
      <c r="AM145" s="58">
        <f t="shared" si="34"/>
        <v>0.5</v>
      </c>
      <c r="AN145" s="58">
        <f t="shared" si="35"/>
        <v>0</v>
      </c>
    </row>
    <row r="146" spans="1:40">
      <c r="A146" s="23">
        <v>10147</v>
      </c>
      <c r="B146" s="23" t="s">
        <v>3833</v>
      </c>
      <c r="C146" s="43">
        <v>0</v>
      </c>
      <c r="D146" s="36">
        <v>0</v>
      </c>
      <c r="E146" s="52">
        <f t="shared" si="24"/>
        <v>0</v>
      </c>
      <c r="F146" s="37">
        <v>2</v>
      </c>
      <c r="G146" s="37">
        <v>2</v>
      </c>
      <c r="H146" s="38">
        <v>1</v>
      </c>
      <c r="I146" s="38">
        <v>1</v>
      </c>
      <c r="J146" s="49">
        <f t="shared" si="25"/>
        <v>1.5</v>
      </c>
      <c r="K146" s="49">
        <f t="shared" si="26"/>
        <v>1.5</v>
      </c>
      <c r="L146" s="44">
        <v>2</v>
      </c>
      <c r="M146" s="44">
        <v>1</v>
      </c>
      <c r="N146" s="45">
        <v>2</v>
      </c>
      <c r="O146" s="45">
        <v>1</v>
      </c>
      <c r="P146" s="54">
        <f t="shared" si="27"/>
        <v>2</v>
      </c>
      <c r="Q146" s="54">
        <f t="shared" si="28"/>
        <v>1</v>
      </c>
      <c r="R146" s="46">
        <v>0</v>
      </c>
      <c r="S146" s="47">
        <v>0</v>
      </c>
      <c r="T146" s="57">
        <f t="shared" si="29"/>
        <v>0</v>
      </c>
      <c r="U146" s="37">
        <v>2</v>
      </c>
      <c r="V146" s="37">
        <v>0</v>
      </c>
      <c r="W146" s="37">
        <v>2</v>
      </c>
      <c r="X146" s="38">
        <v>1</v>
      </c>
      <c r="Y146" s="38">
        <v>0</v>
      </c>
      <c r="Z146" s="38">
        <v>2</v>
      </c>
      <c r="AA146" s="49">
        <f t="shared" si="30"/>
        <v>1.5</v>
      </c>
      <c r="AB146" s="49">
        <f t="shared" si="31"/>
        <v>2</v>
      </c>
      <c r="AC146" s="44">
        <v>0</v>
      </c>
      <c r="AD146" s="45">
        <v>0</v>
      </c>
      <c r="AE146" s="54">
        <f t="shared" si="32"/>
        <v>0</v>
      </c>
      <c r="AF146" s="43">
        <v>1</v>
      </c>
      <c r="AG146" s="36">
        <v>1</v>
      </c>
      <c r="AH146" s="54">
        <f t="shared" si="33"/>
        <v>1</v>
      </c>
      <c r="AI146" s="46">
        <v>0</v>
      </c>
      <c r="AJ146" s="46">
        <v>0</v>
      </c>
      <c r="AK146" s="47">
        <v>0</v>
      </c>
      <c r="AL146" s="47">
        <v>0</v>
      </c>
      <c r="AM146" s="58">
        <f t="shared" si="34"/>
        <v>0</v>
      </c>
      <c r="AN146" s="58">
        <f t="shared" si="35"/>
        <v>0</v>
      </c>
    </row>
    <row r="147" spans="1:40">
      <c r="A147" s="23">
        <v>10148</v>
      </c>
      <c r="B147" s="23" t="s">
        <v>3809</v>
      </c>
      <c r="C147" s="43">
        <v>3</v>
      </c>
      <c r="D147" s="36">
        <v>2</v>
      </c>
      <c r="E147" s="52">
        <f t="shared" si="24"/>
        <v>2.5</v>
      </c>
      <c r="F147" s="37">
        <v>3</v>
      </c>
      <c r="G147" s="37">
        <v>1</v>
      </c>
      <c r="H147" s="38">
        <v>2</v>
      </c>
      <c r="I147" s="38">
        <v>1</v>
      </c>
      <c r="J147" s="49">
        <f t="shared" si="25"/>
        <v>2.5</v>
      </c>
      <c r="K147" s="49">
        <f t="shared" si="26"/>
        <v>1</v>
      </c>
      <c r="L147" s="44">
        <v>2</v>
      </c>
      <c r="M147" s="44">
        <v>0</v>
      </c>
      <c r="N147" s="45">
        <v>2</v>
      </c>
      <c r="O147" s="45">
        <v>0</v>
      </c>
      <c r="P147" s="54">
        <f t="shared" si="27"/>
        <v>2</v>
      </c>
      <c r="Q147" s="54">
        <f t="shared" si="28"/>
        <v>0</v>
      </c>
      <c r="R147" s="46">
        <v>0</v>
      </c>
      <c r="S147" s="47">
        <v>0</v>
      </c>
      <c r="T147" s="57">
        <f t="shared" si="29"/>
        <v>0</v>
      </c>
      <c r="U147" s="37">
        <v>3</v>
      </c>
      <c r="V147" s="37">
        <v>3</v>
      </c>
      <c r="W147" s="37">
        <v>1</v>
      </c>
      <c r="X147" s="38">
        <v>3</v>
      </c>
      <c r="Y147" s="38">
        <v>2</v>
      </c>
      <c r="Z147" s="38">
        <v>0</v>
      </c>
      <c r="AA147" s="49">
        <f t="shared" si="30"/>
        <v>3</v>
      </c>
      <c r="AB147" s="49">
        <f t="shared" si="31"/>
        <v>0.5</v>
      </c>
      <c r="AC147" s="44">
        <v>0</v>
      </c>
      <c r="AD147" s="45">
        <v>0</v>
      </c>
      <c r="AE147" s="54">
        <f t="shared" si="32"/>
        <v>0</v>
      </c>
      <c r="AF147" s="43">
        <v>1</v>
      </c>
      <c r="AG147" s="36">
        <v>1</v>
      </c>
      <c r="AH147" s="54">
        <f t="shared" si="33"/>
        <v>1</v>
      </c>
      <c r="AI147" s="46">
        <v>1</v>
      </c>
      <c r="AJ147" s="46">
        <v>0</v>
      </c>
      <c r="AK147" s="47">
        <v>1</v>
      </c>
      <c r="AL147" s="47">
        <v>0</v>
      </c>
      <c r="AM147" s="58">
        <f t="shared" si="34"/>
        <v>1</v>
      </c>
      <c r="AN147" s="58">
        <f t="shared" si="35"/>
        <v>0</v>
      </c>
    </row>
    <row r="148" spans="1:40">
      <c r="A148" s="23">
        <v>10149</v>
      </c>
      <c r="B148" s="23" t="s">
        <v>3922</v>
      </c>
      <c r="C148" s="43">
        <v>0</v>
      </c>
      <c r="D148" s="36">
        <v>0</v>
      </c>
      <c r="E148" s="52">
        <f t="shared" si="24"/>
        <v>0</v>
      </c>
      <c r="F148" s="37">
        <v>1</v>
      </c>
      <c r="G148" s="37">
        <v>1</v>
      </c>
      <c r="H148" s="38">
        <v>1</v>
      </c>
      <c r="I148" s="38">
        <v>1</v>
      </c>
      <c r="J148" s="49">
        <f t="shared" si="25"/>
        <v>1</v>
      </c>
      <c r="K148" s="49">
        <f t="shared" si="26"/>
        <v>1</v>
      </c>
      <c r="L148" s="44">
        <v>0</v>
      </c>
      <c r="M148" s="44">
        <v>2</v>
      </c>
      <c r="N148" s="45">
        <v>0</v>
      </c>
      <c r="O148" s="45">
        <v>2</v>
      </c>
      <c r="P148" s="54">
        <f t="shared" si="27"/>
        <v>0</v>
      </c>
      <c r="Q148" s="54">
        <f t="shared" si="28"/>
        <v>2</v>
      </c>
      <c r="R148" s="46">
        <v>0</v>
      </c>
      <c r="S148" s="47">
        <v>0</v>
      </c>
      <c r="T148" s="57">
        <f t="shared" si="29"/>
        <v>0</v>
      </c>
      <c r="U148" s="37">
        <v>0</v>
      </c>
      <c r="V148" s="37">
        <v>0</v>
      </c>
      <c r="W148" s="37">
        <v>2</v>
      </c>
      <c r="X148" s="38">
        <v>0</v>
      </c>
      <c r="Y148" s="38">
        <v>0</v>
      </c>
      <c r="Z148" s="38">
        <v>2</v>
      </c>
      <c r="AA148" s="49">
        <f t="shared" si="30"/>
        <v>0</v>
      </c>
      <c r="AB148" s="49">
        <f t="shared" si="31"/>
        <v>2</v>
      </c>
      <c r="AC148" s="44">
        <v>1</v>
      </c>
      <c r="AD148" s="45">
        <v>0</v>
      </c>
      <c r="AE148" s="54">
        <f t="shared" si="32"/>
        <v>0.5</v>
      </c>
      <c r="AF148" s="43">
        <v>1</v>
      </c>
      <c r="AG148" s="36">
        <v>1</v>
      </c>
      <c r="AH148" s="54">
        <f t="shared" si="33"/>
        <v>1</v>
      </c>
      <c r="AI148" s="46">
        <v>0</v>
      </c>
      <c r="AJ148" s="46">
        <v>0</v>
      </c>
      <c r="AK148" s="47">
        <v>0</v>
      </c>
      <c r="AL148" s="47">
        <v>0</v>
      </c>
      <c r="AM148" s="58">
        <f t="shared" si="34"/>
        <v>0</v>
      </c>
      <c r="AN148" s="58">
        <f t="shared" si="35"/>
        <v>0</v>
      </c>
    </row>
    <row r="149" spans="1:40">
      <c r="A149" s="23">
        <v>10150</v>
      </c>
      <c r="B149" s="23" t="s">
        <v>4022</v>
      </c>
      <c r="C149" s="43">
        <v>1</v>
      </c>
      <c r="D149" s="36">
        <v>1</v>
      </c>
      <c r="E149" s="52">
        <f t="shared" si="24"/>
        <v>1</v>
      </c>
      <c r="F149" s="37">
        <v>0</v>
      </c>
      <c r="G149" s="37">
        <v>0</v>
      </c>
      <c r="H149" s="38">
        <v>0</v>
      </c>
      <c r="I149" s="38">
        <v>0</v>
      </c>
      <c r="J149" s="49">
        <f t="shared" si="25"/>
        <v>0</v>
      </c>
      <c r="K149" s="49">
        <f t="shared" si="26"/>
        <v>0</v>
      </c>
      <c r="L149" s="44">
        <v>0</v>
      </c>
      <c r="M149" s="44">
        <v>0</v>
      </c>
      <c r="N149" s="45">
        <v>0</v>
      </c>
      <c r="O149" s="45">
        <v>0</v>
      </c>
      <c r="P149" s="54">
        <f t="shared" si="27"/>
        <v>0</v>
      </c>
      <c r="Q149" s="54">
        <f t="shared" si="28"/>
        <v>0</v>
      </c>
      <c r="R149" s="46">
        <v>0</v>
      </c>
      <c r="S149" s="47">
        <v>0</v>
      </c>
      <c r="T149" s="57">
        <f t="shared" si="29"/>
        <v>0</v>
      </c>
      <c r="U149" s="37">
        <v>0</v>
      </c>
      <c r="V149" s="37">
        <v>0</v>
      </c>
      <c r="W149" s="37">
        <v>0</v>
      </c>
      <c r="X149" s="38">
        <v>0</v>
      </c>
      <c r="Y149" s="38">
        <v>0</v>
      </c>
      <c r="Z149" s="38">
        <v>0</v>
      </c>
      <c r="AA149" s="49">
        <f t="shared" si="30"/>
        <v>0</v>
      </c>
      <c r="AB149" s="49">
        <f t="shared" si="31"/>
        <v>0</v>
      </c>
      <c r="AC149" s="44">
        <v>0</v>
      </c>
      <c r="AD149" s="45">
        <v>0</v>
      </c>
      <c r="AE149" s="54">
        <f t="shared" si="32"/>
        <v>0</v>
      </c>
      <c r="AF149" s="43">
        <v>0</v>
      </c>
      <c r="AG149" s="36">
        <v>0</v>
      </c>
      <c r="AH149" s="54">
        <f t="shared" si="33"/>
        <v>0</v>
      </c>
      <c r="AI149" s="46">
        <v>0</v>
      </c>
      <c r="AJ149" s="46">
        <v>0</v>
      </c>
      <c r="AK149" s="47">
        <v>0</v>
      </c>
      <c r="AL149" s="47">
        <v>0</v>
      </c>
      <c r="AM149" s="58">
        <f t="shared" si="34"/>
        <v>0</v>
      </c>
      <c r="AN149" s="58">
        <f t="shared" si="35"/>
        <v>0</v>
      </c>
    </row>
    <row r="150" spans="1:40">
      <c r="A150" s="23">
        <v>10151</v>
      </c>
      <c r="B150" s="23" t="s">
        <v>3843</v>
      </c>
      <c r="C150" s="43">
        <v>0</v>
      </c>
      <c r="D150" s="36">
        <v>0</v>
      </c>
      <c r="E150" s="52">
        <f t="shared" si="24"/>
        <v>0</v>
      </c>
      <c r="F150" s="37">
        <v>0</v>
      </c>
      <c r="G150" s="37">
        <v>1</v>
      </c>
      <c r="H150" s="38">
        <v>0</v>
      </c>
      <c r="I150" s="38">
        <v>1</v>
      </c>
      <c r="J150" s="49">
        <f t="shared" si="25"/>
        <v>0</v>
      </c>
      <c r="K150" s="49">
        <f t="shared" si="26"/>
        <v>1</v>
      </c>
      <c r="L150" s="44">
        <v>0</v>
      </c>
      <c r="M150" s="44">
        <v>1</v>
      </c>
      <c r="N150" s="45">
        <v>0</v>
      </c>
      <c r="O150" s="45">
        <v>1</v>
      </c>
      <c r="P150" s="54">
        <f t="shared" si="27"/>
        <v>0</v>
      </c>
      <c r="Q150" s="54">
        <f t="shared" si="28"/>
        <v>1</v>
      </c>
      <c r="R150" s="46">
        <v>1</v>
      </c>
      <c r="S150" s="47">
        <v>0</v>
      </c>
      <c r="T150" s="57">
        <f t="shared" si="29"/>
        <v>0.5</v>
      </c>
      <c r="U150" s="37">
        <v>3</v>
      </c>
      <c r="V150" s="37">
        <v>0</v>
      </c>
      <c r="W150" s="37">
        <v>1</v>
      </c>
      <c r="X150" s="38">
        <v>2</v>
      </c>
      <c r="Y150" s="38">
        <v>0</v>
      </c>
      <c r="Z150" s="38">
        <v>0</v>
      </c>
      <c r="AA150" s="49">
        <f t="shared" si="30"/>
        <v>2.5</v>
      </c>
      <c r="AB150" s="49">
        <f t="shared" si="31"/>
        <v>0.5</v>
      </c>
      <c r="AC150" s="44">
        <v>0</v>
      </c>
      <c r="AD150" s="45">
        <v>0</v>
      </c>
      <c r="AE150" s="54">
        <f t="shared" si="32"/>
        <v>0</v>
      </c>
      <c r="AF150" s="43">
        <v>1</v>
      </c>
      <c r="AG150" s="36">
        <v>1</v>
      </c>
      <c r="AH150" s="54">
        <f t="shared" si="33"/>
        <v>1</v>
      </c>
      <c r="AI150" s="46">
        <v>0</v>
      </c>
      <c r="AJ150" s="46">
        <v>0</v>
      </c>
      <c r="AK150" s="47">
        <v>0</v>
      </c>
      <c r="AL150" s="47">
        <v>0</v>
      </c>
      <c r="AM150" s="58">
        <f t="shared" si="34"/>
        <v>0</v>
      </c>
      <c r="AN150" s="58">
        <f t="shared" si="35"/>
        <v>0</v>
      </c>
    </row>
  </sheetData>
  <phoneticPr fontId="5" type="noConversion"/>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140"/>
  <sheetViews>
    <sheetView topLeftCell="C122" zoomScale="150" workbookViewId="0">
      <selection activeCell="O138" sqref="O138"/>
    </sheetView>
  </sheetViews>
  <sheetFormatPr baseColWidth="10" defaultColWidth="9.1640625" defaultRowHeight="15"/>
  <cols>
    <col min="3" max="3" width="25.6640625" customWidth="1"/>
    <col min="8" max="14" width="0" hidden="1" customWidth="1"/>
    <col min="16" max="22" width="0" hidden="1" customWidth="1"/>
    <col min="28" max="35" width="9.1640625" style="64"/>
  </cols>
  <sheetData>
    <row r="1" spans="1:35">
      <c r="A1" s="59" t="s">
        <v>4087</v>
      </c>
      <c r="B1" s="59" t="s">
        <v>4086</v>
      </c>
      <c r="C1" s="59" t="s">
        <v>4085</v>
      </c>
      <c r="D1" s="60" t="s">
        <v>4088</v>
      </c>
      <c r="E1" s="60" t="s">
        <v>4089</v>
      </c>
      <c r="F1" s="25" t="s">
        <v>4090</v>
      </c>
      <c r="G1" s="25" t="s">
        <v>4091</v>
      </c>
      <c r="H1" s="25" t="s">
        <v>4092</v>
      </c>
      <c r="I1" s="25" t="s">
        <v>4093</v>
      </c>
      <c r="J1" s="25" t="s">
        <v>4094</v>
      </c>
      <c r="K1" s="60" t="s">
        <v>4095</v>
      </c>
      <c r="L1" s="61" t="s">
        <v>4096</v>
      </c>
      <c r="M1" s="61" t="s">
        <v>4097</v>
      </c>
      <c r="N1" s="27" t="s">
        <v>4098</v>
      </c>
      <c r="O1" s="27" t="s">
        <v>4099</v>
      </c>
      <c r="P1" s="27" t="s">
        <v>4100</v>
      </c>
      <c r="Q1" s="27" t="s">
        <v>4101</v>
      </c>
      <c r="R1" s="27" t="s">
        <v>4102</v>
      </c>
      <c r="S1" s="61" t="s">
        <v>4103</v>
      </c>
      <c r="T1" s="62" t="s">
        <v>4104</v>
      </c>
      <c r="U1" s="62" t="s">
        <v>4105</v>
      </c>
      <c r="V1" s="62" t="s">
        <v>4106</v>
      </c>
      <c r="W1" s="62" t="s">
        <v>4107</v>
      </c>
      <c r="X1" s="62" t="s">
        <v>4108</v>
      </c>
      <c r="Y1" s="62" t="s">
        <v>4109</v>
      </c>
      <c r="Z1" s="62" t="s">
        <v>4110</v>
      </c>
      <c r="AA1" s="62" t="s">
        <v>4111</v>
      </c>
      <c r="AB1" s="63" t="s">
        <v>4112</v>
      </c>
      <c r="AC1" s="63" t="s">
        <v>4113</v>
      </c>
      <c r="AD1" s="63" t="s">
        <v>4114</v>
      </c>
      <c r="AE1" s="63" t="s">
        <v>4115</v>
      </c>
      <c r="AF1" s="63" t="s">
        <v>4116</v>
      </c>
      <c r="AG1" s="63" t="s">
        <v>4117</v>
      </c>
      <c r="AH1" s="63" t="s">
        <v>4118</v>
      </c>
      <c r="AI1" s="63" t="s">
        <v>4119</v>
      </c>
    </row>
    <row r="2" spans="1:35">
      <c r="A2" s="23" t="s">
        <v>3745</v>
      </c>
      <c r="B2" s="23">
        <v>10001</v>
      </c>
      <c r="C2" s="23" t="s">
        <v>3746</v>
      </c>
      <c r="D2" s="24">
        <v>3</v>
      </c>
      <c r="E2" s="24">
        <v>0</v>
      </c>
      <c r="F2" s="24">
        <v>2</v>
      </c>
      <c r="G2" s="24">
        <v>1</v>
      </c>
      <c r="H2" s="24">
        <v>0</v>
      </c>
      <c r="I2" s="24">
        <v>3</v>
      </c>
      <c r="J2" s="24">
        <v>0</v>
      </c>
      <c r="K2" s="24">
        <v>0</v>
      </c>
      <c r="L2" s="26">
        <v>3</v>
      </c>
      <c r="M2" s="26">
        <v>0</v>
      </c>
      <c r="N2" s="26">
        <v>1</v>
      </c>
      <c r="O2" s="26">
        <v>2</v>
      </c>
      <c r="P2" s="26">
        <v>3</v>
      </c>
      <c r="Q2" s="26">
        <v>3</v>
      </c>
      <c r="R2" s="26">
        <v>3</v>
      </c>
      <c r="S2" s="26">
        <v>0</v>
      </c>
      <c r="T2" s="28">
        <v>3</v>
      </c>
      <c r="U2" s="28">
        <v>0</v>
      </c>
      <c r="V2" s="28">
        <v>2</v>
      </c>
      <c r="W2" s="28">
        <v>3</v>
      </c>
      <c r="X2" s="28">
        <v>3</v>
      </c>
      <c r="Y2" s="28">
        <v>3</v>
      </c>
      <c r="Z2" s="28">
        <v>3</v>
      </c>
      <c r="AA2" s="28">
        <v>0</v>
      </c>
      <c r="AB2" s="64">
        <f>AVERAGE(D2,L2,T2)</f>
        <v>3</v>
      </c>
      <c r="AC2" s="64">
        <f t="shared" ref="AC2:AI2" si="0">AVERAGE(E2,M2,U2)</f>
        <v>0</v>
      </c>
      <c r="AD2" s="64">
        <f t="shared" si="0"/>
        <v>1.6666666666666667</v>
      </c>
      <c r="AE2" s="64">
        <f t="shared" si="0"/>
        <v>2</v>
      </c>
      <c r="AF2" s="64">
        <f t="shared" si="0"/>
        <v>2</v>
      </c>
      <c r="AG2" s="64">
        <f t="shared" si="0"/>
        <v>3</v>
      </c>
      <c r="AH2" s="64">
        <f t="shared" si="0"/>
        <v>2</v>
      </c>
      <c r="AI2" s="64">
        <f t="shared" si="0"/>
        <v>0</v>
      </c>
    </row>
    <row r="3" spans="1:35">
      <c r="A3" s="23" t="s">
        <v>3747</v>
      </c>
      <c r="B3" s="23">
        <v>10002</v>
      </c>
      <c r="C3" s="23" t="s">
        <v>3748</v>
      </c>
      <c r="D3" s="24">
        <v>1</v>
      </c>
      <c r="E3" s="24">
        <v>3</v>
      </c>
      <c r="F3" s="24">
        <v>0</v>
      </c>
      <c r="G3" s="24">
        <v>1</v>
      </c>
      <c r="H3" s="24">
        <v>2</v>
      </c>
      <c r="I3" s="24">
        <v>3</v>
      </c>
      <c r="J3" s="24">
        <v>0</v>
      </c>
      <c r="K3" s="24">
        <v>0</v>
      </c>
      <c r="L3" s="26">
        <v>2</v>
      </c>
      <c r="M3" s="26">
        <v>3</v>
      </c>
      <c r="N3" s="26">
        <v>1</v>
      </c>
      <c r="O3" s="26">
        <v>2</v>
      </c>
      <c r="P3" s="26">
        <v>2</v>
      </c>
      <c r="Q3" s="26">
        <v>3</v>
      </c>
      <c r="R3" s="26">
        <v>2</v>
      </c>
      <c r="S3" s="26">
        <v>0</v>
      </c>
      <c r="T3" s="28">
        <v>3</v>
      </c>
      <c r="U3" s="28">
        <v>3</v>
      </c>
      <c r="V3" s="28">
        <v>0</v>
      </c>
      <c r="W3" s="28">
        <v>3</v>
      </c>
      <c r="X3" s="28">
        <v>2</v>
      </c>
      <c r="Y3" s="28">
        <v>3</v>
      </c>
      <c r="Z3" s="28">
        <v>3</v>
      </c>
      <c r="AA3" s="28">
        <v>0</v>
      </c>
      <c r="AB3" s="64">
        <f t="shared" ref="AB3:AB66" si="1">AVERAGE(D3,L3,T3)</f>
        <v>2</v>
      </c>
      <c r="AC3" s="64">
        <f t="shared" ref="AC3:AC66" si="2">AVERAGE(E3,M3,U3)</f>
        <v>3</v>
      </c>
      <c r="AD3" s="64">
        <f t="shared" ref="AD3:AD66" si="3">AVERAGE(F3,N3,V3)</f>
        <v>0.33333333333333331</v>
      </c>
      <c r="AE3" s="64">
        <f t="shared" ref="AE3:AE66" si="4">AVERAGE(G3,O3,W3)</f>
        <v>2</v>
      </c>
      <c r="AF3" s="64">
        <f t="shared" ref="AF3:AF66" si="5">AVERAGE(H3,P3,X3)</f>
        <v>2</v>
      </c>
      <c r="AG3" s="64">
        <f t="shared" ref="AG3:AG66" si="6">AVERAGE(I3,Q3,Y3)</f>
        <v>3</v>
      </c>
      <c r="AH3" s="64">
        <f t="shared" ref="AH3:AH66" si="7">AVERAGE(J3,R3,Z3)</f>
        <v>1.6666666666666667</v>
      </c>
      <c r="AI3" s="64">
        <f t="shared" ref="AI3:AI66" si="8">AVERAGE(K3,S3,AA3)</f>
        <v>0</v>
      </c>
    </row>
    <row r="4" spans="1:35">
      <c r="A4" s="23" t="s">
        <v>3749</v>
      </c>
      <c r="B4" s="23">
        <v>10003</v>
      </c>
      <c r="C4" s="23" t="s">
        <v>3750</v>
      </c>
      <c r="D4" s="24">
        <v>0</v>
      </c>
      <c r="E4" s="24">
        <v>3</v>
      </c>
      <c r="F4" s="24">
        <v>1</v>
      </c>
      <c r="G4" s="24">
        <v>3</v>
      </c>
      <c r="H4" s="24">
        <v>0</v>
      </c>
      <c r="I4" s="24">
        <v>3</v>
      </c>
      <c r="J4" s="24">
        <v>3</v>
      </c>
      <c r="K4" s="24">
        <v>0</v>
      </c>
      <c r="L4" s="26">
        <v>1</v>
      </c>
      <c r="M4" s="26">
        <v>3</v>
      </c>
      <c r="N4" s="26">
        <v>1</v>
      </c>
      <c r="O4" s="26">
        <v>3</v>
      </c>
      <c r="P4" s="26">
        <v>2</v>
      </c>
      <c r="Q4" s="26">
        <v>2</v>
      </c>
      <c r="R4" s="26">
        <v>2</v>
      </c>
      <c r="S4" s="26">
        <v>2</v>
      </c>
      <c r="T4" s="28">
        <v>0</v>
      </c>
      <c r="U4" s="28">
        <v>3</v>
      </c>
      <c r="V4" s="28">
        <v>2</v>
      </c>
      <c r="W4" s="28">
        <v>3</v>
      </c>
      <c r="X4" s="28">
        <v>3</v>
      </c>
      <c r="Y4" s="28">
        <v>3</v>
      </c>
      <c r="Z4" s="28">
        <v>3</v>
      </c>
      <c r="AA4" s="28">
        <v>2</v>
      </c>
      <c r="AB4" s="64">
        <f t="shared" si="1"/>
        <v>0.33333333333333331</v>
      </c>
      <c r="AC4" s="64">
        <f t="shared" si="2"/>
        <v>3</v>
      </c>
      <c r="AD4" s="64">
        <f t="shared" si="3"/>
        <v>1.3333333333333333</v>
      </c>
      <c r="AE4" s="64">
        <f t="shared" si="4"/>
        <v>3</v>
      </c>
      <c r="AF4" s="64">
        <f t="shared" si="5"/>
        <v>1.6666666666666667</v>
      </c>
      <c r="AG4" s="64">
        <f t="shared" si="6"/>
        <v>2.6666666666666665</v>
      </c>
      <c r="AH4" s="64">
        <f t="shared" si="7"/>
        <v>2.6666666666666665</v>
      </c>
      <c r="AI4" s="64">
        <f t="shared" si="8"/>
        <v>1.3333333333333333</v>
      </c>
    </row>
    <row r="5" spans="1:35">
      <c r="A5" s="23" t="s">
        <v>3751</v>
      </c>
      <c r="B5" s="23">
        <v>10004</v>
      </c>
      <c r="C5" s="23" t="s">
        <v>3752</v>
      </c>
      <c r="D5" s="24">
        <v>2</v>
      </c>
      <c r="E5" s="24">
        <v>3</v>
      </c>
      <c r="F5" s="24">
        <v>2</v>
      </c>
      <c r="G5" s="24">
        <v>3</v>
      </c>
      <c r="H5" s="24">
        <v>0</v>
      </c>
      <c r="I5" s="24">
        <v>1</v>
      </c>
      <c r="J5" s="24">
        <v>3</v>
      </c>
      <c r="K5" s="24">
        <v>0</v>
      </c>
      <c r="L5" s="26">
        <v>1</v>
      </c>
      <c r="M5" s="26">
        <v>2</v>
      </c>
      <c r="N5" s="26">
        <v>2</v>
      </c>
      <c r="O5" s="26">
        <v>3</v>
      </c>
      <c r="P5" s="26">
        <v>3</v>
      </c>
      <c r="Q5" s="26">
        <v>2</v>
      </c>
      <c r="R5" s="26">
        <v>1</v>
      </c>
      <c r="S5" s="26">
        <v>2</v>
      </c>
      <c r="T5" s="28">
        <v>3</v>
      </c>
      <c r="U5" s="28">
        <v>3</v>
      </c>
      <c r="V5" s="28">
        <v>2</v>
      </c>
      <c r="W5" s="28">
        <v>3</v>
      </c>
      <c r="X5" s="28">
        <v>3</v>
      </c>
      <c r="Y5" s="28">
        <v>3</v>
      </c>
      <c r="Z5" s="28">
        <v>3</v>
      </c>
      <c r="AA5" s="28">
        <v>0</v>
      </c>
      <c r="AB5" s="64">
        <f t="shared" si="1"/>
        <v>2</v>
      </c>
      <c r="AC5" s="64">
        <f t="shared" si="2"/>
        <v>2.6666666666666665</v>
      </c>
      <c r="AD5" s="64">
        <f t="shared" si="3"/>
        <v>2</v>
      </c>
      <c r="AE5" s="64">
        <f t="shared" si="4"/>
        <v>3</v>
      </c>
      <c r="AF5" s="64">
        <f t="shared" si="5"/>
        <v>2</v>
      </c>
      <c r="AG5" s="64">
        <f t="shared" si="6"/>
        <v>2</v>
      </c>
      <c r="AH5" s="64">
        <f t="shared" si="7"/>
        <v>2.3333333333333335</v>
      </c>
      <c r="AI5" s="64">
        <f t="shared" si="8"/>
        <v>0.66666666666666663</v>
      </c>
    </row>
    <row r="6" spans="1:35">
      <c r="A6" s="23" t="s">
        <v>3753</v>
      </c>
      <c r="B6" s="23">
        <v>10005</v>
      </c>
      <c r="C6" s="23" t="s">
        <v>3754</v>
      </c>
      <c r="D6" s="24">
        <v>0</v>
      </c>
      <c r="E6" s="24">
        <v>3</v>
      </c>
      <c r="F6" s="24">
        <v>2</v>
      </c>
      <c r="G6" s="24">
        <v>1</v>
      </c>
      <c r="H6" s="24">
        <v>0</v>
      </c>
      <c r="I6" s="24">
        <v>3</v>
      </c>
      <c r="J6" s="24">
        <v>3</v>
      </c>
      <c r="K6" s="24">
        <v>3</v>
      </c>
      <c r="L6" s="26">
        <v>1</v>
      </c>
      <c r="M6" s="26">
        <v>3</v>
      </c>
      <c r="N6" s="26">
        <v>3</v>
      </c>
      <c r="O6" s="26">
        <v>1</v>
      </c>
      <c r="P6" s="26">
        <v>3</v>
      </c>
      <c r="Q6" s="26">
        <v>2</v>
      </c>
      <c r="R6" s="26">
        <v>2</v>
      </c>
      <c r="S6" s="26">
        <v>2</v>
      </c>
      <c r="T6" s="28">
        <v>0</v>
      </c>
      <c r="U6" s="28">
        <v>3</v>
      </c>
      <c r="V6" s="28">
        <v>1</v>
      </c>
      <c r="W6" s="28">
        <v>2</v>
      </c>
      <c r="X6" s="28">
        <v>3</v>
      </c>
      <c r="Y6" s="28">
        <v>3</v>
      </c>
      <c r="Z6" s="28">
        <v>3</v>
      </c>
      <c r="AA6" s="28">
        <v>3</v>
      </c>
      <c r="AB6" s="64">
        <f t="shared" si="1"/>
        <v>0.33333333333333331</v>
      </c>
      <c r="AC6" s="64">
        <f t="shared" si="2"/>
        <v>3</v>
      </c>
      <c r="AD6" s="64">
        <f t="shared" si="3"/>
        <v>2</v>
      </c>
      <c r="AE6" s="64">
        <f t="shared" si="4"/>
        <v>1.3333333333333333</v>
      </c>
      <c r="AF6" s="64">
        <f t="shared" si="5"/>
        <v>2</v>
      </c>
      <c r="AG6" s="64">
        <f t="shared" si="6"/>
        <v>2.6666666666666665</v>
      </c>
      <c r="AH6" s="64">
        <f t="shared" si="7"/>
        <v>2.6666666666666665</v>
      </c>
      <c r="AI6" s="64">
        <f t="shared" si="8"/>
        <v>2.6666666666666665</v>
      </c>
    </row>
    <row r="7" spans="1:35">
      <c r="A7" s="23" t="s">
        <v>3755</v>
      </c>
      <c r="B7" s="23">
        <v>10006</v>
      </c>
      <c r="C7" s="23" t="s">
        <v>3756</v>
      </c>
      <c r="D7" s="24">
        <v>2</v>
      </c>
      <c r="E7" s="24">
        <v>3</v>
      </c>
      <c r="F7" s="24">
        <v>2</v>
      </c>
      <c r="G7" s="24">
        <v>0</v>
      </c>
      <c r="H7" s="24">
        <v>3</v>
      </c>
      <c r="I7" s="24">
        <v>3</v>
      </c>
      <c r="J7" s="24">
        <v>3</v>
      </c>
      <c r="K7" s="24">
        <v>3</v>
      </c>
      <c r="L7" s="26">
        <v>1</v>
      </c>
      <c r="M7" s="26">
        <v>2</v>
      </c>
      <c r="N7" s="26">
        <v>2</v>
      </c>
      <c r="O7" s="26">
        <v>3</v>
      </c>
      <c r="P7" s="26">
        <v>3</v>
      </c>
      <c r="Q7" s="26">
        <v>3</v>
      </c>
      <c r="R7" s="26">
        <v>2</v>
      </c>
      <c r="S7" s="26">
        <v>3</v>
      </c>
      <c r="T7" s="28">
        <v>2</v>
      </c>
      <c r="U7" s="28">
        <v>3</v>
      </c>
      <c r="V7" s="28">
        <v>2</v>
      </c>
      <c r="W7" s="28">
        <v>3</v>
      </c>
      <c r="X7" s="28">
        <v>2</v>
      </c>
      <c r="Y7" s="28">
        <v>3</v>
      </c>
      <c r="Z7" s="28">
        <v>2</v>
      </c>
      <c r="AA7" s="28">
        <v>0</v>
      </c>
      <c r="AB7" s="64">
        <f t="shared" si="1"/>
        <v>1.6666666666666667</v>
      </c>
      <c r="AC7" s="64">
        <f t="shared" si="2"/>
        <v>2.6666666666666665</v>
      </c>
      <c r="AD7" s="64">
        <f t="shared" si="3"/>
        <v>2</v>
      </c>
      <c r="AE7" s="64">
        <f t="shared" si="4"/>
        <v>2</v>
      </c>
      <c r="AF7" s="64">
        <f t="shared" si="5"/>
        <v>2.6666666666666665</v>
      </c>
      <c r="AG7" s="64">
        <f t="shared" si="6"/>
        <v>3</v>
      </c>
      <c r="AH7" s="64">
        <f t="shared" si="7"/>
        <v>2.3333333333333335</v>
      </c>
      <c r="AI7" s="64">
        <f t="shared" si="8"/>
        <v>2</v>
      </c>
    </row>
    <row r="8" spans="1:35">
      <c r="A8" s="23" t="s">
        <v>3757</v>
      </c>
      <c r="B8" s="23">
        <v>10007</v>
      </c>
      <c r="C8" s="23" t="s">
        <v>3758</v>
      </c>
      <c r="D8" s="24">
        <v>0</v>
      </c>
      <c r="E8" s="24">
        <v>3</v>
      </c>
      <c r="F8" s="24">
        <v>1</v>
      </c>
      <c r="G8" s="24">
        <v>3</v>
      </c>
      <c r="H8" s="24">
        <v>0</v>
      </c>
      <c r="I8" s="24">
        <v>0</v>
      </c>
      <c r="J8" s="24">
        <v>0</v>
      </c>
      <c r="K8" s="24">
        <v>0</v>
      </c>
      <c r="L8" s="26">
        <v>0</v>
      </c>
      <c r="M8" s="26">
        <v>2</v>
      </c>
      <c r="N8" s="26">
        <v>1</v>
      </c>
      <c r="O8" s="26">
        <v>2</v>
      </c>
      <c r="P8" s="26">
        <v>1</v>
      </c>
      <c r="Q8" s="26">
        <v>1</v>
      </c>
      <c r="R8" s="26">
        <v>1</v>
      </c>
      <c r="S8" s="26">
        <v>0</v>
      </c>
      <c r="T8" s="28">
        <v>0</v>
      </c>
      <c r="U8" s="28">
        <v>3</v>
      </c>
      <c r="V8" s="28">
        <v>2</v>
      </c>
      <c r="W8" s="28">
        <v>3</v>
      </c>
      <c r="X8" s="28">
        <v>0</v>
      </c>
      <c r="Y8" s="28">
        <v>2</v>
      </c>
      <c r="Z8" s="28">
        <v>3</v>
      </c>
      <c r="AA8" s="28">
        <v>0</v>
      </c>
      <c r="AB8" s="64">
        <f t="shared" si="1"/>
        <v>0</v>
      </c>
      <c r="AC8" s="64">
        <f t="shared" si="2"/>
        <v>2.6666666666666665</v>
      </c>
      <c r="AD8" s="64">
        <f t="shared" si="3"/>
        <v>1.3333333333333333</v>
      </c>
      <c r="AE8" s="64">
        <f t="shared" si="4"/>
        <v>2.6666666666666665</v>
      </c>
      <c r="AF8" s="64">
        <f t="shared" si="5"/>
        <v>0.33333333333333331</v>
      </c>
      <c r="AG8" s="64">
        <f t="shared" si="6"/>
        <v>1</v>
      </c>
      <c r="AH8" s="64">
        <f t="shared" si="7"/>
        <v>1.3333333333333333</v>
      </c>
      <c r="AI8" s="64">
        <f t="shared" si="8"/>
        <v>0</v>
      </c>
    </row>
    <row r="9" spans="1:35">
      <c r="A9" s="23" t="s">
        <v>3759</v>
      </c>
      <c r="B9" s="23">
        <v>10008</v>
      </c>
      <c r="C9" s="23" t="s">
        <v>3760</v>
      </c>
      <c r="D9" s="24">
        <v>2</v>
      </c>
      <c r="E9" s="24">
        <v>3</v>
      </c>
      <c r="F9" s="24">
        <v>3</v>
      </c>
      <c r="G9" s="24">
        <v>3</v>
      </c>
      <c r="H9" s="24">
        <v>0</v>
      </c>
      <c r="I9" s="24">
        <v>3</v>
      </c>
      <c r="J9" s="24">
        <v>0</v>
      </c>
      <c r="K9" s="24">
        <v>0</v>
      </c>
      <c r="L9" s="26">
        <v>1</v>
      </c>
      <c r="M9" s="26">
        <v>3</v>
      </c>
      <c r="N9" s="26">
        <v>1</v>
      </c>
      <c r="O9" s="26">
        <v>2</v>
      </c>
      <c r="P9" s="26">
        <v>2</v>
      </c>
      <c r="Q9" s="26">
        <v>2</v>
      </c>
      <c r="R9" s="26">
        <v>0</v>
      </c>
      <c r="S9" s="26">
        <v>3</v>
      </c>
      <c r="T9" s="28">
        <v>2</v>
      </c>
      <c r="U9" s="28">
        <v>3</v>
      </c>
      <c r="V9" s="28">
        <v>1</v>
      </c>
      <c r="W9" s="28">
        <v>3</v>
      </c>
      <c r="X9" s="28">
        <v>0</v>
      </c>
      <c r="Y9" s="28">
        <v>3</v>
      </c>
      <c r="Z9" s="28">
        <v>1</v>
      </c>
      <c r="AA9" s="28">
        <v>0</v>
      </c>
      <c r="AB9" s="64">
        <f t="shared" si="1"/>
        <v>1.6666666666666667</v>
      </c>
      <c r="AC9" s="64">
        <f t="shared" si="2"/>
        <v>3</v>
      </c>
      <c r="AD9" s="64">
        <f t="shared" si="3"/>
        <v>1.6666666666666667</v>
      </c>
      <c r="AE9" s="64">
        <f t="shared" si="4"/>
        <v>2.6666666666666665</v>
      </c>
      <c r="AF9" s="64">
        <f t="shared" si="5"/>
        <v>0.66666666666666663</v>
      </c>
      <c r="AG9" s="64">
        <f t="shared" si="6"/>
        <v>2.6666666666666665</v>
      </c>
      <c r="AH9" s="64">
        <f t="shared" si="7"/>
        <v>0.33333333333333331</v>
      </c>
      <c r="AI9" s="64">
        <f t="shared" si="8"/>
        <v>1</v>
      </c>
    </row>
    <row r="10" spans="1:35">
      <c r="A10" s="23" t="s">
        <v>3761</v>
      </c>
      <c r="B10" s="23">
        <v>10009</v>
      </c>
      <c r="C10" s="23" t="s">
        <v>3762</v>
      </c>
      <c r="D10" s="24">
        <v>3</v>
      </c>
      <c r="E10" s="24">
        <v>3</v>
      </c>
      <c r="F10" s="24">
        <v>1</v>
      </c>
      <c r="G10" s="24">
        <v>1</v>
      </c>
      <c r="H10" s="24">
        <v>3</v>
      </c>
      <c r="I10" s="24">
        <v>2</v>
      </c>
      <c r="J10" s="24">
        <v>3</v>
      </c>
      <c r="K10" s="24">
        <v>0</v>
      </c>
      <c r="L10" s="26">
        <v>2</v>
      </c>
      <c r="M10" s="26">
        <v>1</v>
      </c>
      <c r="N10" s="26">
        <v>0</v>
      </c>
      <c r="O10" s="26">
        <v>2</v>
      </c>
      <c r="P10" s="26">
        <v>3</v>
      </c>
      <c r="Q10" s="26">
        <v>1</v>
      </c>
      <c r="R10" s="26">
        <v>1</v>
      </c>
      <c r="S10" s="26">
        <v>0</v>
      </c>
      <c r="T10" s="28">
        <v>2</v>
      </c>
      <c r="U10" s="28">
        <v>3</v>
      </c>
      <c r="V10" s="28">
        <v>1</v>
      </c>
      <c r="W10" s="28">
        <v>3</v>
      </c>
      <c r="X10" s="28">
        <v>3</v>
      </c>
      <c r="Y10" s="28">
        <v>2</v>
      </c>
      <c r="Z10" s="28">
        <v>3</v>
      </c>
      <c r="AA10" s="28">
        <v>0</v>
      </c>
      <c r="AB10" s="64">
        <f t="shared" si="1"/>
        <v>2.3333333333333335</v>
      </c>
      <c r="AC10" s="64">
        <f t="shared" si="2"/>
        <v>2.3333333333333335</v>
      </c>
      <c r="AD10" s="64">
        <f t="shared" si="3"/>
        <v>0.66666666666666663</v>
      </c>
      <c r="AE10" s="64">
        <f t="shared" si="4"/>
        <v>2</v>
      </c>
      <c r="AF10" s="64">
        <f t="shared" si="5"/>
        <v>3</v>
      </c>
      <c r="AG10" s="64">
        <f t="shared" si="6"/>
        <v>1.6666666666666667</v>
      </c>
      <c r="AH10" s="64">
        <f t="shared" si="7"/>
        <v>2.3333333333333335</v>
      </c>
      <c r="AI10" s="64">
        <f t="shared" si="8"/>
        <v>0</v>
      </c>
    </row>
    <row r="11" spans="1:35">
      <c r="A11" s="23" t="s">
        <v>3763</v>
      </c>
      <c r="B11" s="23">
        <v>10010</v>
      </c>
      <c r="C11" s="23" t="s">
        <v>3764</v>
      </c>
      <c r="D11" s="24">
        <v>3</v>
      </c>
      <c r="E11" s="24">
        <v>3</v>
      </c>
      <c r="F11" s="24">
        <v>2</v>
      </c>
      <c r="G11" s="24">
        <v>3</v>
      </c>
      <c r="H11" s="24">
        <v>3</v>
      </c>
      <c r="I11" s="24">
        <v>3</v>
      </c>
      <c r="J11" s="24">
        <v>3</v>
      </c>
      <c r="K11" s="24">
        <v>0</v>
      </c>
      <c r="L11" s="26">
        <v>2</v>
      </c>
      <c r="M11" s="26">
        <v>2</v>
      </c>
      <c r="N11" s="26">
        <v>1</v>
      </c>
      <c r="O11" s="26">
        <v>3</v>
      </c>
      <c r="P11" s="26">
        <v>3</v>
      </c>
      <c r="Q11" s="26">
        <v>2</v>
      </c>
      <c r="R11" s="26">
        <v>3</v>
      </c>
      <c r="S11" s="26">
        <v>0</v>
      </c>
      <c r="T11" s="28">
        <v>3</v>
      </c>
      <c r="U11" s="28">
        <v>3</v>
      </c>
      <c r="V11" s="28">
        <v>2</v>
      </c>
      <c r="W11" s="28">
        <v>3</v>
      </c>
      <c r="X11" s="28">
        <v>3</v>
      </c>
      <c r="Y11" s="28">
        <v>3</v>
      </c>
      <c r="Z11" s="28">
        <v>3</v>
      </c>
      <c r="AA11" s="28">
        <v>0</v>
      </c>
      <c r="AB11" s="64">
        <f t="shared" si="1"/>
        <v>2.6666666666666665</v>
      </c>
      <c r="AC11" s="64">
        <f t="shared" si="2"/>
        <v>2.6666666666666665</v>
      </c>
      <c r="AD11" s="64">
        <f t="shared" si="3"/>
        <v>1.6666666666666667</v>
      </c>
      <c r="AE11" s="64">
        <f t="shared" si="4"/>
        <v>3</v>
      </c>
      <c r="AF11" s="64">
        <f t="shared" si="5"/>
        <v>3</v>
      </c>
      <c r="AG11" s="64">
        <f t="shared" si="6"/>
        <v>2.6666666666666665</v>
      </c>
      <c r="AH11" s="64">
        <f t="shared" si="7"/>
        <v>3</v>
      </c>
      <c r="AI11" s="64">
        <f t="shared" si="8"/>
        <v>0</v>
      </c>
    </row>
    <row r="12" spans="1:35">
      <c r="A12" s="23" t="s">
        <v>3765</v>
      </c>
      <c r="B12" s="23">
        <v>10011</v>
      </c>
      <c r="C12" s="23" t="s">
        <v>3766</v>
      </c>
      <c r="D12" s="24">
        <v>0</v>
      </c>
      <c r="E12" s="24">
        <v>3</v>
      </c>
      <c r="F12" s="24">
        <v>0</v>
      </c>
      <c r="G12" s="24">
        <v>3</v>
      </c>
      <c r="H12" s="24">
        <v>0</v>
      </c>
      <c r="I12" s="24">
        <v>3</v>
      </c>
      <c r="J12" s="24">
        <v>3</v>
      </c>
      <c r="K12" s="24">
        <v>0</v>
      </c>
      <c r="L12" s="26">
        <v>2</v>
      </c>
      <c r="M12" s="26">
        <v>3</v>
      </c>
      <c r="N12" s="26">
        <v>1</v>
      </c>
      <c r="O12" s="26">
        <v>3</v>
      </c>
      <c r="P12" s="26">
        <v>2</v>
      </c>
      <c r="Q12" s="26">
        <v>1</v>
      </c>
      <c r="R12" s="26">
        <v>1</v>
      </c>
      <c r="S12" s="26">
        <v>0</v>
      </c>
      <c r="T12" s="28">
        <v>0</v>
      </c>
      <c r="U12" s="28">
        <v>3</v>
      </c>
      <c r="V12" s="28">
        <v>0</v>
      </c>
      <c r="W12" s="28">
        <v>3</v>
      </c>
      <c r="X12" s="28">
        <v>3</v>
      </c>
      <c r="Y12" s="28">
        <v>3</v>
      </c>
      <c r="Z12" s="28">
        <v>2</v>
      </c>
      <c r="AA12" s="28">
        <v>0</v>
      </c>
      <c r="AB12" s="64">
        <f t="shared" si="1"/>
        <v>0.66666666666666663</v>
      </c>
      <c r="AC12" s="64">
        <f t="shared" si="2"/>
        <v>3</v>
      </c>
      <c r="AD12" s="64">
        <f t="shared" si="3"/>
        <v>0.33333333333333331</v>
      </c>
      <c r="AE12" s="64">
        <f t="shared" si="4"/>
        <v>3</v>
      </c>
      <c r="AF12" s="64">
        <f t="shared" si="5"/>
        <v>1.6666666666666667</v>
      </c>
      <c r="AG12" s="64">
        <f t="shared" si="6"/>
        <v>2.3333333333333335</v>
      </c>
      <c r="AH12" s="64">
        <f t="shared" si="7"/>
        <v>2</v>
      </c>
      <c r="AI12" s="64">
        <f t="shared" si="8"/>
        <v>0</v>
      </c>
    </row>
    <row r="13" spans="1:35">
      <c r="A13" s="23" t="s">
        <v>3767</v>
      </c>
      <c r="B13" s="23">
        <v>10012</v>
      </c>
      <c r="C13" s="23" t="s">
        <v>3768</v>
      </c>
      <c r="D13" s="24">
        <v>3</v>
      </c>
      <c r="E13" s="24">
        <v>3</v>
      </c>
      <c r="F13" s="24">
        <v>0</v>
      </c>
      <c r="G13" s="24">
        <v>3</v>
      </c>
      <c r="H13" s="24">
        <v>3</v>
      </c>
      <c r="I13" s="24">
        <v>3</v>
      </c>
      <c r="J13" s="24">
        <v>3</v>
      </c>
      <c r="K13" s="24">
        <v>0</v>
      </c>
      <c r="L13" s="26">
        <v>3</v>
      </c>
      <c r="M13" s="26">
        <v>3</v>
      </c>
      <c r="N13" s="26">
        <v>0</v>
      </c>
      <c r="O13" s="26">
        <v>3</v>
      </c>
      <c r="P13" s="26">
        <v>3</v>
      </c>
      <c r="Q13" s="26">
        <v>3</v>
      </c>
      <c r="R13" s="26">
        <v>3</v>
      </c>
      <c r="S13" s="26">
        <v>2</v>
      </c>
      <c r="T13" s="28">
        <v>3</v>
      </c>
      <c r="U13" s="28">
        <v>3</v>
      </c>
      <c r="V13" s="28">
        <v>0</v>
      </c>
      <c r="W13" s="28">
        <v>3</v>
      </c>
      <c r="X13" s="28">
        <v>3</v>
      </c>
      <c r="Y13" s="28">
        <v>3</v>
      </c>
      <c r="Z13" s="28">
        <v>3</v>
      </c>
      <c r="AA13" s="28">
        <v>0</v>
      </c>
      <c r="AB13" s="64">
        <f t="shared" si="1"/>
        <v>3</v>
      </c>
      <c r="AC13" s="64">
        <f t="shared" si="2"/>
        <v>3</v>
      </c>
      <c r="AD13" s="64">
        <f t="shared" si="3"/>
        <v>0</v>
      </c>
      <c r="AE13" s="64">
        <f t="shared" si="4"/>
        <v>3</v>
      </c>
      <c r="AF13" s="64">
        <f t="shared" si="5"/>
        <v>3</v>
      </c>
      <c r="AG13" s="64">
        <f t="shared" si="6"/>
        <v>3</v>
      </c>
      <c r="AH13" s="64">
        <f t="shared" si="7"/>
        <v>3</v>
      </c>
      <c r="AI13" s="64">
        <f t="shared" si="8"/>
        <v>0.66666666666666663</v>
      </c>
    </row>
    <row r="14" spans="1:35">
      <c r="A14" s="23" t="s">
        <v>3769</v>
      </c>
      <c r="B14" s="23">
        <v>10013</v>
      </c>
      <c r="C14" s="23" t="s">
        <v>3770</v>
      </c>
      <c r="D14" s="24">
        <v>3</v>
      </c>
      <c r="E14" s="24">
        <v>3</v>
      </c>
      <c r="F14" s="24">
        <v>2</v>
      </c>
      <c r="G14" s="24">
        <v>3</v>
      </c>
      <c r="H14" s="24">
        <v>0</v>
      </c>
      <c r="I14" s="24">
        <v>3</v>
      </c>
      <c r="J14" s="24">
        <v>0</v>
      </c>
      <c r="K14" s="24">
        <v>0</v>
      </c>
      <c r="L14" s="26">
        <v>3</v>
      </c>
      <c r="M14" s="26">
        <v>2</v>
      </c>
      <c r="N14" s="26">
        <v>1</v>
      </c>
      <c r="O14" s="26">
        <v>2</v>
      </c>
      <c r="P14" s="26">
        <v>2</v>
      </c>
      <c r="Q14" s="26">
        <v>2</v>
      </c>
      <c r="R14" s="26">
        <v>2</v>
      </c>
      <c r="S14" s="26">
        <v>0</v>
      </c>
      <c r="T14" s="28">
        <v>3</v>
      </c>
      <c r="U14" s="28">
        <v>3</v>
      </c>
      <c r="V14" s="28">
        <v>2</v>
      </c>
      <c r="W14" s="28">
        <v>3</v>
      </c>
      <c r="X14" s="28">
        <v>3</v>
      </c>
      <c r="Y14" s="28">
        <v>3</v>
      </c>
      <c r="Z14" s="28">
        <v>1</v>
      </c>
      <c r="AA14" s="28">
        <v>0</v>
      </c>
      <c r="AB14" s="64">
        <f t="shared" si="1"/>
        <v>3</v>
      </c>
      <c r="AC14" s="64">
        <f t="shared" si="2"/>
        <v>2.6666666666666665</v>
      </c>
      <c r="AD14" s="64">
        <f t="shared" si="3"/>
        <v>1.6666666666666667</v>
      </c>
      <c r="AE14" s="64">
        <f t="shared" si="4"/>
        <v>2.6666666666666665</v>
      </c>
      <c r="AF14" s="64">
        <f t="shared" si="5"/>
        <v>1.6666666666666667</v>
      </c>
      <c r="AG14" s="64">
        <f t="shared" si="6"/>
        <v>2.6666666666666665</v>
      </c>
      <c r="AH14" s="64">
        <f t="shared" si="7"/>
        <v>1</v>
      </c>
      <c r="AI14" s="64">
        <f t="shared" si="8"/>
        <v>0</v>
      </c>
    </row>
    <row r="15" spans="1:35">
      <c r="A15" s="23" t="s">
        <v>3771</v>
      </c>
      <c r="B15" s="23">
        <v>10014</v>
      </c>
      <c r="C15" s="23" t="s">
        <v>3772</v>
      </c>
      <c r="D15" s="24">
        <v>3</v>
      </c>
      <c r="E15" s="24">
        <v>3</v>
      </c>
      <c r="F15" s="24">
        <v>0</v>
      </c>
      <c r="G15" s="24">
        <v>3</v>
      </c>
      <c r="H15" s="24">
        <v>0</v>
      </c>
      <c r="I15" s="24">
        <v>3</v>
      </c>
      <c r="J15" s="24">
        <v>3</v>
      </c>
      <c r="K15" s="24">
        <v>0</v>
      </c>
      <c r="L15" s="26">
        <v>3</v>
      </c>
      <c r="M15" s="26">
        <v>2</v>
      </c>
      <c r="N15" s="26">
        <v>0</v>
      </c>
      <c r="O15" s="26">
        <v>2</v>
      </c>
      <c r="P15" s="26">
        <v>1</v>
      </c>
      <c r="Q15" s="26">
        <v>1</v>
      </c>
      <c r="R15" s="26">
        <v>2</v>
      </c>
      <c r="S15" s="26">
        <v>0</v>
      </c>
      <c r="T15" s="28">
        <v>3</v>
      </c>
      <c r="U15" s="28">
        <v>3</v>
      </c>
      <c r="V15" s="28">
        <v>0</v>
      </c>
      <c r="W15" s="28">
        <v>3</v>
      </c>
      <c r="X15" s="28">
        <v>0</v>
      </c>
      <c r="Y15" s="28">
        <v>3</v>
      </c>
      <c r="Z15" s="28">
        <v>3</v>
      </c>
      <c r="AA15" s="28">
        <v>0</v>
      </c>
      <c r="AB15" s="64">
        <f t="shared" si="1"/>
        <v>3</v>
      </c>
      <c r="AC15" s="64">
        <f t="shared" si="2"/>
        <v>2.6666666666666665</v>
      </c>
      <c r="AD15" s="64">
        <f t="shared" si="3"/>
        <v>0</v>
      </c>
      <c r="AE15" s="64">
        <f t="shared" si="4"/>
        <v>2.6666666666666665</v>
      </c>
      <c r="AF15" s="64">
        <f t="shared" si="5"/>
        <v>0.33333333333333331</v>
      </c>
      <c r="AG15" s="64">
        <f t="shared" si="6"/>
        <v>2.3333333333333335</v>
      </c>
      <c r="AH15" s="64">
        <f t="shared" si="7"/>
        <v>2.6666666666666665</v>
      </c>
      <c r="AI15" s="64">
        <f t="shared" si="8"/>
        <v>0</v>
      </c>
    </row>
    <row r="16" spans="1:35">
      <c r="A16" s="23" t="s">
        <v>3773</v>
      </c>
      <c r="B16" s="23">
        <v>10015</v>
      </c>
      <c r="C16" s="23" t="s">
        <v>3774</v>
      </c>
      <c r="D16" s="24">
        <v>3</v>
      </c>
      <c r="E16" s="24">
        <v>3</v>
      </c>
      <c r="F16" s="24">
        <v>1</v>
      </c>
      <c r="G16" s="24">
        <v>1</v>
      </c>
      <c r="H16" s="24">
        <v>2</v>
      </c>
      <c r="I16" s="24">
        <v>3</v>
      </c>
      <c r="J16" s="24">
        <v>3</v>
      </c>
      <c r="K16" s="24">
        <v>0</v>
      </c>
      <c r="L16" s="26">
        <v>3</v>
      </c>
      <c r="M16" s="26">
        <v>3</v>
      </c>
      <c r="N16" s="26">
        <v>0</v>
      </c>
      <c r="O16" s="26">
        <v>2</v>
      </c>
      <c r="P16" s="26">
        <v>1</v>
      </c>
      <c r="Q16" s="26">
        <v>0</v>
      </c>
      <c r="R16" s="26">
        <v>2</v>
      </c>
      <c r="S16" s="26">
        <v>0</v>
      </c>
      <c r="T16" s="28">
        <v>3</v>
      </c>
      <c r="U16" s="28">
        <v>3</v>
      </c>
      <c r="V16" s="28">
        <v>2</v>
      </c>
      <c r="W16" s="28">
        <v>3</v>
      </c>
      <c r="X16" s="28">
        <v>0</v>
      </c>
      <c r="Y16" s="28">
        <v>2</v>
      </c>
      <c r="Z16" s="28">
        <v>3</v>
      </c>
      <c r="AA16" s="28">
        <v>0</v>
      </c>
      <c r="AB16" s="64">
        <f t="shared" si="1"/>
        <v>3</v>
      </c>
      <c r="AC16" s="64">
        <f t="shared" si="2"/>
        <v>3</v>
      </c>
      <c r="AD16" s="64">
        <f t="shared" si="3"/>
        <v>1</v>
      </c>
      <c r="AE16" s="64">
        <f t="shared" si="4"/>
        <v>2</v>
      </c>
      <c r="AF16" s="64">
        <f t="shared" si="5"/>
        <v>1</v>
      </c>
      <c r="AG16" s="64">
        <f t="shared" si="6"/>
        <v>1.6666666666666667</v>
      </c>
      <c r="AH16" s="64">
        <f t="shared" si="7"/>
        <v>2.6666666666666665</v>
      </c>
      <c r="AI16" s="64">
        <f t="shared" si="8"/>
        <v>0</v>
      </c>
    </row>
    <row r="17" spans="1:35">
      <c r="A17" s="23" t="s">
        <v>3775</v>
      </c>
      <c r="B17" s="23">
        <v>10016</v>
      </c>
      <c r="C17" s="23" t="s">
        <v>3776</v>
      </c>
      <c r="D17" s="24">
        <v>3</v>
      </c>
      <c r="E17" s="24">
        <v>3</v>
      </c>
      <c r="F17" s="24">
        <v>2</v>
      </c>
      <c r="G17" s="24">
        <v>3</v>
      </c>
      <c r="H17" s="24">
        <v>0</v>
      </c>
      <c r="I17" s="24">
        <v>3</v>
      </c>
      <c r="J17" s="24">
        <v>3</v>
      </c>
      <c r="K17" s="24">
        <v>3</v>
      </c>
      <c r="L17" s="26">
        <v>3</v>
      </c>
      <c r="M17" s="26">
        <v>3</v>
      </c>
      <c r="N17" s="26">
        <v>0</v>
      </c>
      <c r="O17" s="26">
        <v>2</v>
      </c>
      <c r="P17" s="26">
        <v>2</v>
      </c>
      <c r="Q17" s="26">
        <v>2</v>
      </c>
      <c r="R17" s="26">
        <v>3</v>
      </c>
      <c r="S17" s="26">
        <v>3</v>
      </c>
      <c r="T17" s="28">
        <v>3</v>
      </c>
      <c r="U17" s="28">
        <v>3</v>
      </c>
      <c r="V17" s="28">
        <v>2</v>
      </c>
      <c r="W17" s="28">
        <v>3</v>
      </c>
      <c r="X17" s="28">
        <v>1</v>
      </c>
      <c r="Y17" s="28">
        <v>3</v>
      </c>
      <c r="Z17" s="28">
        <v>2</v>
      </c>
      <c r="AA17" s="28">
        <v>3</v>
      </c>
      <c r="AB17" s="64">
        <f t="shared" si="1"/>
        <v>3</v>
      </c>
      <c r="AC17" s="64">
        <f t="shared" si="2"/>
        <v>3</v>
      </c>
      <c r="AD17" s="64">
        <f t="shared" si="3"/>
        <v>1.3333333333333333</v>
      </c>
      <c r="AE17" s="64">
        <f t="shared" si="4"/>
        <v>2.6666666666666665</v>
      </c>
      <c r="AF17" s="64">
        <f t="shared" si="5"/>
        <v>1</v>
      </c>
      <c r="AG17" s="64">
        <f t="shared" si="6"/>
        <v>2.6666666666666665</v>
      </c>
      <c r="AH17" s="64">
        <f t="shared" si="7"/>
        <v>2.6666666666666665</v>
      </c>
      <c r="AI17" s="64">
        <f t="shared" si="8"/>
        <v>3</v>
      </c>
    </row>
    <row r="18" spans="1:35">
      <c r="A18" s="23" t="s">
        <v>3777</v>
      </c>
      <c r="B18" s="23">
        <v>10017</v>
      </c>
      <c r="C18" s="23" t="s">
        <v>3778</v>
      </c>
      <c r="D18" s="24">
        <v>2</v>
      </c>
      <c r="E18" s="24">
        <v>3</v>
      </c>
      <c r="F18" s="24">
        <v>0</v>
      </c>
      <c r="G18" s="24">
        <v>0</v>
      </c>
      <c r="H18" s="24">
        <v>0</v>
      </c>
      <c r="I18" s="24">
        <v>2</v>
      </c>
      <c r="J18" s="24">
        <v>0</v>
      </c>
      <c r="K18" s="24">
        <v>0</v>
      </c>
      <c r="L18" s="26">
        <v>0</v>
      </c>
      <c r="M18" s="26">
        <v>2</v>
      </c>
      <c r="N18" s="26">
        <v>0</v>
      </c>
      <c r="O18" s="26">
        <v>1</v>
      </c>
      <c r="P18" s="26">
        <v>2</v>
      </c>
      <c r="Q18" s="26">
        <v>1</v>
      </c>
      <c r="R18" s="26">
        <v>1</v>
      </c>
      <c r="S18" s="26">
        <v>0</v>
      </c>
      <c r="T18" s="28">
        <v>1</v>
      </c>
      <c r="U18" s="28">
        <v>3</v>
      </c>
      <c r="V18" s="28">
        <v>0</v>
      </c>
      <c r="W18" s="28">
        <v>2</v>
      </c>
      <c r="X18" s="28">
        <v>2</v>
      </c>
      <c r="Y18" s="28">
        <v>0</v>
      </c>
      <c r="Z18" s="28">
        <v>1</v>
      </c>
      <c r="AA18" s="28">
        <v>0</v>
      </c>
      <c r="AB18" s="64">
        <f t="shared" si="1"/>
        <v>1</v>
      </c>
      <c r="AC18" s="64">
        <f t="shared" si="2"/>
        <v>2.6666666666666665</v>
      </c>
      <c r="AD18" s="64">
        <f t="shared" si="3"/>
        <v>0</v>
      </c>
      <c r="AE18" s="64">
        <f t="shared" si="4"/>
        <v>1</v>
      </c>
      <c r="AF18" s="64">
        <f t="shared" si="5"/>
        <v>1.3333333333333333</v>
      </c>
      <c r="AG18" s="64">
        <f t="shared" si="6"/>
        <v>1</v>
      </c>
      <c r="AH18" s="64">
        <f t="shared" si="7"/>
        <v>0.66666666666666663</v>
      </c>
      <c r="AI18" s="64">
        <f t="shared" si="8"/>
        <v>0</v>
      </c>
    </row>
    <row r="19" spans="1:35">
      <c r="A19" s="23" t="s">
        <v>3779</v>
      </c>
      <c r="B19" s="23">
        <v>10018</v>
      </c>
      <c r="C19" s="23" t="s">
        <v>3780</v>
      </c>
      <c r="D19" s="24">
        <v>3</v>
      </c>
      <c r="E19" s="24">
        <v>0</v>
      </c>
      <c r="F19" s="24">
        <v>0</v>
      </c>
      <c r="G19" s="24">
        <v>0</v>
      </c>
      <c r="H19" s="24">
        <v>0</v>
      </c>
      <c r="I19" s="24">
        <v>0</v>
      </c>
      <c r="J19" s="24">
        <v>0</v>
      </c>
      <c r="K19" s="24">
        <v>0</v>
      </c>
      <c r="L19" s="26">
        <v>3</v>
      </c>
      <c r="M19" s="26">
        <v>1</v>
      </c>
      <c r="N19" s="26">
        <v>0</v>
      </c>
      <c r="O19" s="26">
        <v>2</v>
      </c>
      <c r="P19" s="26">
        <v>0</v>
      </c>
      <c r="Q19" s="26">
        <v>0</v>
      </c>
      <c r="R19" s="26">
        <v>0</v>
      </c>
      <c r="S19" s="26">
        <v>0</v>
      </c>
      <c r="T19" s="28">
        <v>3</v>
      </c>
      <c r="U19" s="28">
        <v>0</v>
      </c>
      <c r="V19" s="28">
        <v>0</v>
      </c>
      <c r="W19" s="28">
        <v>3</v>
      </c>
      <c r="X19" s="28">
        <v>0</v>
      </c>
      <c r="Y19" s="28">
        <v>0</v>
      </c>
      <c r="Z19" s="28">
        <v>0</v>
      </c>
      <c r="AA19" s="28">
        <v>0</v>
      </c>
      <c r="AB19" s="64">
        <f t="shared" si="1"/>
        <v>3</v>
      </c>
      <c r="AC19" s="64">
        <f t="shared" si="2"/>
        <v>0.33333333333333331</v>
      </c>
      <c r="AD19" s="64">
        <f t="shared" si="3"/>
        <v>0</v>
      </c>
      <c r="AE19" s="64">
        <f t="shared" si="4"/>
        <v>1.6666666666666667</v>
      </c>
      <c r="AF19" s="64">
        <f t="shared" si="5"/>
        <v>0</v>
      </c>
      <c r="AG19" s="64">
        <f t="shared" si="6"/>
        <v>0</v>
      </c>
      <c r="AH19" s="64">
        <f t="shared" si="7"/>
        <v>0</v>
      </c>
      <c r="AI19" s="64">
        <f t="shared" si="8"/>
        <v>0</v>
      </c>
    </row>
    <row r="20" spans="1:35">
      <c r="A20" s="23" t="s">
        <v>3781</v>
      </c>
      <c r="B20" s="23">
        <v>10019</v>
      </c>
      <c r="C20" s="23" t="s">
        <v>3782</v>
      </c>
      <c r="D20" s="24">
        <v>3</v>
      </c>
      <c r="E20" s="24">
        <v>3</v>
      </c>
      <c r="F20" s="24">
        <v>2</v>
      </c>
      <c r="G20" s="24">
        <v>3</v>
      </c>
      <c r="H20" s="24">
        <v>3</v>
      </c>
      <c r="I20" s="24">
        <v>3</v>
      </c>
      <c r="J20" s="24">
        <v>3</v>
      </c>
      <c r="K20" s="24">
        <v>0</v>
      </c>
      <c r="L20" s="26">
        <v>3</v>
      </c>
      <c r="M20" s="26">
        <v>2</v>
      </c>
      <c r="N20" s="26">
        <v>1</v>
      </c>
      <c r="O20" s="26">
        <v>2</v>
      </c>
      <c r="P20" s="26">
        <v>2</v>
      </c>
      <c r="Q20" s="26">
        <v>2</v>
      </c>
      <c r="R20" s="26">
        <v>2</v>
      </c>
      <c r="S20" s="26">
        <v>0</v>
      </c>
      <c r="T20" s="28">
        <v>3</v>
      </c>
      <c r="U20" s="28">
        <v>3</v>
      </c>
      <c r="V20" s="28">
        <v>2</v>
      </c>
      <c r="W20" s="28">
        <v>3</v>
      </c>
      <c r="X20" s="28">
        <v>3</v>
      </c>
      <c r="Y20" s="28">
        <v>3</v>
      </c>
      <c r="Z20" s="28">
        <v>3</v>
      </c>
      <c r="AA20" s="28">
        <v>0</v>
      </c>
      <c r="AB20" s="64">
        <f t="shared" si="1"/>
        <v>3</v>
      </c>
      <c r="AC20" s="64">
        <f t="shared" si="2"/>
        <v>2.6666666666666665</v>
      </c>
      <c r="AD20" s="64">
        <f t="shared" si="3"/>
        <v>1.6666666666666667</v>
      </c>
      <c r="AE20" s="64">
        <f t="shared" si="4"/>
        <v>2.6666666666666665</v>
      </c>
      <c r="AF20" s="64">
        <f t="shared" si="5"/>
        <v>2.6666666666666665</v>
      </c>
      <c r="AG20" s="64">
        <f t="shared" si="6"/>
        <v>2.6666666666666665</v>
      </c>
      <c r="AH20" s="64">
        <f t="shared" si="7"/>
        <v>2.6666666666666665</v>
      </c>
      <c r="AI20" s="64">
        <f t="shared" si="8"/>
        <v>0</v>
      </c>
    </row>
    <row r="21" spans="1:35">
      <c r="A21" s="23" t="s">
        <v>3783</v>
      </c>
      <c r="B21" s="23">
        <v>10020</v>
      </c>
      <c r="C21" s="23" t="s">
        <v>3784</v>
      </c>
      <c r="D21" s="24">
        <v>3</v>
      </c>
      <c r="E21" s="24">
        <v>3</v>
      </c>
      <c r="F21" s="24">
        <v>2</v>
      </c>
      <c r="G21" s="24">
        <v>3</v>
      </c>
      <c r="H21" s="24">
        <v>3</v>
      </c>
      <c r="I21" s="24">
        <v>1</v>
      </c>
      <c r="J21" s="24">
        <v>3</v>
      </c>
      <c r="K21" s="24">
        <v>3</v>
      </c>
      <c r="L21" s="26">
        <v>2</v>
      </c>
      <c r="M21" s="26">
        <v>2</v>
      </c>
      <c r="N21" s="26">
        <v>1</v>
      </c>
      <c r="O21" s="26">
        <v>3</v>
      </c>
      <c r="P21" s="26">
        <v>2</v>
      </c>
      <c r="Q21" s="26">
        <v>2</v>
      </c>
      <c r="R21" s="26">
        <v>2</v>
      </c>
      <c r="S21" s="26">
        <v>3</v>
      </c>
      <c r="T21" s="28">
        <v>3</v>
      </c>
      <c r="U21" s="28">
        <v>3</v>
      </c>
      <c r="V21" s="28">
        <v>2</v>
      </c>
      <c r="W21" s="28">
        <v>3</v>
      </c>
      <c r="X21" s="28">
        <v>3</v>
      </c>
      <c r="Y21" s="28">
        <v>3</v>
      </c>
      <c r="Z21" s="28">
        <v>3</v>
      </c>
      <c r="AA21" s="28">
        <v>3</v>
      </c>
      <c r="AB21" s="64">
        <f t="shared" si="1"/>
        <v>2.6666666666666665</v>
      </c>
      <c r="AC21" s="64">
        <f t="shared" si="2"/>
        <v>2.6666666666666665</v>
      </c>
      <c r="AD21" s="64">
        <f t="shared" si="3"/>
        <v>1.6666666666666667</v>
      </c>
      <c r="AE21" s="64">
        <f t="shared" si="4"/>
        <v>3</v>
      </c>
      <c r="AF21" s="64">
        <f t="shared" si="5"/>
        <v>2.6666666666666665</v>
      </c>
      <c r="AG21" s="64">
        <f t="shared" si="6"/>
        <v>2</v>
      </c>
      <c r="AH21" s="64">
        <f t="shared" si="7"/>
        <v>2.6666666666666665</v>
      </c>
      <c r="AI21" s="64">
        <f t="shared" si="8"/>
        <v>3</v>
      </c>
    </row>
    <row r="22" spans="1:35">
      <c r="A22" s="23" t="s">
        <v>3785</v>
      </c>
      <c r="B22" s="23">
        <v>10021</v>
      </c>
      <c r="C22" s="23" t="s">
        <v>3786</v>
      </c>
      <c r="D22" s="24">
        <v>3</v>
      </c>
      <c r="E22" s="24">
        <v>3</v>
      </c>
      <c r="F22" s="24">
        <v>0</v>
      </c>
      <c r="G22" s="24">
        <v>3</v>
      </c>
      <c r="H22" s="24">
        <v>3</v>
      </c>
      <c r="I22" s="24">
        <v>3</v>
      </c>
      <c r="J22" s="24">
        <v>3</v>
      </c>
      <c r="K22" s="24">
        <v>0</v>
      </c>
      <c r="L22" s="26">
        <v>3</v>
      </c>
      <c r="M22" s="26">
        <v>2</v>
      </c>
      <c r="N22" s="26"/>
      <c r="O22" s="26">
        <v>3</v>
      </c>
      <c r="P22" s="26">
        <v>3</v>
      </c>
      <c r="Q22" s="26">
        <v>1</v>
      </c>
      <c r="R22" s="26">
        <v>2</v>
      </c>
      <c r="S22" s="26">
        <v>0</v>
      </c>
      <c r="T22" s="28">
        <v>0</v>
      </c>
      <c r="U22" s="28">
        <v>3</v>
      </c>
      <c r="V22" s="28">
        <v>0</v>
      </c>
      <c r="W22" s="28">
        <v>3</v>
      </c>
      <c r="X22" s="28">
        <v>2</v>
      </c>
      <c r="Y22" s="28">
        <v>1</v>
      </c>
      <c r="Z22" s="28">
        <v>3</v>
      </c>
      <c r="AA22" s="28">
        <v>0</v>
      </c>
      <c r="AB22" s="64">
        <f t="shared" si="1"/>
        <v>2</v>
      </c>
      <c r="AC22" s="64">
        <f t="shared" si="2"/>
        <v>2.6666666666666665</v>
      </c>
      <c r="AD22" s="64">
        <f t="shared" si="3"/>
        <v>0</v>
      </c>
      <c r="AE22" s="64">
        <f t="shared" si="4"/>
        <v>3</v>
      </c>
      <c r="AF22" s="64">
        <f t="shared" si="5"/>
        <v>2.6666666666666665</v>
      </c>
      <c r="AG22" s="64">
        <f t="shared" si="6"/>
        <v>1.6666666666666667</v>
      </c>
      <c r="AH22" s="64">
        <f t="shared" si="7"/>
        <v>2.6666666666666665</v>
      </c>
      <c r="AI22" s="64">
        <f t="shared" si="8"/>
        <v>0</v>
      </c>
    </row>
    <row r="23" spans="1:35">
      <c r="A23" s="23" t="s">
        <v>3787</v>
      </c>
      <c r="B23" s="23">
        <v>10022</v>
      </c>
      <c r="C23" s="23" t="s">
        <v>3788</v>
      </c>
      <c r="D23" s="24">
        <v>3</v>
      </c>
      <c r="E23" s="24">
        <v>3</v>
      </c>
      <c r="F23" s="24">
        <v>2</v>
      </c>
      <c r="G23" s="24">
        <v>0</v>
      </c>
      <c r="H23" s="24">
        <v>3</v>
      </c>
      <c r="I23" s="24">
        <v>3</v>
      </c>
      <c r="J23" s="24">
        <v>3</v>
      </c>
      <c r="K23" s="24">
        <v>0</v>
      </c>
      <c r="L23" s="26">
        <v>3</v>
      </c>
      <c r="M23" s="26">
        <v>2</v>
      </c>
      <c r="N23" s="26">
        <v>2</v>
      </c>
      <c r="O23" s="26">
        <v>2</v>
      </c>
      <c r="P23" s="26">
        <v>3</v>
      </c>
      <c r="Q23" s="26">
        <v>2</v>
      </c>
      <c r="R23" s="26">
        <v>2</v>
      </c>
      <c r="S23" s="26">
        <v>0</v>
      </c>
      <c r="T23" s="28">
        <v>3</v>
      </c>
      <c r="U23" s="28">
        <v>3</v>
      </c>
      <c r="V23" s="28">
        <v>2</v>
      </c>
      <c r="W23" s="28">
        <v>3</v>
      </c>
      <c r="X23" s="28">
        <v>3</v>
      </c>
      <c r="Y23" s="28">
        <v>3</v>
      </c>
      <c r="Z23" s="28">
        <v>3</v>
      </c>
      <c r="AA23" s="28">
        <v>0</v>
      </c>
      <c r="AB23" s="64">
        <f t="shared" si="1"/>
        <v>3</v>
      </c>
      <c r="AC23" s="64">
        <f t="shared" si="2"/>
        <v>2.6666666666666665</v>
      </c>
      <c r="AD23" s="64">
        <f t="shared" si="3"/>
        <v>2</v>
      </c>
      <c r="AE23" s="64">
        <f t="shared" si="4"/>
        <v>1.6666666666666667</v>
      </c>
      <c r="AF23" s="64">
        <f t="shared" si="5"/>
        <v>3</v>
      </c>
      <c r="AG23" s="64">
        <f t="shared" si="6"/>
        <v>2.6666666666666665</v>
      </c>
      <c r="AH23" s="64">
        <f t="shared" si="7"/>
        <v>2.6666666666666665</v>
      </c>
      <c r="AI23" s="64">
        <f t="shared" si="8"/>
        <v>0</v>
      </c>
    </row>
    <row r="24" spans="1:35">
      <c r="A24" s="23" t="s">
        <v>3789</v>
      </c>
      <c r="B24" s="23">
        <v>10023</v>
      </c>
      <c r="C24" s="23" t="s">
        <v>3790</v>
      </c>
      <c r="D24" s="24">
        <v>2</v>
      </c>
      <c r="E24" s="24">
        <v>3</v>
      </c>
      <c r="F24" s="24">
        <v>1</v>
      </c>
      <c r="G24" s="24">
        <v>3</v>
      </c>
      <c r="H24" s="24">
        <v>3</v>
      </c>
      <c r="I24" s="24">
        <v>3</v>
      </c>
      <c r="J24" s="24">
        <v>3</v>
      </c>
      <c r="K24" s="24">
        <v>0</v>
      </c>
      <c r="L24" s="26">
        <v>2</v>
      </c>
      <c r="M24" s="26">
        <v>3</v>
      </c>
      <c r="N24" s="26">
        <v>1</v>
      </c>
      <c r="O24" s="26">
        <v>2</v>
      </c>
      <c r="P24" s="26">
        <v>2</v>
      </c>
      <c r="Q24" s="26">
        <v>2</v>
      </c>
      <c r="R24" s="26">
        <v>2</v>
      </c>
      <c r="S24" s="26">
        <v>0</v>
      </c>
      <c r="T24" s="28">
        <v>1</v>
      </c>
      <c r="U24" s="28">
        <v>3</v>
      </c>
      <c r="V24" s="28">
        <v>2</v>
      </c>
      <c r="W24" s="28">
        <v>3</v>
      </c>
      <c r="X24" s="28">
        <v>3</v>
      </c>
      <c r="Y24" s="28">
        <v>3</v>
      </c>
      <c r="Z24" s="28">
        <v>3</v>
      </c>
      <c r="AA24" s="28">
        <v>0</v>
      </c>
      <c r="AB24" s="64">
        <f t="shared" si="1"/>
        <v>1.6666666666666667</v>
      </c>
      <c r="AC24" s="64">
        <f t="shared" si="2"/>
        <v>3</v>
      </c>
      <c r="AD24" s="64">
        <f t="shared" si="3"/>
        <v>1.3333333333333333</v>
      </c>
      <c r="AE24" s="64">
        <f t="shared" si="4"/>
        <v>2.6666666666666665</v>
      </c>
      <c r="AF24" s="64">
        <f t="shared" si="5"/>
        <v>2.6666666666666665</v>
      </c>
      <c r="AG24" s="64">
        <f t="shared" si="6"/>
        <v>2.6666666666666665</v>
      </c>
      <c r="AH24" s="64">
        <f t="shared" si="7"/>
        <v>2.6666666666666665</v>
      </c>
      <c r="AI24" s="64">
        <f t="shared" si="8"/>
        <v>0</v>
      </c>
    </row>
    <row r="25" spans="1:35">
      <c r="A25" s="23" t="s">
        <v>3791</v>
      </c>
      <c r="B25" s="23">
        <v>10024</v>
      </c>
      <c r="C25" s="23" t="s">
        <v>3792</v>
      </c>
      <c r="D25" s="24">
        <v>3</v>
      </c>
      <c r="E25" s="24">
        <v>3</v>
      </c>
      <c r="F25" s="24">
        <v>2</v>
      </c>
      <c r="G25" s="24">
        <v>3</v>
      </c>
      <c r="H25" s="24">
        <v>3</v>
      </c>
      <c r="I25" s="24">
        <v>3</v>
      </c>
      <c r="J25" s="24">
        <v>3</v>
      </c>
      <c r="K25" s="24">
        <v>0</v>
      </c>
      <c r="L25" s="26">
        <v>2</v>
      </c>
      <c r="M25" s="26">
        <v>3</v>
      </c>
      <c r="N25" s="26">
        <v>2</v>
      </c>
      <c r="O25" s="26">
        <v>2</v>
      </c>
      <c r="P25" s="26">
        <v>2</v>
      </c>
      <c r="Q25" s="26">
        <v>2</v>
      </c>
      <c r="R25" s="26">
        <v>2</v>
      </c>
      <c r="S25" s="26">
        <v>1</v>
      </c>
      <c r="T25" s="28">
        <v>0</v>
      </c>
      <c r="U25" s="28">
        <v>3</v>
      </c>
      <c r="V25" s="28">
        <v>2</v>
      </c>
      <c r="W25" s="28">
        <v>3</v>
      </c>
      <c r="X25" s="28">
        <v>0</v>
      </c>
      <c r="Y25" s="28">
        <v>3</v>
      </c>
      <c r="Z25" s="28">
        <v>3</v>
      </c>
      <c r="AA25" s="28">
        <v>0</v>
      </c>
      <c r="AB25" s="64">
        <f t="shared" si="1"/>
        <v>1.6666666666666667</v>
      </c>
      <c r="AC25" s="64">
        <f t="shared" si="2"/>
        <v>3</v>
      </c>
      <c r="AD25" s="64">
        <f t="shared" si="3"/>
        <v>2</v>
      </c>
      <c r="AE25" s="64">
        <f t="shared" si="4"/>
        <v>2.6666666666666665</v>
      </c>
      <c r="AF25" s="64">
        <f t="shared" si="5"/>
        <v>1.6666666666666667</v>
      </c>
      <c r="AG25" s="64">
        <f t="shared" si="6"/>
        <v>2.6666666666666665</v>
      </c>
      <c r="AH25" s="64">
        <f t="shared" si="7"/>
        <v>2.6666666666666665</v>
      </c>
      <c r="AI25" s="64">
        <f t="shared" si="8"/>
        <v>0.33333333333333331</v>
      </c>
    </row>
    <row r="26" spans="1:35">
      <c r="A26" s="23" t="s">
        <v>3793</v>
      </c>
      <c r="B26" s="23">
        <v>10025</v>
      </c>
      <c r="C26" s="23" t="s">
        <v>3794</v>
      </c>
      <c r="D26" s="24">
        <v>0</v>
      </c>
      <c r="E26" s="24">
        <v>3</v>
      </c>
      <c r="F26" s="24">
        <v>2</v>
      </c>
      <c r="G26" s="24">
        <v>3</v>
      </c>
      <c r="H26" s="24">
        <v>0</v>
      </c>
      <c r="I26" s="24">
        <v>3</v>
      </c>
      <c r="J26" s="24">
        <v>1</v>
      </c>
      <c r="K26" s="24">
        <v>0</v>
      </c>
      <c r="L26" s="26">
        <v>0</v>
      </c>
      <c r="M26" s="26">
        <v>2</v>
      </c>
      <c r="N26" s="26">
        <v>2</v>
      </c>
      <c r="O26" s="26">
        <v>2</v>
      </c>
      <c r="P26" s="26">
        <v>1</v>
      </c>
      <c r="Q26" s="26">
        <v>2</v>
      </c>
      <c r="R26" s="26">
        <v>2</v>
      </c>
      <c r="S26" s="26">
        <v>0</v>
      </c>
      <c r="T26" s="28">
        <v>0</v>
      </c>
      <c r="U26" s="28">
        <v>3</v>
      </c>
      <c r="V26" s="28">
        <v>2</v>
      </c>
      <c r="W26" s="28">
        <v>3</v>
      </c>
      <c r="X26" s="28">
        <v>0</v>
      </c>
      <c r="Y26" s="28">
        <v>2</v>
      </c>
      <c r="Z26" s="28">
        <v>1</v>
      </c>
      <c r="AA26" s="28">
        <v>0</v>
      </c>
      <c r="AB26" s="64">
        <f t="shared" si="1"/>
        <v>0</v>
      </c>
      <c r="AC26" s="64">
        <f t="shared" si="2"/>
        <v>2.6666666666666665</v>
      </c>
      <c r="AD26" s="64">
        <f t="shared" si="3"/>
        <v>2</v>
      </c>
      <c r="AE26" s="64">
        <f t="shared" si="4"/>
        <v>2.6666666666666665</v>
      </c>
      <c r="AF26" s="64">
        <f t="shared" si="5"/>
        <v>0.33333333333333331</v>
      </c>
      <c r="AG26" s="64">
        <f t="shared" si="6"/>
        <v>2.3333333333333335</v>
      </c>
      <c r="AH26" s="64">
        <f t="shared" si="7"/>
        <v>1.3333333333333333</v>
      </c>
      <c r="AI26" s="64">
        <f t="shared" si="8"/>
        <v>0</v>
      </c>
    </row>
    <row r="27" spans="1:35">
      <c r="A27" s="23" t="s">
        <v>3795</v>
      </c>
      <c r="B27" s="23">
        <v>10026</v>
      </c>
      <c r="C27" s="23" t="s">
        <v>3796</v>
      </c>
      <c r="D27" s="24">
        <v>3</v>
      </c>
      <c r="E27" s="24">
        <v>0</v>
      </c>
      <c r="F27" s="24">
        <v>2</v>
      </c>
      <c r="G27" s="24">
        <v>1</v>
      </c>
      <c r="H27" s="24">
        <v>0</v>
      </c>
      <c r="I27" s="24">
        <v>3</v>
      </c>
      <c r="J27" s="24">
        <v>3</v>
      </c>
      <c r="K27" s="24">
        <v>0</v>
      </c>
      <c r="L27" s="26">
        <v>3</v>
      </c>
      <c r="M27" s="26">
        <v>0</v>
      </c>
      <c r="N27" s="26">
        <v>2</v>
      </c>
      <c r="O27" s="26">
        <v>2</v>
      </c>
      <c r="P27" s="26">
        <v>2</v>
      </c>
      <c r="Q27" s="26">
        <v>2</v>
      </c>
      <c r="R27" s="26">
        <v>1</v>
      </c>
      <c r="S27" s="26">
        <v>0</v>
      </c>
      <c r="T27" s="28">
        <v>3</v>
      </c>
      <c r="U27" s="28">
        <v>0</v>
      </c>
      <c r="V27" s="28">
        <v>2</v>
      </c>
      <c r="W27" s="28">
        <v>3</v>
      </c>
      <c r="X27" s="28">
        <v>3</v>
      </c>
      <c r="Y27" s="28">
        <v>3</v>
      </c>
      <c r="Z27" s="28">
        <v>3</v>
      </c>
      <c r="AA27" s="28">
        <v>0</v>
      </c>
      <c r="AB27" s="64">
        <f t="shared" si="1"/>
        <v>3</v>
      </c>
      <c r="AC27" s="64">
        <f t="shared" si="2"/>
        <v>0</v>
      </c>
      <c r="AD27" s="64">
        <f t="shared" si="3"/>
        <v>2</v>
      </c>
      <c r="AE27" s="64">
        <f t="shared" si="4"/>
        <v>2</v>
      </c>
      <c r="AF27" s="64">
        <f t="shared" si="5"/>
        <v>1.6666666666666667</v>
      </c>
      <c r="AG27" s="64">
        <f t="shared" si="6"/>
        <v>2.6666666666666665</v>
      </c>
      <c r="AH27" s="64">
        <f t="shared" si="7"/>
        <v>2.3333333333333335</v>
      </c>
      <c r="AI27" s="64">
        <f t="shared" si="8"/>
        <v>0</v>
      </c>
    </row>
    <row r="28" spans="1:35">
      <c r="A28" s="23" t="s">
        <v>3797</v>
      </c>
      <c r="B28" s="23">
        <v>10027</v>
      </c>
      <c r="C28" s="23" t="s">
        <v>3798</v>
      </c>
      <c r="D28" s="24">
        <v>3</v>
      </c>
      <c r="E28" s="24">
        <v>0</v>
      </c>
      <c r="F28" s="24">
        <v>1</v>
      </c>
      <c r="G28" s="24">
        <v>1</v>
      </c>
      <c r="H28" s="24">
        <v>0</v>
      </c>
      <c r="I28" s="24">
        <v>1</v>
      </c>
      <c r="J28" s="24">
        <v>0</v>
      </c>
      <c r="K28" s="24">
        <v>0</v>
      </c>
      <c r="L28" s="26">
        <v>2</v>
      </c>
      <c r="M28" s="26">
        <v>0</v>
      </c>
      <c r="N28" s="26">
        <v>1</v>
      </c>
      <c r="O28" s="26">
        <v>1</v>
      </c>
      <c r="P28" s="26">
        <v>0</v>
      </c>
      <c r="Q28" s="26">
        <v>1</v>
      </c>
      <c r="R28" s="26">
        <v>1</v>
      </c>
      <c r="S28" s="26">
        <v>0</v>
      </c>
      <c r="T28" s="28">
        <v>3</v>
      </c>
      <c r="U28" s="28">
        <v>0</v>
      </c>
      <c r="V28" s="28">
        <v>2</v>
      </c>
      <c r="W28" s="28">
        <v>2</v>
      </c>
      <c r="X28" s="28">
        <v>0</v>
      </c>
      <c r="Y28" s="28">
        <v>3</v>
      </c>
      <c r="Z28" s="28">
        <v>3</v>
      </c>
      <c r="AA28" s="28">
        <v>0</v>
      </c>
      <c r="AB28" s="64">
        <f t="shared" si="1"/>
        <v>2.6666666666666665</v>
      </c>
      <c r="AC28" s="64">
        <f t="shared" si="2"/>
        <v>0</v>
      </c>
      <c r="AD28" s="64">
        <f t="shared" si="3"/>
        <v>1.3333333333333333</v>
      </c>
      <c r="AE28" s="64">
        <f t="shared" si="4"/>
        <v>1.3333333333333333</v>
      </c>
      <c r="AF28" s="64">
        <f t="shared" si="5"/>
        <v>0</v>
      </c>
      <c r="AG28" s="64">
        <f t="shared" si="6"/>
        <v>1.6666666666666667</v>
      </c>
      <c r="AH28" s="64">
        <f t="shared" si="7"/>
        <v>1.3333333333333333</v>
      </c>
      <c r="AI28" s="64">
        <f t="shared" si="8"/>
        <v>0</v>
      </c>
    </row>
    <row r="29" spans="1:35">
      <c r="A29" s="23" t="s">
        <v>3799</v>
      </c>
      <c r="B29" s="23">
        <v>10028</v>
      </c>
      <c r="C29" s="23" t="s">
        <v>3800</v>
      </c>
      <c r="D29" s="24">
        <v>3</v>
      </c>
      <c r="E29" s="24">
        <v>3</v>
      </c>
      <c r="F29" s="24">
        <v>2</v>
      </c>
      <c r="G29" s="24">
        <v>0</v>
      </c>
      <c r="H29" s="24">
        <v>1</v>
      </c>
      <c r="I29" s="24">
        <v>3</v>
      </c>
      <c r="J29" s="24">
        <v>3</v>
      </c>
      <c r="K29" s="24">
        <v>0</v>
      </c>
      <c r="L29" s="26">
        <v>3</v>
      </c>
      <c r="M29" s="26">
        <v>3</v>
      </c>
      <c r="N29" s="26">
        <v>2</v>
      </c>
      <c r="O29" s="26">
        <v>1</v>
      </c>
      <c r="P29" s="26">
        <v>2</v>
      </c>
      <c r="Q29" s="26">
        <v>2</v>
      </c>
      <c r="R29" s="26">
        <v>2</v>
      </c>
      <c r="S29" s="26">
        <v>3</v>
      </c>
      <c r="T29" s="28">
        <v>3</v>
      </c>
      <c r="U29" s="28">
        <v>3</v>
      </c>
      <c r="V29" s="28">
        <v>2</v>
      </c>
      <c r="W29" s="28">
        <v>2</v>
      </c>
      <c r="X29" s="28">
        <v>3</v>
      </c>
      <c r="Y29" s="28">
        <v>3</v>
      </c>
      <c r="Z29" s="28">
        <v>1</v>
      </c>
      <c r="AA29" s="28">
        <v>2</v>
      </c>
      <c r="AB29" s="64">
        <f t="shared" si="1"/>
        <v>3</v>
      </c>
      <c r="AC29" s="64">
        <f t="shared" si="2"/>
        <v>3</v>
      </c>
      <c r="AD29" s="64">
        <f t="shared" si="3"/>
        <v>2</v>
      </c>
      <c r="AE29" s="64">
        <f t="shared" si="4"/>
        <v>1</v>
      </c>
      <c r="AF29" s="64">
        <f t="shared" si="5"/>
        <v>2</v>
      </c>
      <c r="AG29" s="64">
        <f t="shared" si="6"/>
        <v>2.6666666666666665</v>
      </c>
      <c r="AH29" s="64">
        <f t="shared" si="7"/>
        <v>2</v>
      </c>
      <c r="AI29" s="64">
        <f t="shared" si="8"/>
        <v>1.6666666666666667</v>
      </c>
    </row>
    <row r="30" spans="1:35">
      <c r="A30" s="23" t="s">
        <v>3801</v>
      </c>
      <c r="B30" s="23">
        <v>10029</v>
      </c>
      <c r="C30" s="23" t="s">
        <v>3802</v>
      </c>
      <c r="D30" s="24">
        <v>3</v>
      </c>
      <c r="E30" s="24">
        <v>3</v>
      </c>
      <c r="F30" s="24">
        <v>0</v>
      </c>
      <c r="G30" s="24">
        <v>0</v>
      </c>
      <c r="H30" s="24">
        <v>0</v>
      </c>
      <c r="I30" s="24">
        <v>3</v>
      </c>
      <c r="J30" s="24">
        <v>1</v>
      </c>
      <c r="K30" s="24">
        <v>0</v>
      </c>
      <c r="L30" s="26">
        <v>2</v>
      </c>
      <c r="M30" s="26">
        <v>2</v>
      </c>
      <c r="N30" s="26">
        <v>0</v>
      </c>
      <c r="O30" s="26">
        <v>1</v>
      </c>
      <c r="P30" s="26">
        <v>0</v>
      </c>
      <c r="Q30" s="26">
        <v>1</v>
      </c>
      <c r="R30" s="26">
        <v>1</v>
      </c>
      <c r="S30" s="26">
        <v>1</v>
      </c>
      <c r="T30" s="28">
        <v>2</v>
      </c>
      <c r="U30" s="28">
        <v>3</v>
      </c>
      <c r="V30" s="28">
        <v>0</v>
      </c>
      <c r="W30" s="28">
        <v>3</v>
      </c>
      <c r="X30" s="28">
        <v>0</v>
      </c>
      <c r="Y30" s="28">
        <v>2</v>
      </c>
      <c r="Z30" s="28">
        <v>1</v>
      </c>
      <c r="AA30" s="28">
        <v>2</v>
      </c>
      <c r="AB30" s="64">
        <f t="shared" si="1"/>
        <v>2.3333333333333335</v>
      </c>
      <c r="AC30" s="64">
        <f t="shared" si="2"/>
        <v>2.6666666666666665</v>
      </c>
      <c r="AD30" s="64">
        <f t="shared" si="3"/>
        <v>0</v>
      </c>
      <c r="AE30" s="64">
        <f t="shared" si="4"/>
        <v>1.3333333333333333</v>
      </c>
      <c r="AF30" s="64">
        <f t="shared" si="5"/>
        <v>0</v>
      </c>
      <c r="AG30" s="64">
        <f t="shared" si="6"/>
        <v>2</v>
      </c>
      <c r="AH30" s="64">
        <f t="shared" si="7"/>
        <v>1</v>
      </c>
      <c r="AI30" s="64">
        <f t="shared" si="8"/>
        <v>1</v>
      </c>
    </row>
    <row r="31" spans="1:35">
      <c r="A31" s="23" t="s">
        <v>3803</v>
      </c>
      <c r="B31" s="23">
        <v>10030</v>
      </c>
      <c r="C31" s="23" t="s">
        <v>3804</v>
      </c>
      <c r="D31" s="24">
        <v>3</v>
      </c>
      <c r="E31" s="24">
        <v>3</v>
      </c>
      <c r="F31" s="24">
        <v>2</v>
      </c>
      <c r="G31" s="24">
        <v>1</v>
      </c>
      <c r="H31" s="24">
        <v>0</v>
      </c>
      <c r="I31" s="24">
        <v>3</v>
      </c>
      <c r="J31" s="24">
        <v>3</v>
      </c>
      <c r="K31" s="24">
        <v>0</v>
      </c>
      <c r="L31" s="26">
        <v>2</v>
      </c>
      <c r="M31" s="26">
        <v>3</v>
      </c>
      <c r="N31" s="26">
        <v>2</v>
      </c>
      <c r="O31" s="26">
        <v>2</v>
      </c>
      <c r="P31" s="26">
        <v>2</v>
      </c>
      <c r="Q31" s="26">
        <v>2</v>
      </c>
      <c r="R31" s="26">
        <v>1</v>
      </c>
      <c r="S31" s="26">
        <v>0</v>
      </c>
      <c r="T31" s="28">
        <v>3</v>
      </c>
      <c r="U31" s="28">
        <v>3</v>
      </c>
      <c r="V31" s="28">
        <v>2</v>
      </c>
      <c r="W31" s="28">
        <v>3</v>
      </c>
      <c r="X31" s="28">
        <v>1</v>
      </c>
      <c r="Y31" s="28">
        <v>3</v>
      </c>
      <c r="Z31" s="28">
        <v>3</v>
      </c>
      <c r="AA31" s="28">
        <v>0</v>
      </c>
      <c r="AB31" s="64">
        <f t="shared" si="1"/>
        <v>2.6666666666666665</v>
      </c>
      <c r="AC31" s="64">
        <f t="shared" si="2"/>
        <v>3</v>
      </c>
      <c r="AD31" s="64">
        <f t="shared" si="3"/>
        <v>2</v>
      </c>
      <c r="AE31" s="64">
        <f t="shared" si="4"/>
        <v>2</v>
      </c>
      <c r="AF31" s="64">
        <f t="shared" si="5"/>
        <v>1</v>
      </c>
      <c r="AG31" s="64">
        <f t="shared" si="6"/>
        <v>2.6666666666666665</v>
      </c>
      <c r="AH31" s="64">
        <f t="shared" si="7"/>
        <v>2.3333333333333335</v>
      </c>
      <c r="AI31" s="64">
        <f t="shared" si="8"/>
        <v>0</v>
      </c>
    </row>
    <row r="32" spans="1:35">
      <c r="A32" s="23" t="s">
        <v>3805</v>
      </c>
      <c r="B32" s="23">
        <v>10031</v>
      </c>
      <c r="C32" s="23" t="s">
        <v>3806</v>
      </c>
      <c r="D32" s="24">
        <v>3</v>
      </c>
      <c r="E32" s="24">
        <v>0</v>
      </c>
      <c r="F32" s="24">
        <v>0</v>
      </c>
      <c r="G32" s="24">
        <v>3</v>
      </c>
      <c r="H32" s="24">
        <v>0</v>
      </c>
      <c r="I32" s="24">
        <v>3</v>
      </c>
      <c r="J32" s="24">
        <v>3</v>
      </c>
      <c r="K32" s="24">
        <v>0</v>
      </c>
      <c r="L32" s="26">
        <v>3</v>
      </c>
      <c r="M32" s="26">
        <v>0</v>
      </c>
      <c r="N32" s="26">
        <v>1</v>
      </c>
      <c r="O32" s="26">
        <v>2</v>
      </c>
      <c r="P32" s="26">
        <v>3</v>
      </c>
      <c r="Q32" s="26">
        <v>2</v>
      </c>
      <c r="R32" s="26">
        <v>3</v>
      </c>
      <c r="S32" s="26">
        <v>0</v>
      </c>
      <c r="T32" s="28">
        <v>3</v>
      </c>
      <c r="U32" s="28">
        <v>0</v>
      </c>
      <c r="V32" s="28">
        <v>0</v>
      </c>
      <c r="W32" s="28">
        <v>3</v>
      </c>
      <c r="X32" s="28">
        <v>3</v>
      </c>
      <c r="Y32" s="28">
        <v>3</v>
      </c>
      <c r="Z32" s="28">
        <v>3</v>
      </c>
      <c r="AA32" s="28">
        <v>0</v>
      </c>
      <c r="AB32" s="64">
        <f t="shared" si="1"/>
        <v>3</v>
      </c>
      <c r="AC32" s="64">
        <f t="shared" si="2"/>
        <v>0</v>
      </c>
      <c r="AD32" s="64">
        <f t="shared" si="3"/>
        <v>0.33333333333333331</v>
      </c>
      <c r="AE32" s="64">
        <f t="shared" si="4"/>
        <v>2.6666666666666665</v>
      </c>
      <c r="AF32" s="64">
        <f t="shared" si="5"/>
        <v>2</v>
      </c>
      <c r="AG32" s="64">
        <f t="shared" si="6"/>
        <v>2.6666666666666665</v>
      </c>
      <c r="AH32" s="64">
        <f t="shared" si="7"/>
        <v>3</v>
      </c>
      <c r="AI32" s="64">
        <f t="shared" si="8"/>
        <v>0</v>
      </c>
    </row>
    <row r="33" spans="1:35">
      <c r="A33" s="23" t="s">
        <v>3807</v>
      </c>
      <c r="B33" s="23">
        <v>10032</v>
      </c>
      <c r="C33" s="23" t="s">
        <v>3808</v>
      </c>
      <c r="D33" s="24">
        <v>3</v>
      </c>
      <c r="E33" s="24">
        <v>3</v>
      </c>
      <c r="F33" s="24">
        <v>2</v>
      </c>
      <c r="G33" s="24">
        <v>1</v>
      </c>
      <c r="H33" s="24">
        <v>0</v>
      </c>
      <c r="I33" s="24">
        <v>3</v>
      </c>
      <c r="J33" s="24">
        <v>3</v>
      </c>
      <c r="K33" s="24">
        <v>0</v>
      </c>
      <c r="L33" s="26">
        <v>2</v>
      </c>
      <c r="M33" s="26">
        <v>3</v>
      </c>
      <c r="N33" s="26">
        <v>2</v>
      </c>
      <c r="O33" s="26">
        <v>2</v>
      </c>
      <c r="P33" s="26">
        <v>1</v>
      </c>
      <c r="Q33" s="26">
        <v>2</v>
      </c>
      <c r="R33" s="26">
        <v>3</v>
      </c>
      <c r="S33" s="26">
        <v>0</v>
      </c>
      <c r="T33" s="28">
        <v>3</v>
      </c>
      <c r="U33" s="28">
        <v>3</v>
      </c>
      <c r="V33" s="28">
        <v>2</v>
      </c>
      <c r="W33" s="28">
        <v>3</v>
      </c>
      <c r="X33" s="28">
        <v>0</v>
      </c>
      <c r="Y33" s="28">
        <v>3</v>
      </c>
      <c r="Z33" s="28">
        <v>3</v>
      </c>
      <c r="AA33" s="28">
        <v>0</v>
      </c>
      <c r="AB33" s="64">
        <f t="shared" si="1"/>
        <v>2.6666666666666665</v>
      </c>
      <c r="AC33" s="64">
        <f t="shared" si="2"/>
        <v>3</v>
      </c>
      <c r="AD33" s="64">
        <f t="shared" si="3"/>
        <v>2</v>
      </c>
      <c r="AE33" s="64">
        <f t="shared" si="4"/>
        <v>2</v>
      </c>
      <c r="AF33" s="64">
        <f t="shared" si="5"/>
        <v>0.33333333333333331</v>
      </c>
      <c r="AG33" s="64">
        <f t="shared" si="6"/>
        <v>2.6666666666666665</v>
      </c>
      <c r="AH33" s="64">
        <f t="shared" si="7"/>
        <v>3</v>
      </c>
      <c r="AI33" s="64">
        <f t="shared" si="8"/>
        <v>0</v>
      </c>
    </row>
    <row r="34" spans="1:35">
      <c r="A34" s="23" t="s">
        <v>3801</v>
      </c>
      <c r="B34" s="23">
        <v>10033</v>
      </c>
      <c r="C34" s="23" t="s">
        <v>3809</v>
      </c>
      <c r="D34" s="24">
        <v>2</v>
      </c>
      <c r="E34" s="24">
        <v>3</v>
      </c>
      <c r="F34" s="24">
        <v>0</v>
      </c>
      <c r="G34" s="24">
        <v>1</v>
      </c>
      <c r="H34" s="24">
        <v>2</v>
      </c>
      <c r="I34" s="24">
        <v>3</v>
      </c>
      <c r="J34" s="24">
        <v>0</v>
      </c>
      <c r="K34" s="24">
        <v>0</v>
      </c>
      <c r="L34" s="26">
        <v>2</v>
      </c>
      <c r="M34" s="26">
        <v>3</v>
      </c>
      <c r="N34" s="26">
        <v>0</v>
      </c>
      <c r="O34" s="26">
        <v>1</v>
      </c>
      <c r="P34" s="26">
        <v>0</v>
      </c>
      <c r="Q34" s="26">
        <v>1</v>
      </c>
      <c r="R34" s="26">
        <v>0</v>
      </c>
      <c r="S34" s="26">
        <v>0</v>
      </c>
      <c r="T34" s="28">
        <v>2</v>
      </c>
      <c r="U34" s="28">
        <v>3</v>
      </c>
      <c r="V34" s="28">
        <v>1</v>
      </c>
      <c r="W34" s="28">
        <v>2</v>
      </c>
      <c r="X34" s="28">
        <v>0</v>
      </c>
      <c r="Y34" s="28">
        <v>2</v>
      </c>
      <c r="Z34" s="28">
        <v>1</v>
      </c>
      <c r="AA34" s="28">
        <v>0</v>
      </c>
      <c r="AB34" s="64">
        <f t="shared" si="1"/>
        <v>2</v>
      </c>
      <c r="AC34" s="64">
        <f t="shared" si="2"/>
        <v>3</v>
      </c>
      <c r="AD34" s="64">
        <f t="shared" si="3"/>
        <v>0.33333333333333331</v>
      </c>
      <c r="AE34" s="64">
        <f t="shared" si="4"/>
        <v>1.3333333333333333</v>
      </c>
      <c r="AF34" s="64">
        <f t="shared" si="5"/>
        <v>0.66666666666666663</v>
      </c>
      <c r="AG34" s="64">
        <f t="shared" si="6"/>
        <v>2</v>
      </c>
      <c r="AH34" s="64">
        <f t="shared" si="7"/>
        <v>0.33333333333333331</v>
      </c>
      <c r="AI34" s="64">
        <f t="shared" si="8"/>
        <v>0</v>
      </c>
    </row>
    <row r="35" spans="1:35">
      <c r="A35" s="23" t="s">
        <v>3810</v>
      </c>
      <c r="B35" s="23">
        <v>10034</v>
      </c>
      <c r="C35" s="23" t="s">
        <v>3811</v>
      </c>
      <c r="D35" s="24">
        <v>3</v>
      </c>
      <c r="E35" s="24">
        <v>0</v>
      </c>
      <c r="F35" s="24">
        <v>1</v>
      </c>
      <c r="G35" s="24">
        <v>3</v>
      </c>
      <c r="H35" s="24">
        <v>0</v>
      </c>
      <c r="I35" s="24">
        <v>1</v>
      </c>
      <c r="J35" s="24">
        <v>3</v>
      </c>
      <c r="K35" s="24">
        <v>0</v>
      </c>
      <c r="L35" s="26">
        <v>3</v>
      </c>
      <c r="M35" s="26">
        <v>0</v>
      </c>
      <c r="N35" s="26">
        <v>0</v>
      </c>
      <c r="O35" s="26">
        <v>1</v>
      </c>
      <c r="P35" s="26">
        <v>3</v>
      </c>
      <c r="Q35" s="26">
        <v>2</v>
      </c>
      <c r="R35" s="26">
        <v>1</v>
      </c>
      <c r="S35" s="26">
        <v>3</v>
      </c>
      <c r="T35" s="28">
        <v>3</v>
      </c>
      <c r="U35" s="28">
        <v>0</v>
      </c>
      <c r="V35" s="28">
        <v>1</v>
      </c>
      <c r="W35" s="28">
        <v>3</v>
      </c>
      <c r="X35" s="28">
        <v>3</v>
      </c>
      <c r="Y35" s="28">
        <v>3</v>
      </c>
      <c r="Z35" s="28">
        <v>3</v>
      </c>
      <c r="AA35" s="28">
        <v>3</v>
      </c>
      <c r="AB35" s="64">
        <f t="shared" si="1"/>
        <v>3</v>
      </c>
      <c r="AC35" s="64">
        <f t="shared" si="2"/>
        <v>0</v>
      </c>
      <c r="AD35" s="64">
        <f t="shared" si="3"/>
        <v>0.66666666666666663</v>
      </c>
      <c r="AE35" s="64">
        <f t="shared" si="4"/>
        <v>2.3333333333333335</v>
      </c>
      <c r="AF35" s="64">
        <f t="shared" si="5"/>
        <v>2</v>
      </c>
      <c r="AG35" s="64">
        <f t="shared" si="6"/>
        <v>2</v>
      </c>
      <c r="AH35" s="64">
        <f t="shared" si="7"/>
        <v>2.3333333333333335</v>
      </c>
      <c r="AI35" s="64">
        <f t="shared" si="8"/>
        <v>2</v>
      </c>
    </row>
    <row r="36" spans="1:35">
      <c r="A36" s="23" t="s">
        <v>3812</v>
      </c>
      <c r="B36" s="23">
        <v>10035</v>
      </c>
      <c r="C36" s="23" t="s">
        <v>3813</v>
      </c>
      <c r="D36" s="24">
        <v>3</v>
      </c>
      <c r="E36" s="24">
        <v>3</v>
      </c>
      <c r="F36" s="24">
        <v>0</v>
      </c>
      <c r="G36" s="24">
        <v>3</v>
      </c>
      <c r="H36" s="24">
        <v>0</v>
      </c>
      <c r="I36" s="24">
        <v>3</v>
      </c>
      <c r="J36" s="24">
        <v>3</v>
      </c>
      <c r="K36" s="24">
        <v>0</v>
      </c>
      <c r="L36" s="26">
        <v>2</v>
      </c>
      <c r="M36" s="26">
        <v>2</v>
      </c>
      <c r="N36" s="26">
        <v>0</v>
      </c>
      <c r="O36" s="26">
        <v>2</v>
      </c>
      <c r="P36" s="26">
        <v>3</v>
      </c>
      <c r="Q36" s="26">
        <v>2</v>
      </c>
      <c r="R36" s="26">
        <v>2</v>
      </c>
      <c r="S36" s="26">
        <v>0</v>
      </c>
      <c r="T36" s="28">
        <v>3</v>
      </c>
      <c r="U36" s="28">
        <v>3</v>
      </c>
      <c r="V36" s="28">
        <v>0</v>
      </c>
      <c r="W36" s="28">
        <v>3</v>
      </c>
      <c r="X36" s="28">
        <v>2</v>
      </c>
      <c r="Y36" s="28">
        <v>3</v>
      </c>
      <c r="Z36" s="28">
        <v>3</v>
      </c>
      <c r="AA36" s="28">
        <v>0</v>
      </c>
      <c r="AB36" s="64">
        <f t="shared" si="1"/>
        <v>2.6666666666666665</v>
      </c>
      <c r="AC36" s="64">
        <f t="shared" si="2"/>
        <v>2.6666666666666665</v>
      </c>
      <c r="AD36" s="64">
        <f t="shared" si="3"/>
        <v>0</v>
      </c>
      <c r="AE36" s="64">
        <f t="shared" si="4"/>
        <v>2.6666666666666665</v>
      </c>
      <c r="AF36" s="64">
        <f t="shared" si="5"/>
        <v>1.6666666666666667</v>
      </c>
      <c r="AG36" s="64">
        <f t="shared" si="6"/>
        <v>2.6666666666666665</v>
      </c>
      <c r="AH36" s="64">
        <f t="shared" si="7"/>
        <v>2.6666666666666665</v>
      </c>
      <c r="AI36" s="64">
        <f t="shared" si="8"/>
        <v>0</v>
      </c>
    </row>
    <row r="37" spans="1:35">
      <c r="A37" s="23" t="s">
        <v>3814</v>
      </c>
      <c r="B37" s="23">
        <v>10036</v>
      </c>
      <c r="C37" s="23" t="s">
        <v>3815</v>
      </c>
      <c r="D37" s="24">
        <v>3</v>
      </c>
      <c r="E37" s="24">
        <v>3</v>
      </c>
      <c r="F37" s="24">
        <v>1</v>
      </c>
      <c r="G37" s="24">
        <v>3</v>
      </c>
      <c r="H37" s="24">
        <v>0</v>
      </c>
      <c r="I37" s="24">
        <v>3</v>
      </c>
      <c r="J37" s="24">
        <v>0</v>
      </c>
      <c r="K37" s="24">
        <v>0</v>
      </c>
      <c r="L37" s="26">
        <v>2</v>
      </c>
      <c r="M37" s="26">
        <v>2</v>
      </c>
      <c r="N37" s="26">
        <v>0</v>
      </c>
      <c r="O37" s="26">
        <v>2</v>
      </c>
      <c r="P37" s="26">
        <v>3</v>
      </c>
      <c r="Q37" s="26">
        <v>1</v>
      </c>
      <c r="R37" s="26">
        <v>1</v>
      </c>
      <c r="S37" s="26">
        <v>0</v>
      </c>
      <c r="T37" s="28">
        <v>0</v>
      </c>
      <c r="U37" s="28">
        <v>3</v>
      </c>
      <c r="V37" s="28">
        <v>2</v>
      </c>
      <c r="W37" s="28">
        <v>3</v>
      </c>
      <c r="X37" s="28">
        <v>3</v>
      </c>
      <c r="Y37" s="28">
        <v>3</v>
      </c>
      <c r="Z37" s="28">
        <v>2</v>
      </c>
      <c r="AA37" s="28">
        <v>0</v>
      </c>
      <c r="AB37" s="64">
        <f t="shared" si="1"/>
        <v>1.6666666666666667</v>
      </c>
      <c r="AC37" s="64">
        <f t="shared" si="2"/>
        <v>2.6666666666666665</v>
      </c>
      <c r="AD37" s="64">
        <f t="shared" si="3"/>
        <v>1</v>
      </c>
      <c r="AE37" s="64">
        <f t="shared" si="4"/>
        <v>2.6666666666666665</v>
      </c>
      <c r="AF37" s="64">
        <f t="shared" si="5"/>
        <v>2</v>
      </c>
      <c r="AG37" s="64">
        <f t="shared" si="6"/>
        <v>2.3333333333333335</v>
      </c>
      <c r="AH37" s="64">
        <f t="shared" si="7"/>
        <v>1</v>
      </c>
      <c r="AI37" s="64">
        <f t="shared" si="8"/>
        <v>0</v>
      </c>
    </row>
    <row r="38" spans="1:35">
      <c r="A38" s="23" t="s">
        <v>3816</v>
      </c>
      <c r="B38" s="23">
        <v>10037</v>
      </c>
      <c r="C38" s="23" t="s">
        <v>3817</v>
      </c>
      <c r="D38" s="24">
        <v>2</v>
      </c>
      <c r="E38" s="24">
        <v>3</v>
      </c>
      <c r="F38" s="24">
        <v>3</v>
      </c>
      <c r="G38" s="24">
        <v>3</v>
      </c>
      <c r="H38" s="24">
        <v>0</v>
      </c>
      <c r="I38" s="24">
        <v>3</v>
      </c>
      <c r="J38" s="24">
        <v>3</v>
      </c>
      <c r="K38" s="24">
        <v>3</v>
      </c>
      <c r="L38" s="26">
        <v>2</v>
      </c>
      <c r="M38" s="26">
        <v>2</v>
      </c>
      <c r="N38" s="26">
        <v>3</v>
      </c>
      <c r="O38" s="26">
        <v>1</v>
      </c>
      <c r="P38" s="26">
        <v>2</v>
      </c>
      <c r="Q38" s="26">
        <v>2</v>
      </c>
      <c r="R38" s="26">
        <v>1</v>
      </c>
      <c r="S38" s="26">
        <v>2</v>
      </c>
      <c r="T38" s="28">
        <v>3</v>
      </c>
      <c r="U38" s="28">
        <v>3</v>
      </c>
      <c r="V38" s="28">
        <v>2</v>
      </c>
      <c r="W38" s="28">
        <v>3</v>
      </c>
      <c r="X38" s="28">
        <v>3</v>
      </c>
      <c r="Y38" s="28">
        <v>3</v>
      </c>
      <c r="Z38" s="28">
        <v>2</v>
      </c>
      <c r="AA38" s="28">
        <v>3</v>
      </c>
      <c r="AB38" s="64">
        <f t="shared" si="1"/>
        <v>2.3333333333333335</v>
      </c>
      <c r="AC38" s="64">
        <f t="shared" si="2"/>
        <v>2.6666666666666665</v>
      </c>
      <c r="AD38" s="64">
        <f t="shared" si="3"/>
        <v>2.6666666666666665</v>
      </c>
      <c r="AE38" s="64">
        <f t="shared" si="4"/>
        <v>2.3333333333333335</v>
      </c>
      <c r="AF38" s="64">
        <f t="shared" si="5"/>
        <v>1.6666666666666667</v>
      </c>
      <c r="AG38" s="64">
        <f t="shared" si="6"/>
        <v>2.6666666666666665</v>
      </c>
      <c r="AH38" s="64">
        <f t="shared" si="7"/>
        <v>2</v>
      </c>
      <c r="AI38" s="64">
        <f t="shared" si="8"/>
        <v>2.6666666666666665</v>
      </c>
    </row>
    <row r="39" spans="1:35">
      <c r="A39" s="23" t="s">
        <v>3818</v>
      </c>
      <c r="B39" s="23">
        <v>10038</v>
      </c>
      <c r="C39" s="23" t="s">
        <v>3819</v>
      </c>
      <c r="D39" s="24">
        <v>3</v>
      </c>
      <c r="E39" s="24">
        <v>3</v>
      </c>
      <c r="F39" s="24">
        <v>3</v>
      </c>
      <c r="G39" s="24">
        <v>1</v>
      </c>
      <c r="H39" s="24">
        <v>1</v>
      </c>
      <c r="I39" s="24">
        <v>3</v>
      </c>
      <c r="J39" s="24">
        <v>3</v>
      </c>
      <c r="K39" s="24">
        <v>0</v>
      </c>
      <c r="L39" s="26">
        <v>1</v>
      </c>
      <c r="M39" s="26">
        <v>2</v>
      </c>
      <c r="N39" s="26">
        <v>3</v>
      </c>
      <c r="O39" s="26">
        <v>2</v>
      </c>
      <c r="P39" s="26">
        <v>3</v>
      </c>
      <c r="Q39" s="26">
        <v>3</v>
      </c>
      <c r="R39" s="26">
        <v>1</v>
      </c>
      <c r="S39" s="26">
        <v>1</v>
      </c>
      <c r="T39" s="28">
        <v>0</v>
      </c>
      <c r="U39" s="28">
        <v>3</v>
      </c>
      <c r="V39" s="28">
        <v>3</v>
      </c>
      <c r="W39" s="28">
        <v>3</v>
      </c>
      <c r="X39" s="28">
        <v>3</v>
      </c>
      <c r="Y39" s="28">
        <v>3</v>
      </c>
      <c r="Z39" s="28">
        <v>3</v>
      </c>
      <c r="AA39" s="28">
        <v>0</v>
      </c>
      <c r="AB39" s="64">
        <f t="shared" si="1"/>
        <v>1.3333333333333333</v>
      </c>
      <c r="AC39" s="64">
        <f t="shared" si="2"/>
        <v>2.6666666666666665</v>
      </c>
      <c r="AD39" s="64">
        <f t="shared" si="3"/>
        <v>3</v>
      </c>
      <c r="AE39" s="64">
        <f t="shared" si="4"/>
        <v>2</v>
      </c>
      <c r="AF39" s="64">
        <f t="shared" si="5"/>
        <v>2.3333333333333335</v>
      </c>
      <c r="AG39" s="64">
        <f t="shared" si="6"/>
        <v>3</v>
      </c>
      <c r="AH39" s="64">
        <f t="shared" si="7"/>
        <v>2.3333333333333335</v>
      </c>
      <c r="AI39" s="64">
        <f t="shared" si="8"/>
        <v>0.33333333333333331</v>
      </c>
    </row>
    <row r="40" spans="1:35">
      <c r="A40" s="23" t="s">
        <v>3820</v>
      </c>
      <c r="B40" s="23">
        <v>10039</v>
      </c>
      <c r="C40" s="23" t="s">
        <v>3821</v>
      </c>
      <c r="D40" s="24">
        <v>2</v>
      </c>
      <c r="E40" s="24">
        <v>3</v>
      </c>
      <c r="F40" s="24">
        <v>0</v>
      </c>
      <c r="G40" s="24">
        <v>0</v>
      </c>
      <c r="H40" s="24">
        <v>0</v>
      </c>
      <c r="I40" s="24">
        <v>3</v>
      </c>
      <c r="J40" s="24">
        <v>3</v>
      </c>
      <c r="K40" s="24">
        <v>0</v>
      </c>
      <c r="L40" s="26">
        <v>2</v>
      </c>
      <c r="M40" s="26">
        <v>2</v>
      </c>
      <c r="N40" s="26">
        <v>1</v>
      </c>
      <c r="O40" s="26">
        <v>2</v>
      </c>
      <c r="P40" s="26">
        <v>3</v>
      </c>
      <c r="Q40" s="26">
        <v>2</v>
      </c>
      <c r="R40" s="26">
        <v>2</v>
      </c>
      <c r="S40" s="26">
        <v>1</v>
      </c>
      <c r="T40" s="28">
        <v>0</v>
      </c>
      <c r="U40" s="28">
        <v>3</v>
      </c>
      <c r="V40" s="28">
        <v>0</v>
      </c>
      <c r="W40" s="28">
        <v>3</v>
      </c>
      <c r="X40" s="28">
        <v>2</v>
      </c>
      <c r="Y40" s="28">
        <v>3</v>
      </c>
      <c r="Z40" s="28">
        <v>3</v>
      </c>
      <c r="AA40" s="28">
        <v>0</v>
      </c>
      <c r="AB40" s="64">
        <f t="shared" si="1"/>
        <v>1.3333333333333333</v>
      </c>
      <c r="AC40" s="64">
        <f t="shared" si="2"/>
        <v>2.6666666666666665</v>
      </c>
      <c r="AD40" s="64">
        <f t="shared" si="3"/>
        <v>0.33333333333333331</v>
      </c>
      <c r="AE40" s="64">
        <f t="shared" si="4"/>
        <v>1.6666666666666667</v>
      </c>
      <c r="AF40" s="64">
        <f t="shared" si="5"/>
        <v>1.6666666666666667</v>
      </c>
      <c r="AG40" s="64">
        <f t="shared" si="6"/>
        <v>2.6666666666666665</v>
      </c>
      <c r="AH40" s="64">
        <f t="shared" si="7"/>
        <v>2.6666666666666665</v>
      </c>
      <c r="AI40" s="64">
        <f t="shared" si="8"/>
        <v>0.33333333333333331</v>
      </c>
    </row>
    <row r="41" spans="1:35">
      <c r="A41" s="23" t="s">
        <v>3822</v>
      </c>
      <c r="B41" s="23">
        <v>10040</v>
      </c>
      <c r="C41" s="23" t="s">
        <v>3823</v>
      </c>
      <c r="D41" s="24">
        <v>3</v>
      </c>
      <c r="E41" s="24">
        <v>3</v>
      </c>
      <c r="F41" s="24">
        <v>2</v>
      </c>
      <c r="G41" s="24">
        <v>3</v>
      </c>
      <c r="H41" s="24">
        <v>3</v>
      </c>
      <c r="I41" s="24">
        <v>3</v>
      </c>
      <c r="J41" s="24">
        <v>3</v>
      </c>
      <c r="K41" s="24">
        <v>3</v>
      </c>
      <c r="L41" s="26">
        <v>2</v>
      </c>
      <c r="M41" s="26">
        <v>2</v>
      </c>
      <c r="N41" s="26">
        <v>2</v>
      </c>
      <c r="O41" s="26">
        <v>2</v>
      </c>
      <c r="P41" s="26">
        <v>2</v>
      </c>
      <c r="Q41" s="26">
        <v>2</v>
      </c>
      <c r="R41" s="26">
        <v>2</v>
      </c>
      <c r="S41" s="26">
        <v>3</v>
      </c>
      <c r="T41" s="28">
        <v>3</v>
      </c>
      <c r="U41" s="28">
        <v>3</v>
      </c>
      <c r="V41" s="28">
        <v>2</v>
      </c>
      <c r="W41" s="28">
        <v>3</v>
      </c>
      <c r="X41" s="28">
        <v>3</v>
      </c>
      <c r="Y41" s="28">
        <v>3</v>
      </c>
      <c r="Z41" s="28">
        <v>3</v>
      </c>
      <c r="AA41" s="28">
        <v>3</v>
      </c>
      <c r="AB41" s="64">
        <f t="shared" si="1"/>
        <v>2.6666666666666665</v>
      </c>
      <c r="AC41" s="64">
        <f t="shared" si="2"/>
        <v>2.6666666666666665</v>
      </c>
      <c r="AD41" s="64">
        <f t="shared" si="3"/>
        <v>2</v>
      </c>
      <c r="AE41" s="64">
        <f t="shared" si="4"/>
        <v>2.6666666666666665</v>
      </c>
      <c r="AF41" s="64">
        <f t="shared" si="5"/>
        <v>2.6666666666666665</v>
      </c>
      <c r="AG41" s="64">
        <f t="shared" si="6"/>
        <v>2.6666666666666665</v>
      </c>
      <c r="AH41" s="64">
        <f t="shared" si="7"/>
        <v>2.6666666666666665</v>
      </c>
      <c r="AI41" s="64">
        <f t="shared" si="8"/>
        <v>3</v>
      </c>
    </row>
    <row r="42" spans="1:35">
      <c r="A42" s="23" t="s">
        <v>3824</v>
      </c>
      <c r="B42" s="23">
        <v>10041</v>
      </c>
      <c r="C42" s="23" t="s">
        <v>3825</v>
      </c>
      <c r="D42" s="24">
        <v>2</v>
      </c>
      <c r="E42" s="24">
        <v>0</v>
      </c>
      <c r="F42" s="24">
        <v>0</v>
      </c>
      <c r="G42" s="24">
        <v>3</v>
      </c>
      <c r="H42" s="24">
        <v>0</v>
      </c>
      <c r="I42" s="24">
        <v>3</v>
      </c>
      <c r="J42" s="24">
        <v>0</v>
      </c>
      <c r="K42" s="24">
        <v>0</v>
      </c>
      <c r="L42" s="26">
        <v>2</v>
      </c>
      <c r="M42" s="26">
        <v>0</v>
      </c>
      <c r="N42" s="26">
        <v>0</v>
      </c>
      <c r="O42" s="26">
        <v>1</v>
      </c>
      <c r="P42" s="26">
        <v>0</v>
      </c>
      <c r="Q42" s="26">
        <v>1</v>
      </c>
      <c r="R42" s="26">
        <v>0</v>
      </c>
      <c r="S42" s="26">
        <v>0</v>
      </c>
      <c r="T42" s="28">
        <v>2</v>
      </c>
      <c r="U42" s="28">
        <v>0</v>
      </c>
      <c r="V42" s="28">
        <v>1</v>
      </c>
      <c r="W42" s="28">
        <v>3</v>
      </c>
      <c r="X42" s="28">
        <v>0</v>
      </c>
      <c r="Y42" s="28">
        <v>2</v>
      </c>
      <c r="Z42" s="28">
        <v>1</v>
      </c>
      <c r="AA42" s="28">
        <v>0</v>
      </c>
      <c r="AB42" s="64">
        <f t="shared" si="1"/>
        <v>2</v>
      </c>
      <c r="AC42" s="64">
        <f t="shared" si="2"/>
        <v>0</v>
      </c>
      <c r="AD42" s="64">
        <f t="shared" si="3"/>
        <v>0.33333333333333331</v>
      </c>
      <c r="AE42" s="64">
        <f t="shared" si="4"/>
        <v>2.3333333333333335</v>
      </c>
      <c r="AF42" s="64">
        <f t="shared" si="5"/>
        <v>0</v>
      </c>
      <c r="AG42" s="64">
        <f t="shared" si="6"/>
        <v>2</v>
      </c>
      <c r="AH42" s="64">
        <f t="shared" si="7"/>
        <v>0.33333333333333331</v>
      </c>
      <c r="AI42" s="64">
        <f t="shared" si="8"/>
        <v>0</v>
      </c>
    </row>
    <row r="43" spans="1:35">
      <c r="A43" s="23" t="s">
        <v>3826</v>
      </c>
      <c r="B43" s="23">
        <v>10042</v>
      </c>
      <c r="C43" s="23" t="s">
        <v>3827</v>
      </c>
      <c r="D43" s="24">
        <v>3</v>
      </c>
      <c r="E43" s="24">
        <v>0</v>
      </c>
      <c r="F43" s="24">
        <v>2</v>
      </c>
      <c r="G43" s="24">
        <v>1</v>
      </c>
      <c r="H43" s="24">
        <v>0</v>
      </c>
      <c r="I43" s="24">
        <v>3</v>
      </c>
      <c r="J43" s="24">
        <v>0</v>
      </c>
      <c r="K43" s="24">
        <v>0</v>
      </c>
      <c r="L43" s="26">
        <v>2</v>
      </c>
      <c r="M43" s="26">
        <v>0</v>
      </c>
      <c r="N43" s="26">
        <v>2</v>
      </c>
      <c r="O43" s="26">
        <v>2</v>
      </c>
      <c r="P43" s="26">
        <v>0</v>
      </c>
      <c r="Q43" s="26">
        <v>1</v>
      </c>
      <c r="R43" s="26">
        <v>1</v>
      </c>
      <c r="S43" s="26">
        <v>0</v>
      </c>
      <c r="T43" s="28">
        <v>1</v>
      </c>
      <c r="U43" s="28">
        <v>0</v>
      </c>
      <c r="V43" s="28">
        <v>2</v>
      </c>
      <c r="W43" s="28">
        <v>2</v>
      </c>
      <c r="X43" s="28">
        <v>0</v>
      </c>
      <c r="Y43" s="28">
        <v>3</v>
      </c>
      <c r="Z43" s="28">
        <v>3</v>
      </c>
      <c r="AA43" s="28">
        <v>0</v>
      </c>
      <c r="AB43" s="64">
        <f t="shared" si="1"/>
        <v>2</v>
      </c>
      <c r="AC43" s="64">
        <f t="shared" si="2"/>
        <v>0</v>
      </c>
      <c r="AD43" s="64">
        <f t="shared" si="3"/>
        <v>2</v>
      </c>
      <c r="AE43" s="64">
        <f t="shared" si="4"/>
        <v>1.6666666666666667</v>
      </c>
      <c r="AF43" s="64">
        <f t="shared" si="5"/>
        <v>0</v>
      </c>
      <c r="AG43" s="64">
        <f t="shared" si="6"/>
        <v>2.3333333333333335</v>
      </c>
      <c r="AH43" s="64">
        <f t="shared" si="7"/>
        <v>1.3333333333333333</v>
      </c>
      <c r="AI43" s="64">
        <f t="shared" si="8"/>
        <v>0</v>
      </c>
    </row>
    <row r="44" spans="1:35">
      <c r="A44" s="23" t="s">
        <v>3828</v>
      </c>
      <c r="B44" s="23">
        <v>10043</v>
      </c>
      <c r="C44" s="23" t="s">
        <v>3829</v>
      </c>
      <c r="D44" s="24">
        <v>3</v>
      </c>
      <c r="E44" s="24">
        <v>3</v>
      </c>
      <c r="F44" s="24">
        <v>0</v>
      </c>
      <c r="G44" s="24">
        <v>3</v>
      </c>
      <c r="H44" s="24">
        <v>0</v>
      </c>
      <c r="I44" s="24">
        <v>3</v>
      </c>
      <c r="J44" s="24">
        <v>3</v>
      </c>
      <c r="K44" s="24">
        <v>0</v>
      </c>
      <c r="L44" s="26">
        <v>3</v>
      </c>
      <c r="M44" s="26">
        <v>2</v>
      </c>
      <c r="N44" s="26">
        <v>1</v>
      </c>
      <c r="O44" s="26">
        <v>2</v>
      </c>
      <c r="P44" s="26">
        <v>3</v>
      </c>
      <c r="Q44" s="26">
        <v>1</v>
      </c>
      <c r="R44" s="26">
        <v>2</v>
      </c>
      <c r="S44" s="26">
        <v>0</v>
      </c>
      <c r="T44" s="28">
        <v>3</v>
      </c>
      <c r="U44" s="28">
        <v>3</v>
      </c>
      <c r="V44" s="28">
        <v>0</v>
      </c>
      <c r="W44" s="28">
        <v>3</v>
      </c>
      <c r="X44" s="28">
        <v>3</v>
      </c>
      <c r="Y44" s="28">
        <v>3</v>
      </c>
      <c r="Z44" s="28">
        <v>3</v>
      </c>
      <c r="AA44" s="28">
        <v>0</v>
      </c>
      <c r="AB44" s="64">
        <f t="shared" si="1"/>
        <v>3</v>
      </c>
      <c r="AC44" s="64">
        <f t="shared" si="2"/>
        <v>2.6666666666666665</v>
      </c>
      <c r="AD44" s="64">
        <f t="shared" si="3"/>
        <v>0.33333333333333331</v>
      </c>
      <c r="AE44" s="64">
        <f t="shared" si="4"/>
        <v>2.6666666666666665</v>
      </c>
      <c r="AF44" s="64">
        <f t="shared" si="5"/>
        <v>2</v>
      </c>
      <c r="AG44" s="64">
        <f t="shared" si="6"/>
        <v>2.3333333333333335</v>
      </c>
      <c r="AH44" s="64">
        <f t="shared" si="7"/>
        <v>2.6666666666666665</v>
      </c>
      <c r="AI44" s="64">
        <f t="shared" si="8"/>
        <v>0</v>
      </c>
    </row>
    <row r="45" spans="1:35">
      <c r="A45" s="23" t="s">
        <v>3830</v>
      </c>
      <c r="B45" s="23">
        <v>10044</v>
      </c>
      <c r="C45" s="23" t="s">
        <v>3831</v>
      </c>
      <c r="D45" s="24">
        <v>3</v>
      </c>
      <c r="E45" s="24">
        <v>0</v>
      </c>
      <c r="F45" s="24">
        <v>0</v>
      </c>
      <c r="G45" s="24">
        <v>3</v>
      </c>
      <c r="H45" s="24">
        <v>0</v>
      </c>
      <c r="I45" s="24">
        <v>3</v>
      </c>
      <c r="J45" s="24">
        <v>3</v>
      </c>
      <c r="K45" s="24">
        <v>0</v>
      </c>
      <c r="L45" s="26">
        <v>2</v>
      </c>
      <c r="M45" s="26">
        <v>0</v>
      </c>
      <c r="N45" s="26">
        <v>1</v>
      </c>
      <c r="O45" s="26">
        <v>2</v>
      </c>
      <c r="P45" s="26">
        <v>0</v>
      </c>
      <c r="Q45" s="26">
        <v>1</v>
      </c>
      <c r="R45" s="26">
        <v>1</v>
      </c>
      <c r="S45" s="26">
        <v>0</v>
      </c>
      <c r="T45" s="28">
        <v>3</v>
      </c>
      <c r="U45" s="28">
        <v>0</v>
      </c>
      <c r="V45" s="28">
        <v>0</v>
      </c>
      <c r="W45" s="28">
        <v>3</v>
      </c>
      <c r="X45" s="28">
        <v>0</v>
      </c>
      <c r="Y45" s="28">
        <v>3</v>
      </c>
      <c r="Z45" s="28">
        <v>3</v>
      </c>
      <c r="AA45" s="28">
        <v>0</v>
      </c>
      <c r="AB45" s="64">
        <f t="shared" si="1"/>
        <v>2.6666666666666665</v>
      </c>
      <c r="AC45" s="64">
        <f t="shared" si="2"/>
        <v>0</v>
      </c>
      <c r="AD45" s="64">
        <f t="shared" si="3"/>
        <v>0.33333333333333331</v>
      </c>
      <c r="AE45" s="64">
        <f t="shared" si="4"/>
        <v>2.6666666666666665</v>
      </c>
      <c r="AF45" s="64">
        <f t="shared" si="5"/>
        <v>0</v>
      </c>
      <c r="AG45" s="64">
        <f t="shared" si="6"/>
        <v>2.3333333333333335</v>
      </c>
      <c r="AH45" s="64">
        <f t="shared" si="7"/>
        <v>2.3333333333333335</v>
      </c>
      <c r="AI45" s="64">
        <f t="shared" si="8"/>
        <v>0</v>
      </c>
    </row>
    <row r="46" spans="1:35">
      <c r="A46" s="23" t="s">
        <v>3832</v>
      </c>
      <c r="B46" s="23">
        <v>10045</v>
      </c>
      <c r="C46" s="23" t="s">
        <v>3833</v>
      </c>
      <c r="D46" s="24">
        <v>2</v>
      </c>
      <c r="E46" s="24">
        <v>0</v>
      </c>
      <c r="F46" s="24">
        <v>0</v>
      </c>
      <c r="G46" s="24">
        <v>0</v>
      </c>
      <c r="H46" s="24">
        <v>0</v>
      </c>
      <c r="I46" s="24">
        <v>0</v>
      </c>
      <c r="J46" s="24">
        <v>0</v>
      </c>
      <c r="K46" s="24">
        <v>0</v>
      </c>
      <c r="L46" s="26">
        <v>2</v>
      </c>
      <c r="M46" s="26">
        <v>0</v>
      </c>
      <c r="N46" s="26">
        <v>1</v>
      </c>
      <c r="O46" s="26">
        <v>1</v>
      </c>
      <c r="P46" s="26">
        <v>0</v>
      </c>
      <c r="Q46" s="26">
        <v>1</v>
      </c>
      <c r="R46" s="26">
        <v>0</v>
      </c>
      <c r="S46" s="26">
        <v>0</v>
      </c>
      <c r="T46" s="28">
        <v>3</v>
      </c>
      <c r="U46" s="28">
        <v>0</v>
      </c>
      <c r="V46" s="28">
        <v>1</v>
      </c>
      <c r="W46" s="28">
        <v>2</v>
      </c>
      <c r="X46" s="28">
        <v>0</v>
      </c>
      <c r="Y46" s="28">
        <v>2</v>
      </c>
      <c r="Z46" s="28">
        <v>0</v>
      </c>
      <c r="AA46" s="28">
        <v>0</v>
      </c>
      <c r="AB46" s="64">
        <f t="shared" si="1"/>
        <v>2.3333333333333335</v>
      </c>
      <c r="AC46" s="64">
        <f t="shared" si="2"/>
        <v>0</v>
      </c>
      <c r="AD46" s="64">
        <f t="shared" si="3"/>
        <v>0.66666666666666663</v>
      </c>
      <c r="AE46" s="64">
        <f t="shared" si="4"/>
        <v>1</v>
      </c>
      <c r="AF46" s="64">
        <f t="shared" si="5"/>
        <v>0</v>
      </c>
      <c r="AG46" s="64">
        <f t="shared" si="6"/>
        <v>1</v>
      </c>
      <c r="AH46" s="64">
        <f t="shared" si="7"/>
        <v>0</v>
      </c>
      <c r="AI46" s="64">
        <f t="shared" si="8"/>
        <v>0</v>
      </c>
    </row>
    <row r="47" spans="1:35">
      <c r="A47" s="23" t="s">
        <v>3834</v>
      </c>
      <c r="B47" s="23">
        <v>10046</v>
      </c>
      <c r="C47" s="23" t="s">
        <v>3835</v>
      </c>
      <c r="D47" s="24">
        <v>3</v>
      </c>
      <c r="E47" s="24">
        <v>0</v>
      </c>
      <c r="F47" s="24">
        <v>0</v>
      </c>
      <c r="G47" s="24">
        <v>1</v>
      </c>
      <c r="H47" s="24">
        <v>0</v>
      </c>
      <c r="I47" s="24">
        <v>3</v>
      </c>
      <c r="J47" s="24">
        <v>3</v>
      </c>
      <c r="K47" s="24">
        <v>0</v>
      </c>
      <c r="L47" s="26">
        <v>2</v>
      </c>
      <c r="M47" s="26">
        <v>0</v>
      </c>
      <c r="N47" s="26">
        <v>0</v>
      </c>
      <c r="O47" s="26">
        <v>2</v>
      </c>
      <c r="P47" s="26">
        <v>3</v>
      </c>
      <c r="Q47" s="26">
        <v>2</v>
      </c>
      <c r="R47" s="26">
        <v>1</v>
      </c>
      <c r="S47" s="26">
        <v>0</v>
      </c>
      <c r="T47" s="28">
        <v>3</v>
      </c>
      <c r="U47" s="28">
        <v>0</v>
      </c>
      <c r="V47" s="28">
        <v>0</v>
      </c>
      <c r="W47" s="28">
        <v>3</v>
      </c>
      <c r="X47" s="28">
        <v>3</v>
      </c>
      <c r="Y47" s="28">
        <v>3</v>
      </c>
      <c r="Z47" s="28">
        <v>3</v>
      </c>
      <c r="AA47" s="28">
        <v>0</v>
      </c>
      <c r="AB47" s="64">
        <f t="shared" si="1"/>
        <v>2.6666666666666665</v>
      </c>
      <c r="AC47" s="64">
        <f t="shared" si="2"/>
        <v>0</v>
      </c>
      <c r="AD47" s="64">
        <f t="shared" si="3"/>
        <v>0</v>
      </c>
      <c r="AE47" s="64">
        <f t="shared" si="4"/>
        <v>2</v>
      </c>
      <c r="AF47" s="64">
        <f t="shared" si="5"/>
        <v>2</v>
      </c>
      <c r="AG47" s="64">
        <f t="shared" si="6"/>
        <v>2.6666666666666665</v>
      </c>
      <c r="AH47" s="64">
        <f t="shared" si="7"/>
        <v>2.3333333333333335</v>
      </c>
      <c r="AI47" s="64">
        <f t="shared" si="8"/>
        <v>0</v>
      </c>
    </row>
    <row r="48" spans="1:35">
      <c r="A48" s="23" t="s">
        <v>3836</v>
      </c>
      <c r="B48" s="23">
        <v>10047</v>
      </c>
      <c r="C48" s="23" t="s">
        <v>3837</v>
      </c>
      <c r="D48" s="24">
        <v>0</v>
      </c>
      <c r="E48" s="24">
        <v>0</v>
      </c>
      <c r="F48" s="24">
        <v>0</v>
      </c>
      <c r="G48" s="24">
        <v>3</v>
      </c>
      <c r="H48" s="24">
        <v>0</v>
      </c>
      <c r="I48" s="24">
        <v>0</v>
      </c>
      <c r="J48" s="24">
        <v>0</v>
      </c>
      <c r="K48" s="24">
        <v>0</v>
      </c>
      <c r="L48" s="26">
        <v>2</v>
      </c>
      <c r="M48" s="26">
        <v>0</v>
      </c>
      <c r="N48" s="26">
        <v>3</v>
      </c>
      <c r="O48" s="26">
        <v>2</v>
      </c>
      <c r="P48" s="26">
        <v>0</v>
      </c>
      <c r="Q48" s="26">
        <v>0</v>
      </c>
      <c r="R48" s="26">
        <v>0</v>
      </c>
      <c r="S48" s="26">
        <v>0</v>
      </c>
      <c r="T48" s="28">
        <v>0</v>
      </c>
      <c r="U48" s="28">
        <v>3</v>
      </c>
      <c r="V48" s="28">
        <v>3</v>
      </c>
      <c r="W48" s="28">
        <v>3</v>
      </c>
      <c r="X48" s="28">
        <v>0</v>
      </c>
      <c r="Y48" s="28">
        <v>0</v>
      </c>
      <c r="Z48" s="28">
        <v>1</v>
      </c>
      <c r="AA48" s="28">
        <v>0</v>
      </c>
      <c r="AB48" s="64">
        <f t="shared" si="1"/>
        <v>0.66666666666666663</v>
      </c>
      <c r="AC48" s="64">
        <f t="shared" si="2"/>
        <v>1</v>
      </c>
      <c r="AD48" s="64">
        <f t="shared" si="3"/>
        <v>2</v>
      </c>
      <c r="AE48" s="64">
        <f t="shared" si="4"/>
        <v>2.6666666666666665</v>
      </c>
      <c r="AF48" s="64">
        <f t="shared" si="5"/>
        <v>0</v>
      </c>
      <c r="AG48" s="64">
        <f t="shared" si="6"/>
        <v>0</v>
      </c>
      <c r="AH48" s="64">
        <f t="shared" si="7"/>
        <v>0.33333333333333331</v>
      </c>
      <c r="AI48" s="64">
        <f t="shared" si="8"/>
        <v>0</v>
      </c>
    </row>
    <row r="49" spans="1:35">
      <c r="A49" s="23" t="s">
        <v>3838</v>
      </c>
      <c r="B49" s="23">
        <v>10048</v>
      </c>
      <c r="C49" s="23" t="s">
        <v>3839</v>
      </c>
      <c r="D49" s="24">
        <v>3</v>
      </c>
      <c r="E49" s="24">
        <v>3</v>
      </c>
      <c r="F49" s="24">
        <v>3</v>
      </c>
      <c r="G49" s="24">
        <v>3</v>
      </c>
      <c r="H49" s="24">
        <v>3</v>
      </c>
      <c r="I49" s="24">
        <v>3</v>
      </c>
      <c r="J49" s="24">
        <v>3</v>
      </c>
      <c r="K49" s="24">
        <v>3</v>
      </c>
      <c r="L49" s="26">
        <v>2</v>
      </c>
      <c r="M49" s="26">
        <v>3</v>
      </c>
      <c r="N49" s="26">
        <v>2</v>
      </c>
      <c r="O49" s="26">
        <v>2</v>
      </c>
      <c r="P49" s="26">
        <v>3</v>
      </c>
      <c r="Q49" s="26">
        <v>1</v>
      </c>
      <c r="R49" s="26">
        <v>1</v>
      </c>
      <c r="S49" s="26">
        <v>2</v>
      </c>
      <c r="T49" s="28">
        <v>3</v>
      </c>
      <c r="U49" s="28">
        <v>3</v>
      </c>
      <c r="V49" s="28">
        <v>2</v>
      </c>
      <c r="W49" s="28">
        <v>3</v>
      </c>
      <c r="X49" s="28">
        <v>3</v>
      </c>
      <c r="Y49" s="28">
        <v>1</v>
      </c>
      <c r="Z49" s="28">
        <v>2</v>
      </c>
      <c r="AA49" s="28">
        <v>0</v>
      </c>
      <c r="AB49" s="64">
        <f t="shared" si="1"/>
        <v>2.6666666666666665</v>
      </c>
      <c r="AC49" s="64">
        <f t="shared" si="2"/>
        <v>3</v>
      </c>
      <c r="AD49" s="64">
        <f t="shared" si="3"/>
        <v>2.3333333333333335</v>
      </c>
      <c r="AE49" s="64">
        <f t="shared" si="4"/>
        <v>2.6666666666666665</v>
      </c>
      <c r="AF49" s="64">
        <f t="shared" si="5"/>
        <v>3</v>
      </c>
      <c r="AG49" s="64">
        <f t="shared" si="6"/>
        <v>1.6666666666666667</v>
      </c>
      <c r="AH49" s="64">
        <f t="shared" si="7"/>
        <v>2</v>
      </c>
      <c r="AI49" s="64">
        <f t="shared" si="8"/>
        <v>1.6666666666666667</v>
      </c>
    </row>
    <row r="50" spans="1:35">
      <c r="A50" s="23" t="s">
        <v>3840</v>
      </c>
      <c r="B50" s="23">
        <v>10049</v>
      </c>
      <c r="C50" s="23" t="s">
        <v>3841</v>
      </c>
      <c r="D50" s="24">
        <v>3</v>
      </c>
      <c r="E50" s="24">
        <v>0</v>
      </c>
      <c r="F50" s="24">
        <v>0</v>
      </c>
      <c r="G50" s="24">
        <v>1</v>
      </c>
      <c r="H50" s="24">
        <v>0</v>
      </c>
      <c r="I50" s="24">
        <v>2</v>
      </c>
      <c r="J50" s="24">
        <v>0</v>
      </c>
      <c r="K50" s="24">
        <v>0</v>
      </c>
      <c r="L50" s="26">
        <v>1</v>
      </c>
      <c r="M50" s="26">
        <v>0</v>
      </c>
      <c r="N50" s="26">
        <v>0</v>
      </c>
      <c r="O50" s="26">
        <v>1</v>
      </c>
      <c r="P50" s="26">
        <v>1</v>
      </c>
      <c r="Q50" s="26">
        <v>2</v>
      </c>
      <c r="R50" s="26">
        <v>1</v>
      </c>
      <c r="S50" s="26">
        <v>0</v>
      </c>
      <c r="T50" s="28">
        <v>0</v>
      </c>
      <c r="U50" s="28">
        <v>0</v>
      </c>
      <c r="V50" s="28">
        <v>0</v>
      </c>
      <c r="W50" s="28">
        <v>1</v>
      </c>
      <c r="X50" s="28">
        <v>1</v>
      </c>
      <c r="Y50" s="28">
        <v>1</v>
      </c>
      <c r="Z50" s="28">
        <v>1</v>
      </c>
      <c r="AA50" s="28">
        <v>0</v>
      </c>
      <c r="AB50" s="64">
        <f t="shared" si="1"/>
        <v>1.3333333333333333</v>
      </c>
      <c r="AC50" s="64">
        <f t="shared" si="2"/>
        <v>0</v>
      </c>
      <c r="AD50" s="64">
        <f t="shared" si="3"/>
        <v>0</v>
      </c>
      <c r="AE50" s="64">
        <f t="shared" si="4"/>
        <v>1</v>
      </c>
      <c r="AF50" s="64">
        <f t="shared" si="5"/>
        <v>0.66666666666666663</v>
      </c>
      <c r="AG50" s="64">
        <f t="shared" si="6"/>
        <v>1.6666666666666667</v>
      </c>
      <c r="AH50" s="64">
        <f t="shared" si="7"/>
        <v>0.66666666666666663</v>
      </c>
      <c r="AI50" s="64">
        <f t="shared" si="8"/>
        <v>0</v>
      </c>
    </row>
    <row r="51" spans="1:35">
      <c r="A51" s="23" t="s">
        <v>3842</v>
      </c>
      <c r="B51" s="23">
        <v>10050</v>
      </c>
      <c r="C51" s="23" t="s">
        <v>3843</v>
      </c>
      <c r="D51" s="24">
        <v>0</v>
      </c>
      <c r="E51" s="24">
        <v>0</v>
      </c>
      <c r="F51" s="24">
        <v>0</v>
      </c>
      <c r="G51" s="24">
        <v>1</v>
      </c>
      <c r="H51" s="24">
        <v>0</v>
      </c>
      <c r="I51" s="24">
        <v>0</v>
      </c>
      <c r="J51" s="24">
        <v>0</v>
      </c>
      <c r="K51" s="24">
        <v>0</v>
      </c>
      <c r="L51" s="26">
        <v>0</v>
      </c>
      <c r="M51" s="26">
        <v>0</v>
      </c>
      <c r="N51" s="26">
        <v>2</v>
      </c>
      <c r="O51" s="26">
        <v>2</v>
      </c>
      <c r="P51" s="26">
        <v>2</v>
      </c>
      <c r="Q51" s="26">
        <v>0</v>
      </c>
      <c r="R51" s="26">
        <v>0</v>
      </c>
      <c r="S51" s="26">
        <v>0</v>
      </c>
      <c r="T51" s="28">
        <v>0</v>
      </c>
      <c r="U51" s="28">
        <v>0</v>
      </c>
      <c r="V51" s="28">
        <v>0</v>
      </c>
      <c r="W51" s="28">
        <v>2</v>
      </c>
      <c r="X51" s="28">
        <v>3</v>
      </c>
      <c r="Y51" s="28">
        <v>0</v>
      </c>
      <c r="Z51" s="28">
        <v>0</v>
      </c>
      <c r="AA51" s="28">
        <v>0</v>
      </c>
      <c r="AB51" s="64">
        <f t="shared" si="1"/>
        <v>0</v>
      </c>
      <c r="AC51" s="64">
        <f t="shared" si="2"/>
        <v>0</v>
      </c>
      <c r="AD51" s="64">
        <f t="shared" si="3"/>
        <v>0.66666666666666663</v>
      </c>
      <c r="AE51" s="64">
        <f t="shared" si="4"/>
        <v>1.6666666666666667</v>
      </c>
      <c r="AF51" s="64">
        <f t="shared" si="5"/>
        <v>1.6666666666666667</v>
      </c>
      <c r="AG51" s="64">
        <f t="shared" si="6"/>
        <v>0</v>
      </c>
      <c r="AH51" s="64">
        <f t="shared" si="7"/>
        <v>0</v>
      </c>
      <c r="AI51" s="64">
        <f t="shared" si="8"/>
        <v>0</v>
      </c>
    </row>
    <row r="52" spans="1:35">
      <c r="A52" s="23" t="s">
        <v>3844</v>
      </c>
      <c r="B52" s="23">
        <v>10051</v>
      </c>
      <c r="C52" s="23" t="s">
        <v>3845</v>
      </c>
      <c r="D52" s="24">
        <v>3</v>
      </c>
      <c r="E52" s="24">
        <v>3</v>
      </c>
      <c r="F52" s="24">
        <v>2</v>
      </c>
      <c r="G52" s="24">
        <v>3</v>
      </c>
      <c r="H52" s="24">
        <v>3</v>
      </c>
      <c r="I52" s="24">
        <v>3</v>
      </c>
      <c r="J52" s="24">
        <v>0</v>
      </c>
      <c r="K52" s="24">
        <v>0</v>
      </c>
      <c r="L52" s="26">
        <v>2</v>
      </c>
      <c r="M52" s="26">
        <v>3</v>
      </c>
      <c r="N52" s="26">
        <v>1</v>
      </c>
      <c r="O52" s="26">
        <v>2</v>
      </c>
      <c r="P52" s="26">
        <v>3</v>
      </c>
      <c r="Q52" s="26">
        <v>2</v>
      </c>
      <c r="R52" s="26">
        <v>1</v>
      </c>
      <c r="S52" s="26">
        <v>0</v>
      </c>
      <c r="T52" s="28">
        <v>3</v>
      </c>
      <c r="U52" s="28">
        <v>3</v>
      </c>
      <c r="V52" s="28">
        <v>2</v>
      </c>
      <c r="W52" s="28">
        <v>3</v>
      </c>
      <c r="X52" s="28">
        <v>3</v>
      </c>
      <c r="Y52" s="28">
        <v>3</v>
      </c>
      <c r="Z52" s="28">
        <v>3</v>
      </c>
      <c r="AA52" s="28">
        <v>0</v>
      </c>
      <c r="AB52" s="64">
        <f t="shared" si="1"/>
        <v>2.6666666666666665</v>
      </c>
      <c r="AC52" s="64">
        <f t="shared" si="2"/>
        <v>3</v>
      </c>
      <c r="AD52" s="64">
        <f t="shared" si="3"/>
        <v>1.6666666666666667</v>
      </c>
      <c r="AE52" s="64">
        <f t="shared" si="4"/>
        <v>2.6666666666666665</v>
      </c>
      <c r="AF52" s="64">
        <f t="shared" si="5"/>
        <v>3</v>
      </c>
      <c r="AG52" s="64">
        <f t="shared" si="6"/>
        <v>2.6666666666666665</v>
      </c>
      <c r="AH52" s="64">
        <f t="shared" si="7"/>
        <v>1.3333333333333333</v>
      </c>
      <c r="AI52" s="64">
        <f t="shared" si="8"/>
        <v>0</v>
      </c>
    </row>
    <row r="53" spans="1:35">
      <c r="A53" s="23" t="s">
        <v>3826</v>
      </c>
      <c r="B53" s="23">
        <v>10054</v>
      </c>
      <c r="C53" s="23" t="s">
        <v>3846</v>
      </c>
      <c r="D53" s="24">
        <v>3</v>
      </c>
      <c r="E53" s="24">
        <v>3</v>
      </c>
      <c r="F53" s="24">
        <v>1</v>
      </c>
      <c r="G53" s="24">
        <v>1</v>
      </c>
      <c r="H53" s="24">
        <v>3</v>
      </c>
      <c r="I53" s="24">
        <v>3</v>
      </c>
      <c r="J53" s="24">
        <v>0</v>
      </c>
      <c r="K53" s="24">
        <v>0</v>
      </c>
      <c r="L53" s="26">
        <v>2</v>
      </c>
      <c r="M53" s="26">
        <v>2</v>
      </c>
      <c r="N53" s="26">
        <v>1</v>
      </c>
      <c r="O53" s="26">
        <v>2</v>
      </c>
      <c r="P53" s="26">
        <v>3</v>
      </c>
      <c r="Q53" s="26">
        <v>2</v>
      </c>
      <c r="R53" s="26">
        <v>1</v>
      </c>
      <c r="S53" s="26">
        <v>0</v>
      </c>
      <c r="T53" s="28">
        <v>3</v>
      </c>
      <c r="U53" s="28">
        <v>3</v>
      </c>
      <c r="V53" s="28">
        <v>2</v>
      </c>
      <c r="W53" s="28">
        <v>3</v>
      </c>
      <c r="X53" s="28">
        <v>3</v>
      </c>
      <c r="Y53" s="28">
        <v>3</v>
      </c>
      <c r="Z53" s="28">
        <v>2</v>
      </c>
      <c r="AA53" s="28">
        <v>0</v>
      </c>
      <c r="AB53" s="64">
        <f t="shared" si="1"/>
        <v>2.6666666666666665</v>
      </c>
      <c r="AC53" s="64">
        <f t="shared" si="2"/>
        <v>2.6666666666666665</v>
      </c>
      <c r="AD53" s="64">
        <f t="shared" si="3"/>
        <v>1.3333333333333333</v>
      </c>
      <c r="AE53" s="64">
        <f t="shared" si="4"/>
        <v>2</v>
      </c>
      <c r="AF53" s="64">
        <f t="shared" si="5"/>
        <v>3</v>
      </c>
      <c r="AG53" s="64">
        <f t="shared" si="6"/>
        <v>2.6666666666666665</v>
      </c>
      <c r="AH53" s="64">
        <f t="shared" si="7"/>
        <v>1</v>
      </c>
      <c r="AI53" s="64">
        <f t="shared" si="8"/>
        <v>0</v>
      </c>
    </row>
    <row r="54" spans="1:35">
      <c r="A54" s="23" t="s">
        <v>3832</v>
      </c>
      <c r="B54" s="23">
        <v>10055</v>
      </c>
      <c r="C54" s="23" t="s">
        <v>3847</v>
      </c>
      <c r="D54" s="24">
        <v>3</v>
      </c>
      <c r="E54" s="24">
        <v>3</v>
      </c>
      <c r="F54" s="24">
        <v>0</v>
      </c>
      <c r="G54" s="24">
        <v>0</v>
      </c>
      <c r="H54" s="24">
        <v>2</v>
      </c>
      <c r="I54" s="24">
        <v>3</v>
      </c>
      <c r="J54" s="24">
        <v>0</v>
      </c>
      <c r="K54" s="24">
        <v>0</v>
      </c>
      <c r="L54" s="26">
        <v>1</v>
      </c>
      <c r="M54" s="26">
        <v>1</v>
      </c>
      <c r="N54" s="26">
        <v>2</v>
      </c>
      <c r="O54" s="26">
        <v>0</v>
      </c>
      <c r="P54" s="26">
        <v>0</v>
      </c>
      <c r="Q54" s="26">
        <v>1</v>
      </c>
      <c r="R54" s="26">
        <v>0</v>
      </c>
      <c r="S54" s="26">
        <v>0</v>
      </c>
      <c r="T54" s="28">
        <v>2</v>
      </c>
      <c r="U54" s="28">
        <v>3</v>
      </c>
      <c r="V54" s="28">
        <v>0</v>
      </c>
      <c r="W54" s="28">
        <v>0</v>
      </c>
      <c r="X54" s="28">
        <v>2</v>
      </c>
      <c r="Y54" s="28">
        <v>1</v>
      </c>
      <c r="Z54" s="28">
        <v>3</v>
      </c>
      <c r="AA54" s="28">
        <v>0</v>
      </c>
      <c r="AB54" s="64">
        <f t="shared" si="1"/>
        <v>2</v>
      </c>
      <c r="AC54" s="64">
        <f t="shared" si="2"/>
        <v>2.3333333333333335</v>
      </c>
      <c r="AD54" s="64">
        <f t="shared" si="3"/>
        <v>0.66666666666666663</v>
      </c>
      <c r="AE54" s="64">
        <f t="shared" si="4"/>
        <v>0</v>
      </c>
      <c r="AF54" s="64">
        <f t="shared" si="5"/>
        <v>1.3333333333333333</v>
      </c>
      <c r="AG54" s="64">
        <f t="shared" si="6"/>
        <v>1.6666666666666667</v>
      </c>
      <c r="AH54" s="64">
        <f t="shared" si="7"/>
        <v>1</v>
      </c>
      <c r="AI54" s="64">
        <f t="shared" si="8"/>
        <v>0</v>
      </c>
    </row>
    <row r="55" spans="1:35">
      <c r="A55" s="23" t="s">
        <v>3848</v>
      </c>
      <c r="B55" s="23">
        <v>10056</v>
      </c>
      <c r="C55" s="23" t="s">
        <v>3849</v>
      </c>
      <c r="D55" s="24">
        <v>3</v>
      </c>
      <c r="E55" s="24">
        <v>0</v>
      </c>
      <c r="F55" s="24">
        <v>2</v>
      </c>
      <c r="G55" s="24">
        <v>3</v>
      </c>
      <c r="H55" s="24">
        <v>0</v>
      </c>
      <c r="I55" s="24">
        <v>3</v>
      </c>
      <c r="J55" s="24">
        <v>3</v>
      </c>
      <c r="K55" s="24">
        <v>3</v>
      </c>
      <c r="L55" s="26">
        <v>2</v>
      </c>
      <c r="M55" s="26">
        <v>0</v>
      </c>
      <c r="N55" s="26">
        <v>2</v>
      </c>
      <c r="O55" s="26">
        <v>1</v>
      </c>
      <c r="P55" s="26">
        <v>2</v>
      </c>
      <c r="Q55" s="26">
        <v>3</v>
      </c>
      <c r="R55" s="26">
        <v>1</v>
      </c>
      <c r="S55" s="26">
        <v>2</v>
      </c>
      <c r="T55" s="28">
        <v>3</v>
      </c>
      <c r="U55" s="28">
        <v>0</v>
      </c>
      <c r="V55" s="28">
        <v>0</v>
      </c>
      <c r="W55" s="28">
        <v>3</v>
      </c>
      <c r="X55" s="28">
        <v>3</v>
      </c>
      <c r="Y55" s="28">
        <v>3</v>
      </c>
      <c r="Z55" s="28">
        <v>3</v>
      </c>
      <c r="AA55" s="28">
        <v>3</v>
      </c>
      <c r="AB55" s="64">
        <f t="shared" si="1"/>
        <v>2.6666666666666665</v>
      </c>
      <c r="AC55" s="64">
        <f t="shared" si="2"/>
        <v>0</v>
      </c>
      <c r="AD55" s="64">
        <f t="shared" si="3"/>
        <v>1.3333333333333333</v>
      </c>
      <c r="AE55" s="64">
        <f t="shared" si="4"/>
        <v>2.3333333333333335</v>
      </c>
      <c r="AF55" s="64">
        <f t="shared" si="5"/>
        <v>1.6666666666666667</v>
      </c>
      <c r="AG55" s="64">
        <f t="shared" si="6"/>
        <v>3</v>
      </c>
      <c r="AH55" s="64">
        <f t="shared" si="7"/>
        <v>2.3333333333333335</v>
      </c>
      <c r="AI55" s="64">
        <f t="shared" si="8"/>
        <v>2.6666666666666665</v>
      </c>
    </row>
    <row r="56" spans="1:35">
      <c r="A56" s="23" t="s">
        <v>3850</v>
      </c>
      <c r="B56" s="23">
        <v>10057</v>
      </c>
      <c r="C56" s="23" t="s">
        <v>3851</v>
      </c>
      <c r="D56" s="24">
        <v>3</v>
      </c>
      <c r="E56" s="24">
        <v>3</v>
      </c>
      <c r="F56" s="24">
        <v>1</v>
      </c>
      <c r="G56" s="24">
        <v>1</v>
      </c>
      <c r="H56" s="24">
        <v>2</v>
      </c>
      <c r="I56" s="24">
        <v>3</v>
      </c>
      <c r="J56" s="24">
        <v>3</v>
      </c>
      <c r="K56" s="24">
        <v>0</v>
      </c>
      <c r="L56" s="26">
        <v>2</v>
      </c>
      <c r="M56" s="26">
        <v>2</v>
      </c>
      <c r="N56" s="26">
        <v>2</v>
      </c>
      <c r="O56" s="26">
        <v>1</v>
      </c>
      <c r="P56" s="26">
        <v>1</v>
      </c>
      <c r="Q56" s="26">
        <v>2</v>
      </c>
      <c r="R56" s="26">
        <v>2</v>
      </c>
      <c r="S56" s="26">
        <v>0</v>
      </c>
      <c r="T56" s="28">
        <v>0</v>
      </c>
      <c r="U56" s="28">
        <v>3</v>
      </c>
      <c r="V56" s="28">
        <v>1</v>
      </c>
      <c r="W56" s="28">
        <v>3</v>
      </c>
      <c r="X56" s="28">
        <v>2</v>
      </c>
      <c r="Y56" s="28">
        <v>3</v>
      </c>
      <c r="Z56" s="28">
        <v>3</v>
      </c>
      <c r="AA56" s="28">
        <v>0</v>
      </c>
      <c r="AB56" s="64">
        <f t="shared" si="1"/>
        <v>1.6666666666666667</v>
      </c>
      <c r="AC56" s="64">
        <f t="shared" si="2"/>
        <v>2.6666666666666665</v>
      </c>
      <c r="AD56" s="64">
        <f t="shared" si="3"/>
        <v>1.3333333333333333</v>
      </c>
      <c r="AE56" s="64">
        <f t="shared" si="4"/>
        <v>1.6666666666666667</v>
      </c>
      <c r="AF56" s="64">
        <f t="shared" si="5"/>
        <v>1.6666666666666667</v>
      </c>
      <c r="AG56" s="64">
        <f t="shared" si="6"/>
        <v>2.6666666666666665</v>
      </c>
      <c r="AH56" s="64">
        <f t="shared" si="7"/>
        <v>2.6666666666666665</v>
      </c>
      <c r="AI56" s="64">
        <f t="shared" si="8"/>
        <v>0</v>
      </c>
    </row>
    <row r="57" spans="1:35">
      <c r="A57" s="23" t="s">
        <v>3852</v>
      </c>
      <c r="B57" s="23">
        <v>10058</v>
      </c>
      <c r="C57" s="23" t="s">
        <v>3853</v>
      </c>
      <c r="D57" s="24">
        <v>3</v>
      </c>
      <c r="E57" s="24">
        <v>3</v>
      </c>
      <c r="F57" s="24">
        <v>0</v>
      </c>
      <c r="G57" s="24">
        <v>0</v>
      </c>
      <c r="H57" s="24">
        <v>3</v>
      </c>
      <c r="I57" s="24">
        <v>1</v>
      </c>
      <c r="J57" s="24">
        <v>3</v>
      </c>
      <c r="K57" s="24">
        <v>3</v>
      </c>
      <c r="L57" s="26">
        <v>2</v>
      </c>
      <c r="M57" s="26">
        <v>1</v>
      </c>
      <c r="N57" s="26">
        <v>0</v>
      </c>
      <c r="O57" s="26">
        <v>0</v>
      </c>
      <c r="P57" s="26">
        <v>1</v>
      </c>
      <c r="Q57" s="26">
        <v>2</v>
      </c>
      <c r="R57" s="26">
        <v>1</v>
      </c>
      <c r="S57" s="26">
        <v>2</v>
      </c>
      <c r="T57" s="28">
        <v>3</v>
      </c>
      <c r="U57" s="28">
        <v>3</v>
      </c>
      <c r="V57" s="28">
        <v>0</v>
      </c>
      <c r="W57" s="28">
        <v>3</v>
      </c>
      <c r="X57" s="28">
        <v>0</v>
      </c>
      <c r="Y57" s="28">
        <v>3</v>
      </c>
      <c r="Z57" s="28">
        <v>3</v>
      </c>
      <c r="AA57" s="28">
        <v>3</v>
      </c>
      <c r="AB57" s="64">
        <f t="shared" si="1"/>
        <v>2.6666666666666665</v>
      </c>
      <c r="AC57" s="64">
        <f t="shared" si="2"/>
        <v>2.3333333333333335</v>
      </c>
      <c r="AD57" s="64">
        <f t="shared" si="3"/>
        <v>0</v>
      </c>
      <c r="AE57" s="64">
        <f t="shared" si="4"/>
        <v>1</v>
      </c>
      <c r="AF57" s="64">
        <f t="shared" si="5"/>
        <v>1.3333333333333333</v>
      </c>
      <c r="AG57" s="64">
        <f t="shared" si="6"/>
        <v>2</v>
      </c>
      <c r="AH57" s="64">
        <f t="shared" si="7"/>
        <v>2.3333333333333335</v>
      </c>
      <c r="AI57" s="64">
        <f t="shared" si="8"/>
        <v>2.6666666666666665</v>
      </c>
    </row>
    <row r="58" spans="1:35">
      <c r="A58" s="23" t="s">
        <v>3854</v>
      </c>
      <c r="B58" s="23">
        <v>10059</v>
      </c>
      <c r="C58" s="23" t="s">
        <v>3855</v>
      </c>
      <c r="D58" s="24">
        <v>2</v>
      </c>
      <c r="E58" s="24">
        <v>0</v>
      </c>
      <c r="F58" s="24">
        <v>0</v>
      </c>
      <c r="G58" s="24">
        <v>2</v>
      </c>
      <c r="H58" s="24">
        <v>0</v>
      </c>
      <c r="I58" s="24">
        <v>0</v>
      </c>
      <c r="J58" s="24">
        <v>0</v>
      </c>
      <c r="K58" s="24">
        <v>0</v>
      </c>
      <c r="L58" s="26">
        <v>0</v>
      </c>
      <c r="M58" s="26">
        <v>0</v>
      </c>
      <c r="N58" s="26">
        <v>0</v>
      </c>
      <c r="O58" s="26">
        <v>0</v>
      </c>
      <c r="P58" s="26">
        <v>0</v>
      </c>
      <c r="Q58" s="26">
        <v>1</v>
      </c>
      <c r="R58" s="26">
        <v>1</v>
      </c>
      <c r="S58" s="26">
        <v>0</v>
      </c>
      <c r="T58" s="28">
        <v>0</v>
      </c>
      <c r="U58" s="28">
        <v>0</v>
      </c>
      <c r="V58" s="28">
        <v>0</v>
      </c>
      <c r="W58" s="28">
        <v>1</v>
      </c>
      <c r="X58" s="28">
        <v>0</v>
      </c>
      <c r="Y58" s="28">
        <v>3</v>
      </c>
      <c r="Z58" s="28">
        <v>1</v>
      </c>
      <c r="AA58" s="28">
        <v>0</v>
      </c>
      <c r="AB58" s="64">
        <f t="shared" si="1"/>
        <v>0.66666666666666663</v>
      </c>
      <c r="AC58" s="64">
        <f t="shared" si="2"/>
        <v>0</v>
      </c>
      <c r="AD58" s="64">
        <f t="shared" si="3"/>
        <v>0</v>
      </c>
      <c r="AE58" s="64">
        <f t="shared" si="4"/>
        <v>1</v>
      </c>
      <c r="AF58" s="64">
        <f t="shared" si="5"/>
        <v>0</v>
      </c>
      <c r="AG58" s="64">
        <f t="shared" si="6"/>
        <v>1.3333333333333333</v>
      </c>
      <c r="AH58" s="64">
        <f t="shared" si="7"/>
        <v>0.66666666666666663</v>
      </c>
      <c r="AI58" s="64">
        <f t="shared" si="8"/>
        <v>0</v>
      </c>
    </row>
    <row r="59" spans="1:35">
      <c r="A59" s="23" t="s">
        <v>3856</v>
      </c>
      <c r="B59" s="23">
        <v>10060</v>
      </c>
      <c r="C59" s="23" t="s">
        <v>3857</v>
      </c>
      <c r="D59" s="24">
        <v>3</v>
      </c>
      <c r="E59" s="24">
        <v>3</v>
      </c>
      <c r="F59" s="24">
        <v>1</v>
      </c>
      <c r="G59" s="24">
        <v>1</v>
      </c>
      <c r="H59" s="24">
        <v>0</v>
      </c>
      <c r="I59" s="24">
        <v>3</v>
      </c>
      <c r="J59" s="24">
        <v>3</v>
      </c>
      <c r="K59" s="24">
        <v>0</v>
      </c>
      <c r="L59" s="26">
        <v>2</v>
      </c>
      <c r="M59" s="26">
        <v>2</v>
      </c>
      <c r="N59" s="26">
        <v>0</v>
      </c>
      <c r="O59" s="26">
        <v>1</v>
      </c>
      <c r="P59" s="26">
        <v>3</v>
      </c>
      <c r="Q59" s="26">
        <v>2</v>
      </c>
      <c r="R59" s="26">
        <v>1</v>
      </c>
      <c r="S59" s="26">
        <v>1</v>
      </c>
      <c r="T59" s="28">
        <v>3</v>
      </c>
      <c r="U59" s="28">
        <v>0</v>
      </c>
      <c r="V59" s="28">
        <v>1</v>
      </c>
      <c r="W59" s="28">
        <v>2</v>
      </c>
      <c r="X59" s="28">
        <v>2</v>
      </c>
      <c r="Y59" s="28">
        <v>2</v>
      </c>
      <c r="Z59" s="28">
        <v>3</v>
      </c>
      <c r="AA59" s="28">
        <v>0</v>
      </c>
      <c r="AB59" s="64">
        <f t="shared" si="1"/>
        <v>2.6666666666666665</v>
      </c>
      <c r="AC59" s="64">
        <f t="shared" si="2"/>
        <v>1.6666666666666667</v>
      </c>
      <c r="AD59" s="64">
        <f t="shared" si="3"/>
        <v>0.66666666666666663</v>
      </c>
      <c r="AE59" s="64">
        <f t="shared" si="4"/>
        <v>1.3333333333333333</v>
      </c>
      <c r="AF59" s="64">
        <f t="shared" si="5"/>
        <v>1.6666666666666667</v>
      </c>
      <c r="AG59" s="64">
        <f t="shared" si="6"/>
        <v>2.3333333333333335</v>
      </c>
      <c r="AH59" s="64">
        <f t="shared" si="7"/>
        <v>2.3333333333333335</v>
      </c>
      <c r="AI59" s="64">
        <f t="shared" si="8"/>
        <v>0.33333333333333331</v>
      </c>
    </row>
    <row r="60" spans="1:35">
      <c r="A60" s="23" t="s">
        <v>3858</v>
      </c>
      <c r="B60" s="23">
        <v>10061</v>
      </c>
      <c r="C60" s="23" t="s">
        <v>3859</v>
      </c>
      <c r="D60" s="24">
        <v>0</v>
      </c>
      <c r="E60" s="24">
        <v>0</v>
      </c>
      <c r="F60" s="24">
        <v>0</v>
      </c>
      <c r="G60" s="24">
        <v>0</v>
      </c>
      <c r="H60" s="24">
        <v>0</v>
      </c>
      <c r="I60" s="24">
        <v>3</v>
      </c>
      <c r="J60" s="24">
        <v>3</v>
      </c>
      <c r="K60" s="24">
        <v>0</v>
      </c>
      <c r="L60" s="26">
        <v>0</v>
      </c>
      <c r="M60" s="26">
        <v>0</v>
      </c>
      <c r="N60" s="26">
        <v>0</v>
      </c>
      <c r="O60" s="26">
        <v>0</v>
      </c>
      <c r="P60" s="26">
        <v>2</v>
      </c>
      <c r="Q60" s="26">
        <v>2</v>
      </c>
      <c r="R60" s="26">
        <v>1</v>
      </c>
      <c r="S60" s="26">
        <v>0</v>
      </c>
      <c r="T60" s="28">
        <v>1</v>
      </c>
      <c r="U60" s="28">
        <v>0</v>
      </c>
      <c r="V60" s="28">
        <v>1</v>
      </c>
      <c r="W60" s="28">
        <v>1</v>
      </c>
      <c r="X60" s="28">
        <v>0</v>
      </c>
      <c r="Y60" s="28">
        <v>3</v>
      </c>
      <c r="Z60" s="28">
        <v>3</v>
      </c>
      <c r="AA60" s="28">
        <v>0</v>
      </c>
      <c r="AB60" s="64">
        <f t="shared" si="1"/>
        <v>0.33333333333333331</v>
      </c>
      <c r="AC60" s="64">
        <f t="shared" si="2"/>
        <v>0</v>
      </c>
      <c r="AD60" s="64">
        <f t="shared" si="3"/>
        <v>0.33333333333333331</v>
      </c>
      <c r="AE60" s="64">
        <f t="shared" si="4"/>
        <v>0.33333333333333331</v>
      </c>
      <c r="AF60" s="64">
        <f t="shared" si="5"/>
        <v>0.66666666666666663</v>
      </c>
      <c r="AG60" s="64">
        <f t="shared" si="6"/>
        <v>2.6666666666666665</v>
      </c>
      <c r="AH60" s="64">
        <f t="shared" si="7"/>
        <v>2.3333333333333335</v>
      </c>
      <c r="AI60" s="64">
        <f t="shared" si="8"/>
        <v>0</v>
      </c>
    </row>
    <row r="61" spans="1:35">
      <c r="A61" s="23" t="s">
        <v>3860</v>
      </c>
      <c r="B61" s="23">
        <v>10062</v>
      </c>
      <c r="C61" s="23" t="s">
        <v>3861</v>
      </c>
      <c r="D61" s="24">
        <v>3</v>
      </c>
      <c r="E61" s="24">
        <v>0</v>
      </c>
      <c r="F61" s="24">
        <v>0</v>
      </c>
      <c r="G61" s="24">
        <v>3</v>
      </c>
      <c r="H61" s="24">
        <v>0</v>
      </c>
      <c r="I61" s="24">
        <v>3</v>
      </c>
      <c r="J61" s="24">
        <v>3</v>
      </c>
      <c r="K61" s="24">
        <v>0</v>
      </c>
      <c r="L61" s="26">
        <v>0</v>
      </c>
      <c r="M61" s="26">
        <v>0</v>
      </c>
      <c r="N61" s="26">
        <v>0</v>
      </c>
      <c r="O61" s="26">
        <v>1</v>
      </c>
      <c r="P61" s="26">
        <v>0</v>
      </c>
      <c r="Q61" s="26">
        <v>2</v>
      </c>
      <c r="R61" s="26">
        <v>1</v>
      </c>
      <c r="S61" s="26">
        <v>0</v>
      </c>
      <c r="T61" s="28">
        <v>1</v>
      </c>
      <c r="U61" s="28">
        <v>0</v>
      </c>
      <c r="V61" s="28">
        <v>0</v>
      </c>
      <c r="W61" s="28">
        <v>3</v>
      </c>
      <c r="X61" s="28">
        <v>0</v>
      </c>
      <c r="Y61" s="28">
        <v>3</v>
      </c>
      <c r="Z61" s="28">
        <v>3</v>
      </c>
      <c r="AA61" s="28">
        <v>0</v>
      </c>
      <c r="AB61" s="64">
        <f t="shared" si="1"/>
        <v>1.3333333333333333</v>
      </c>
      <c r="AC61" s="64">
        <f t="shared" si="2"/>
        <v>0</v>
      </c>
      <c r="AD61" s="64">
        <f t="shared" si="3"/>
        <v>0</v>
      </c>
      <c r="AE61" s="64">
        <f t="shared" si="4"/>
        <v>2.3333333333333335</v>
      </c>
      <c r="AF61" s="64">
        <f t="shared" si="5"/>
        <v>0</v>
      </c>
      <c r="AG61" s="64">
        <f t="shared" si="6"/>
        <v>2.6666666666666665</v>
      </c>
      <c r="AH61" s="64">
        <f t="shared" si="7"/>
        <v>2.3333333333333335</v>
      </c>
      <c r="AI61" s="64">
        <f t="shared" si="8"/>
        <v>0</v>
      </c>
    </row>
    <row r="62" spans="1:35">
      <c r="A62" s="23" t="s">
        <v>3862</v>
      </c>
      <c r="B62" s="23">
        <v>10063</v>
      </c>
      <c r="C62" s="23" t="s">
        <v>3863</v>
      </c>
      <c r="D62" s="24">
        <v>3</v>
      </c>
      <c r="E62" s="24">
        <v>3</v>
      </c>
      <c r="F62" s="24">
        <v>0</v>
      </c>
      <c r="G62" s="24">
        <v>0</v>
      </c>
      <c r="H62" s="24">
        <v>0</v>
      </c>
      <c r="I62" s="24">
        <v>1</v>
      </c>
      <c r="J62" s="24">
        <v>3</v>
      </c>
      <c r="K62" s="24">
        <v>0</v>
      </c>
      <c r="L62" s="26">
        <v>2</v>
      </c>
      <c r="M62" s="26">
        <v>2</v>
      </c>
      <c r="N62" s="26">
        <v>0</v>
      </c>
      <c r="O62" s="26">
        <v>0</v>
      </c>
      <c r="P62" s="26">
        <v>2</v>
      </c>
      <c r="Q62" s="26">
        <v>2</v>
      </c>
      <c r="R62" s="26">
        <v>1</v>
      </c>
      <c r="S62" s="26">
        <v>0</v>
      </c>
      <c r="T62" s="28">
        <v>2</v>
      </c>
      <c r="U62" s="28">
        <v>3</v>
      </c>
      <c r="V62" s="28">
        <v>0</v>
      </c>
      <c r="W62" s="28">
        <v>3</v>
      </c>
      <c r="X62" s="28">
        <v>1</v>
      </c>
      <c r="Y62" s="28">
        <v>3</v>
      </c>
      <c r="Z62" s="28">
        <v>3</v>
      </c>
      <c r="AA62" s="28">
        <v>0</v>
      </c>
      <c r="AB62" s="64">
        <f t="shared" si="1"/>
        <v>2.3333333333333335</v>
      </c>
      <c r="AC62" s="64">
        <f t="shared" si="2"/>
        <v>2.6666666666666665</v>
      </c>
      <c r="AD62" s="64">
        <f t="shared" si="3"/>
        <v>0</v>
      </c>
      <c r="AE62" s="64">
        <f t="shared" si="4"/>
        <v>1</v>
      </c>
      <c r="AF62" s="64">
        <f t="shared" si="5"/>
        <v>1</v>
      </c>
      <c r="AG62" s="64">
        <f t="shared" si="6"/>
        <v>2</v>
      </c>
      <c r="AH62" s="64">
        <f t="shared" si="7"/>
        <v>2.3333333333333335</v>
      </c>
      <c r="AI62" s="64">
        <f t="shared" si="8"/>
        <v>0</v>
      </c>
    </row>
    <row r="63" spans="1:35">
      <c r="A63" s="23" t="s">
        <v>3864</v>
      </c>
      <c r="B63" s="23">
        <v>10064</v>
      </c>
      <c r="C63" s="23" t="s">
        <v>3865</v>
      </c>
      <c r="D63" s="24">
        <v>3</v>
      </c>
      <c r="E63" s="24">
        <v>0</v>
      </c>
      <c r="F63" s="24">
        <v>0</v>
      </c>
      <c r="G63" s="24">
        <v>3</v>
      </c>
      <c r="H63" s="24">
        <v>3</v>
      </c>
      <c r="I63" s="24">
        <v>3</v>
      </c>
      <c r="J63" s="24">
        <v>0</v>
      </c>
      <c r="K63" s="24">
        <v>0</v>
      </c>
      <c r="L63" s="26">
        <v>2</v>
      </c>
      <c r="M63" s="26">
        <v>0</v>
      </c>
      <c r="N63" s="26">
        <v>0</v>
      </c>
      <c r="O63" s="26">
        <v>2</v>
      </c>
      <c r="P63" s="26">
        <v>1</v>
      </c>
      <c r="Q63" s="26">
        <v>2</v>
      </c>
      <c r="R63" s="26">
        <v>1</v>
      </c>
      <c r="S63" s="26">
        <v>0</v>
      </c>
      <c r="T63" s="28">
        <v>3</v>
      </c>
      <c r="U63" s="28">
        <v>0</v>
      </c>
      <c r="V63" s="28">
        <v>0</v>
      </c>
      <c r="W63" s="28">
        <v>3</v>
      </c>
      <c r="X63" s="28">
        <v>0</v>
      </c>
      <c r="Y63" s="28">
        <v>1</v>
      </c>
      <c r="Z63" s="28">
        <v>1</v>
      </c>
      <c r="AA63" s="28">
        <v>0</v>
      </c>
      <c r="AB63" s="64">
        <f t="shared" si="1"/>
        <v>2.6666666666666665</v>
      </c>
      <c r="AC63" s="64">
        <f t="shared" si="2"/>
        <v>0</v>
      </c>
      <c r="AD63" s="64">
        <f t="shared" si="3"/>
        <v>0</v>
      </c>
      <c r="AE63" s="64">
        <f t="shared" si="4"/>
        <v>2.6666666666666665</v>
      </c>
      <c r="AF63" s="64">
        <f t="shared" si="5"/>
        <v>1.3333333333333333</v>
      </c>
      <c r="AG63" s="64">
        <f t="shared" si="6"/>
        <v>2</v>
      </c>
      <c r="AH63" s="64">
        <f t="shared" si="7"/>
        <v>0.66666666666666663</v>
      </c>
      <c r="AI63" s="64">
        <f t="shared" si="8"/>
        <v>0</v>
      </c>
    </row>
    <row r="64" spans="1:35">
      <c r="A64" s="23" t="s">
        <v>3866</v>
      </c>
      <c r="B64" s="23">
        <v>10065</v>
      </c>
      <c r="C64" s="23" t="s">
        <v>3867</v>
      </c>
      <c r="D64" s="24">
        <v>3</v>
      </c>
      <c r="E64" s="24">
        <v>0</v>
      </c>
      <c r="F64" s="24">
        <v>0</v>
      </c>
      <c r="G64" s="24">
        <v>3</v>
      </c>
      <c r="H64" s="24">
        <v>0</v>
      </c>
      <c r="I64" s="24">
        <v>0</v>
      </c>
      <c r="J64" s="24">
        <v>0</v>
      </c>
      <c r="K64" s="24">
        <v>0</v>
      </c>
      <c r="L64" s="26">
        <v>2</v>
      </c>
      <c r="M64" s="26">
        <v>0</v>
      </c>
      <c r="N64" s="26">
        <v>1</v>
      </c>
      <c r="O64" s="26">
        <v>2</v>
      </c>
      <c r="P64" s="26">
        <v>1</v>
      </c>
      <c r="Q64" s="26">
        <v>2</v>
      </c>
      <c r="R64" s="26">
        <v>1</v>
      </c>
      <c r="S64" s="26">
        <v>1</v>
      </c>
      <c r="T64" s="28">
        <v>3</v>
      </c>
      <c r="U64" s="28">
        <v>0</v>
      </c>
      <c r="V64" s="28">
        <v>0</v>
      </c>
      <c r="W64" s="28">
        <v>3</v>
      </c>
      <c r="X64" s="28">
        <v>3</v>
      </c>
      <c r="Y64" s="28">
        <v>3</v>
      </c>
      <c r="Z64" s="28">
        <v>3</v>
      </c>
      <c r="AA64" s="28">
        <v>1</v>
      </c>
      <c r="AB64" s="64">
        <f t="shared" si="1"/>
        <v>2.6666666666666665</v>
      </c>
      <c r="AC64" s="64">
        <f t="shared" si="2"/>
        <v>0</v>
      </c>
      <c r="AD64" s="64">
        <f t="shared" si="3"/>
        <v>0.33333333333333331</v>
      </c>
      <c r="AE64" s="64">
        <f t="shared" si="4"/>
        <v>2.6666666666666665</v>
      </c>
      <c r="AF64" s="64">
        <f t="shared" si="5"/>
        <v>1.3333333333333333</v>
      </c>
      <c r="AG64" s="64">
        <f t="shared" si="6"/>
        <v>1.6666666666666667</v>
      </c>
      <c r="AH64" s="64">
        <f t="shared" si="7"/>
        <v>1.3333333333333333</v>
      </c>
      <c r="AI64" s="64">
        <f t="shared" si="8"/>
        <v>0.66666666666666663</v>
      </c>
    </row>
    <row r="65" spans="1:35">
      <c r="A65" s="23" t="s">
        <v>3868</v>
      </c>
      <c r="B65" s="23">
        <v>10066</v>
      </c>
      <c r="C65" s="23" t="s">
        <v>3869</v>
      </c>
      <c r="D65" s="24">
        <v>3</v>
      </c>
      <c r="E65" s="24">
        <v>0</v>
      </c>
      <c r="F65" s="24">
        <v>0</v>
      </c>
      <c r="G65" s="24">
        <v>0</v>
      </c>
      <c r="H65" s="24">
        <v>0</v>
      </c>
      <c r="I65" s="24">
        <v>2</v>
      </c>
      <c r="J65" s="24">
        <v>3</v>
      </c>
      <c r="K65" s="24">
        <v>0</v>
      </c>
      <c r="L65" s="26">
        <v>2</v>
      </c>
      <c r="M65" s="26">
        <v>0</v>
      </c>
      <c r="N65" s="26">
        <v>0</v>
      </c>
      <c r="O65" s="26">
        <v>0</v>
      </c>
      <c r="P65" s="26">
        <v>1</v>
      </c>
      <c r="Q65" s="26">
        <v>1</v>
      </c>
      <c r="R65" s="26">
        <v>1</v>
      </c>
      <c r="S65" s="26">
        <v>0</v>
      </c>
      <c r="T65" s="28">
        <v>3</v>
      </c>
      <c r="U65" s="28">
        <v>0</v>
      </c>
      <c r="V65" s="28">
        <v>0</v>
      </c>
      <c r="W65" s="28">
        <v>1</v>
      </c>
      <c r="X65" s="28">
        <v>0</v>
      </c>
      <c r="Y65" s="28">
        <v>3</v>
      </c>
      <c r="Z65" s="28">
        <v>3</v>
      </c>
      <c r="AA65" s="28">
        <v>0</v>
      </c>
      <c r="AB65" s="64">
        <f t="shared" si="1"/>
        <v>2.6666666666666665</v>
      </c>
      <c r="AC65" s="64">
        <f t="shared" si="2"/>
        <v>0</v>
      </c>
      <c r="AD65" s="64">
        <f t="shared" si="3"/>
        <v>0</v>
      </c>
      <c r="AE65" s="64">
        <f t="shared" si="4"/>
        <v>0.33333333333333331</v>
      </c>
      <c r="AF65" s="64">
        <f t="shared" si="5"/>
        <v>0.33333333333333331</v>
      </c>
      <c r="AG65" s="64">
        <f t="shared" si="6"/>
        <v>2</v>
      </c>
      <c r="AH65" s="64">
        <f t="shared" si="7"/>
        <v>2.3333333333333335</v>
      </c>
      <c r="AI65" s="64">
        <f t="shared" si="8"/>
        <v>0</v>
      </c>
    </row>
    <row r="66" spans="1:35">
      <c r="A66" s="23" t="s">
        <v>3870</v>
      </c>
      <c r="B66" s="23">
        <v>10067</v>
      </c>
      <c r="C66" s="23" t="s">
        <v>3871</v>
      </c>
      <c r="D66" s="24">
        <v>3</v>
      </c>
      <c r="E66" s="24">
        <v>3</v>
      </c>
      <c r="F66" s="24">
        <v>0</v>
      </c>
      <c r="G66" s="24">
        <v>3</v>
      </c>
      <c r="H66" s="24">
        <v>0</v>
      </c>
      <c r="I66" s="24">
        <v>2</v>
      </c>
      <c r="J66" s="24">
        <v>3</v>
      </c>
      <c r="K66" s="24">
        <v>0</v>
      </c>
      <c r="L66" s="26">
        <v>3</v>
      </c>
      <c r="M66" s="26">
        <v>2</v>
      </c>
      <c r="N66" s="26">
        <v>2</v>
      </c>
      <c r="O66" s="26">
        <v>1</v>
      </c>
      <c r="P66" s="26">
        <v>1</v>
      </c>
      <c r="Q66" s="26">
        <v>2</v>
      </c>
      <c r="R66" s="26">
        <v>2</v>
      </c>
      <c r="S66" s="26">
        <v>0</v>
      </c>
      <c r="T66" s="28">
        <v>3</v>
      </c>
      <c r="U66" s="28">
        <v>3</v>
      </c>
      <c r="V66" s="28">
        <v>0</v>
      </c>
      <c r="W66" s="28">
        <v>3</v>
      </c>
      <c r="X66" s="28">
        <v>0</v>
      </c>
      <c r="Y66" s="28">
        <v>3</v>
      </c>
      <c r="Z66" s="28">
        <v>3</v>
      </c>
      <c r="AA66" s="28">
        <v>0</v>
      </c>
      <c r="AB66" s="64">
        <f t="shared" si="1"/>
        <v>3</v>
      </c>
      <c r="AC66" s="64">
        <f t="shared" si="2"/>
        <v>2.6666666666666665</v>
      </c>
      <c r="AD66" s="64">
        <f t="shared" si="3"/>
        <v>0.66666666666666663</v>
      </c>
      <c r="AE66" s="64">
        <f t="shared" si="4"/>
        <v>2.3333333333333335</v>
      </c>
      <c r="AF66" s="64">
        <f t="shared" si="5"/>
        <v>0.33333333333333331</v>
      </c>
      <c r="AG66" s="64">
        <f t="shared" si="6"/>
        <v>2.3333333333333335</v>
      </c>
      <c r="AH66" s="64">
        <f t="shared" si="7"/>
        <v>2.6666666666666665</v>
      </c>
      <c r="AI66" s="64">
        <f t="shared" si="8"/>
        <v>0</v>
      </c>
    </row>
    <row r="67" spans="1:35">
      <c r="A67" s="23" t="s">
        <v>3872</v>
      </c>
      <c r="B67" s="23">
        <v>10068</v>
      </c>
      <c r="C67" s="23" t="s">
        <v>3873</v>
      </c>
      <c r="D67" s="24">
        <v>3</v>
      </c>
      <c r="E67" s="24">
        <v>3</v>
      </c>
      <c r="F67" s="24">
        <v>2</v>
      </c>
      <c r="G67" s="24">
        <v>1</v>
      </c>
      <c r="H67" s="24">
        <v>0</v>
      </c>
      <c r="I67" s="24">
        <v>0</v>
      </c>
      <c r="J67" s="24">
        <v>0</v>
      </c>
      <c r="K67" s="24">
        <v>3</v>
      </c>
      <c r="L67" s="26">
        <v>3</v>
      </c>
      <c r="M67" s="26">
        <v>2</v>
      </c>
      <c r="N67" s="26">
        <v>0</v>
      </c>
      <c r="O67" s="26">
        <v>1</v>
      </c>
      <c r="P67" s="26">
        <v>0</v>
      </c>
      <c r="Q67" s="26">
        <v>0</v>
      </c>
      <c r="R67" s="26">
        <v>1</v>
      </c>
      <c r="S67" s="26">
        <v>3</v>
      </c>
      <c r="T67" s="28">
        <v>3</v>
      </c>
      <c r="U67" s="28">
        <v>3</v>
      </c>
      <c r="V67" s="28">
        <v>2</v>
      </c>
      <c r="W67" s="28">
        <v>2</v>
      </c>
      <c r="X67" s="28">
        <v>0</v>
      </c>
      <c r="Y67" s="28">
        <v>0</v>
      </c>
      <c r="Z67" s="28">
        <v>2</v>
      </c>
      <c r="AA67" s="28">
        <v>3</v>
      </c>
      <c r="AB67" s="64">
        <f t="shared" ref="AB67:AB130" si="9">AVERAGE(D67,L67,T67)</f>
        <v>3</v>
      </c>
      <c r="AC67" s="64">
        <f t="shared" ref="AC67:AC130" si="10">AVERAGE(E67,M67,U67)</f>
        <v>2.6666666666666665</v>
      </c>
      <c r="AD67" s="64">
        <f t="shared" ref="AD67:AD130" si="11">AVERAGE(F67,N67,V67)</f>
        <v>1.3333333333333333</v>
      </c>
      <c r="AE67" s="64">
        <f t="shared" ref="AE67:AE130" si="12">AVERAGE(G67,O67,W67)</f>
        <v>1.3333333333333333</v>
      </c>
      <c r="AF67" s="64">
        <f t="shared" ref="AF67:AF130" si="13">AVERAGE(H67,P67,X67)</f>
        <v>0</v>
      </c>
      <c r="AG67" s="64">
        <f t="shared" ref="AG67:AG130" si="14">AVERAGE(I67,Q67,Y67)</f>
        <v>0</v>
      </c>
      <c r="AH67" s="64">
        <f t="shared" ref="AH67:AH130" si="15">AVERAGE(J67,R67,Z67)</f>
        <v>1</v>
      </c>
      <c r="AI67" s="64">
        <f t="shared" ref="AI67:AI130" si="16">AVERAGE(K67,S67,AA67)</f>
        <v>3</v>
      </c>
    </row>
    <row r="68" spans="1:35">
      <c r="A68" s="23" t="s">
        <v>3874</v>
      </c>
      <c r="B68" s="23">
        <v>10069</v>
      </c>
      <c r="C68" s="23" t="s">
        <v>3875</v>
      </c>
      <c r="D68" s="24">
        <v>3</v>
      </c>
      <c r="E68" s="24">
        <v>0</v>
      </c>
      <c r="F68" s="24">
        <v>0</v>
      </c>
      <c r="G68" s="24">
        <v>1</v>
      </c>
      <c r="H68" s="24">
        <v>3</v>
      </c>
      <c r="I68" s="24">
        <v>3</v>
      </c>
      <c r="J68" s="24">
        <v>3</v>
      </c>
      <c r="K68" s="24">
        <v>0</v>
      </c>
      <c r="L68" s="26">
        <v>3</v>
      </c>
      <c r="M68" s="26">
        <v>0</v>
      </c>
      <c r="N68" s="26">
        <v>1</v>
      </c>
      <c r="O68" s="26">
        <v>1</v>
      </c>
      <c r="P68" s="26">
        <v>2</v>
      </c>
      <c r="Q68" s="26">
        <v>2</v>
      </c>
      <c r="R68" s="26">
        <v>2</v>
      </c>
      <c r="S68" s="26">
        <v>0</v>
      </c>
      <c r="T68" s="28">
        <v>3</v>
      </c>
      <c r="U68" s="28">
        <v>3</v>
      </c>
      <c r="V68" s="28">
        <v>0</v>
      </c>
      <c r="W68" s="28">
        <v>3</v>
      </c>
      <c r="X68" s="28">
        <v>0</v>
      </c>
      <c r="Y68" s="28">
        <v>3</v>
      </c>
      <c r="Z68" s="28">
        <v>3</v>
      </c>
      <c r="AA68" s="28">
        <v>0</v>
      </c>
      <c r="AB68" s="64">
        <f t="shared" si="9"/>
        <v>3</v>
      </c>
      <c r="AC68" s="64">
        <f t="shared" si="10"/>
        <v>1</v>
      </c>
      <c r="AD68" s="64">
        <f t="shared" si="11"/>
        <v>0.33333333333333331</v>
      </c>
      <c r="AE68" s="64">
        <f t="shared" si="12"/>
        <v>1.6666666666666667</v>
      </c>
      <c r="AF68" s="64">
        <f t="shared" si="13"/>
        <v>1.6666666666666667</v>
      </c>
      <c r="AG68" s="64">
        <f t="shared" si="14"/>
        <v>2.6666666666666665</v>
      </c>
      <c r="AH68" s="64">
        <f t="shared" si="15"/>
        <v>2.6666666666666665</v>
      </c>
      <c r="AI68" s="64">
        <f t="shared" si="16"/>
        <v>0</v>
      </c>
    </row>
    <row r="69" spans="1:35">
      <c r="A69" s="23" t="s">
        <v>3876</v>
      </c>
      <c r="B69" s="23">
        <v>10070</v>
      </c>
      <c r="C69" s="23" t="s">
        <v>3877</v>
      </c>
      <c r="D69" s="24">
        <v>3</v>
      </c>
      <c r="E69" s="24">
        <v>3</v>
      </c>
      <c r="F69" s="24">
        <v>0</v>
      </c>
      <c r="G69" s="24">
        <v>3</v>
      </c>
      <c r="H69" s="24">
        <v>0</v>
      </c>
      <c r="I69" s="24">
        <v>3</v>
      </c>
      <c r="J69" s="24">
        <v>3</v>
      </c>
      <c r="K69" s="24">
        <v>0</v>
      </c>
      <c r="L69" s="26">
        <v>2</v>
      </c>
      <c r="M69" s="26">
        <v>1</v>
      </c>
      <c r="N69" s="26">
        <v>0</v>
      </c>
      <c r="O69" s="26">
        <v>1</v>
      </c>
      <c r="P69" s="26">
        <v>1</v>
      </c>
      <c r="Q69" s="26">
        <v>1</v>
      </c>
      <c r="R69" s="26">
        <v>0</v>
      </c>
      <c r="S69" s="26">
        <v>0</v>
      </c>
      <c r="T69" s="28">
        <v>3</v>
      </c>
      <c r="U69" s="28">
        <v>3</v>
      </c>
      <c r="V69" s="28">
        <v>1</v>
      </c>
      <c r="W69" s="28">
        <v>3</v>
      </c>
      <c r="X69" s="28">
        <v>0</v>
      </c>
      <c r="Y69" s="28">
        <v>3</v>
      </c>
      <c r="Z69" s="28">
        <v>1</v>
      </c>
      <c r="AA69" s="28">
        <v>0</v>
      </c>
      <c r="AB69" s="64">
        <f t="shared" si="9"/>
        <v>2.6666666666666665</v>
      </c>
      <c r="AC69" s="64">
        <f t="shared" si="10"/>
        <v>2.3333333333333335</v>
      </c>
      <c r="AD69" s="64">
        <f t="shared" si="11"/>
        <v>0.33333333333333331</v>
      </c>
      <c r="AE69" s="64">
        <f t="shared" si="12"/>
        <v>2.3333333333333335</v>
      </c>
      <c r="AF69" s="64">
        <f t="shared" si="13"/>
        <v>0.33333333333333331</v>
      </c>
      <c r="AG69" s="64">
        <f t="shared" si="14"/>
        <v>2.3333333333333335</v>
      </c>
      <c r="AH69" s="64">
        <f t="shared" si="15"/>
        <v>1.3333333333333333</v>
      </c>
      <c r="AI69" s="64">
        <f t="shared" si="16"/>
        <v>0</v>
      </c>
    </row>
    <row r="70" spans="1:35">
      <c r="A70" s="23" t="s">
        <v>3878</v>
      </c>
      <c r="B70" s="23">
        <v>10071</v>
      </c>
      <c r="C70" s="23" t="s">
        <v>3879</v>
      </c>
      <c r="D70" s="24">
        <v>3</v>
      </c>
      <c r="E70" s="24">
        <v>3</v>
      </c>
      <c r="F70" s="24">
        <v>2</v>
      </c>
      <c r="G70" s="24">
        <v>1</v>
      </c>
      <c r="H70" s="24">
        <v>3</v>
      </c>
      <c r="I70" s="24">
        <v>3</v>
      </c>
      <c r="J70" s="24">
        <v>0</v>
      </c>
      <c r="K70" s="24">
        <v>0</v>
      </c>
      <c r="L70" s="26">
        <v>3</v>
      </c>
      <c r="M70" s="26">
        <v>0</v>
      </c>
      <c r="N70" s="26">
        <v>2</v>
      </c>
      <c r="O70" s="26">
        <v>1</v>
      </c>
      <c r="P70" s="26">
        <v>1</v>
      </c>
      <c r="Q70" s="26">
        <v>2</v>
      </c>
      <c r="R70" s="26">
        <v>3</v>
      </c>
      <c r="S70" s="26">
        <v>0</v>
      </c>
      <c r="T70" s="28">
        <v>3</v>
      </c>
      <c r="U70" s="28">
        <v>3</v>
      </c>
      <c r="V70" s="28">
        <v>2</v>
      </c>
      <c r="W70" s="28">
        <v>3</v>
      </c>
      <c r="X70" s="28">
        <v>3</v>
      </c>
      <c r="Y70" s="28">
        <v>3</v>
      </c>
      <c r="Z70" s="28">
        <v>3</v>
      </c>
      <c r="AA70" s="28">
        <v>0</v>
      </c>
      <c r="AB70" s="64">
        <f t="shared" si="9"/>
        <v>3</v>
      </c>
      <c r="AC70" s="64">
        <f t="shared" si="10"/>
        <v>2</v>
      </c>
      <c r="AD70" s="64">
        <f t="shared" si="11"/>
        <v>2</v>
      </c>
      <c r="AE70" s="64">
        <f t="shared" si="12"/>
        <v>1.6666666666666667</v>
      </c>
      <c r="AF70" s="64">
        <f t="shared" si="13"/>
        <v>2.3333333333333335</v>
      </c>
      <c r="AG70" s="64">
        <f t="shared" si="14"/>
        <v>2.6666666666666665</v>
      </c>
      <c r="AH70" s="64">
        <f t="shared" si="15"/>
        <v>2</v>
      </c>
      <c r="AI70" s="64">
        <f t="shared" si="16"/>
        <v>0</v>
      </c>
    </row>
    <row r="71" spans="1:35">
      <c r="A71" s="23" t="s">
        <v>3880</v>
      </c>
      <c r="B71" s="23">
        <v>10072</v>
      </c>
      <c r="C71" s="23" t="s">
        <v>3881</v>
      </c>
      <c r="D71" s="24">
        <v>3</v>
      </c>
      <c r="E71" s="24">
        <v>3</v>
      </c>
      <c r="F71" s="24">
        <v>2</v>
      </c>
      <c r="G71" s="24">
        <v>3</v>
      </c>
      <c r="H71" s="24">
        <v>0</v>
      </c>
      <c r="I71" s="24">
        <v>2</v>
      </c>
      <c r="J71" s="24">
        <v>3</v>
      </c>
      <c r="K71" s="24">
        <v>0</v>
      </c>
      <c r="L71" s="26">
        <v>2</v>
      </c>
      <c r="M71" s="26">
        <v>2</v>
      </c>
      <c r="N71" s="26">
        <v>1</v>
      </c>
      <c r="O71" s="26">
        <v>2</v>
      </c>
      <c r="P71" s="26">
        <v>1</v>
      </c>
      <c r="Q71" s="26">
        <v>1</v>
      </c>
      <c r="R71" s="26">
        <v>2</v>
      </c>
      <c r="S71" s="26">
        <v>0</v>
      </c>
      <c r="T71" s="28">
        <v>3</v>
      </c>
      <c r="U71" s="28">
        <v>3</v>
      </c>
      <c r="V71" s="28">
        <v>2</v>
      </c>
      <c r="W71" s="28">
        <v>3</v>
      </c>
      <c r="X71" s="28">
        <v>3</v>
      </c>
      <c r="Y71" s="28">
        <v>3</v>
      </c>
      <c r="Z71" s="28">
        <v>3</v>
      </c>
      <c r="AA71" s="28">
        <v>0</v>
      </c>
      <c r="AB71" s="64">
        <f t="shared" si="9"/>
        <v>2.6666666666666665</v>
      </c>
      <c r="AC71" s="64">
        <f t="shared" si="10"/>
        <v>2.6666666666666665</v>
      </c>
      <c r="AD71" s="64">
        <f t="shared" si="11"/>
        <v>1.6666666666666667</v>
      </c>
      <c r="AE71" s="64">
        <f t="shared" si="12"/>
        <v>2.6666666666666665</v>
      </c>
      <c r="AF71" s="64">
        <f t="shared" si="13"/>
        <v>1.3333333333333333</v>
      </c>
      <c r="AG71" s="64">
        <f t="shared" si="14"/>
        <v>2</v>
      </c>
      <c r="AH71" s="64">
        <f t="shared" si="15"/>
        <v>2.6666666666666665</v>
      </c>
      <c r="AI71" s="64">
        <f t="shared" si="16"/>
        <v>0</v>
      </c>
    </row>
    <row r="72" spans="1:35">
      <c r="A72" s="23" t="s">
        <v>3882</v>
      </c>
      <c r="B72" s="23">
        <v>10073</v>
      </c>
      <c r="C72" s="23" t="s">
        <v>3883</v>
      </c>
      <c r="D72" s="24">
        <v>3</v>
      </c>
      <c r="E72" s="24">
        <v>3</v>
      </c>
      <c r="F72" s="24">
        <v>3</v>
      </c>
      <c r="G72" s="24">
        <v>3</v>
      </c>
      <c r="H72" s="24">
        <v>3</v>
      </c>
      <c r="I72" s="24">
        <v>3</v>
      </c>
      <c r="J72" s="24">
        <v>3</v>
      </c>
      <c r="K72" s="24">
        <v>3</v>
      </c>
      <c r="L72" s="26">
        <v>3</v>
      </c>
      <c r="M72" s="26">
        <v>3</v>
      </c>
      <c r="N72" s="26">
        <v>3</v>
      </c>
      <c r="O72" s="26">
        <v>2</v>
      </c>
      <c r="P72" s="26">
        <v>2</v>
      </c>
      <c r="Q72" s="26">
        <v>3</v>
      </c>
      <c r="R72" s="26">
        <v>3</v>
      </c>
      <c r="S72" s="26">
        <v>4</v>
      </c>
      <c r="T72" s="28">
        <v>3</v>
      </c>
      <c r="U72" s="28">
        <v>3</v>
      </c>
      <c r="V72" s="28">
        <v>0</v>
      </c>
      <c r="W72" s="28">
        <v>3</v>
      </c>
      <c r="X72" s="28">
        <v>3</v>
      </c>
      <c r="Y72" s="28">
        <v>2</v>
      </c>
      <c r="Z72" s="28">
        <v>3</v>
      </c>
      <c r="AA72" s="28">
        <v>3</v>
      </c>
      <c r="AB72" s="64">
        <f t="shared" si="9"/>
        <v>3</v>
      </c>
      <c r="AC72" s="64">
        <f t="shared" si="10"/>
        <v>3</v>
      </c>
      <c r="AD72" s="64">
        <f t="shared" si="11"/>
        <v>2</v>
      </c>
      <c r="AE72" s="64">
        <f t="shared" si="12"/>
        <v>2.6666666666666665</v>
      </c>
      <c r="AF72" s="64">
        <f t="shared" si="13"/>
        <v>2.6666666666666665</v>
      </c>
      <c r="AG72" s="64">
        <f t="shared" si="14"/>
        <v>2.6666666666666665</v>
      </c>
      <c r="AH72" s="64">
        <f t="shared" si="15"/>
        <v>3</v>
      </c>
      <c r="AI72" s="64">
        <f t="shared" si="16"/>
        <v>3.3333333333333335</v>
      </c>
    </row>
    <row r="73" spans="1:35">
      <c r="A73" s="23" t="s">
        <v>3832</v>
      </c>
      <c r="B73" s="23">
        <v>10074</v>
      </c>
      <c r="C73" s="23" t="s">
        <v>3884</v>
      </c>
      <c r="D73" s="24">
        <v>3</v>
      </c>
      <c r="E73" s="24">
        <v>0</v>
      </c>
      <c r="F73" s="24">
        <v>0</v>
      </c>
      <c r="G73" s="24">
        <v>3</v>
      </c>
      <c r="H73" s="24">
        <v>0</v>
      </c>
      <c r="I73" s="24">
        <v>2</v>
      </c>
      <c r="J73" s="24">
        <v>0</v>
      </c>
      <c r="K73" s="24">
        <v>0</v>
      </c>
      <c r="L73" s="26">
        <v>2</v>
      </c>
      <c r="M73" s="26">
        <v>0</v>
      </c>
      <c r="N73" s="26">
        <v>0</v>
      </c>
      <c r="O73" s="26">
        <v>1</v>
      </c>
      <c r="P73" s="26">
        <v>2</v>
      </c>
      <c r="Q73" s="26">
        <v>1</v>
      </c>
      <c r="R73" s="26">
        <v>1</v>
      </c>
      <c r="S73" s="26">
        <v>0</v>
      </c>
      <c r="T73" s="28">
        <v>3</v>
      </c>
      <c r="U73" s="28">
        <v>0</v>
      </c>
      <c r="V73" s="28">
        <v>0</v>
      </c>
      <c r="W73" s="28">
        <v>2</v>
      </c>
      <c r="X73" s="28">
        <v>3</v>
      </c>
      <c r="Y73" s="28">
        <v>2</v>
      </c>
      <c r="Z73" s="28">
        <v>1</v>
      </c>
      <c r="AA73" s="28">
        <v>0</v>
      </c>
      <c r="AB73" s="64">
        <f t="shared" si="9"/>
        <v>2.6666666666666665</v>
      </c>
      <c r="AC73" s="64">
        <f t="shared" si="10"/>
        <v>0</v>
      </c>
      <c r="AD73" s="64">
        <f t="shared" si="11"/>
        <v>0</v>
      </c>
      <c r="AE73" s="64">
        <f t="shared" si="12"/>
        <v>2</v>
      </c>
      <c r="AF73" s="64">
        <f t="shared" si="13"/>
        <v>1.6666666666666667</v>
      </c>
      <c r="AG73" s="64">
        <f t="shared" si="14"/>
        <v>1.6666666666666667</v>
      </c>
      <c r="AH73" s="64">
        <f t="shared" si="15"/>
        <v>0.66666666666666663</v>
      </c>
      <c r="AI73" s="64">
        <f t="shared" si="16"/>
        <v>0</v>
      </c>
    </row>
    <row r="74" spans="1:35">
      <c r="A74" s="23" t="s">
        <v>3885</v>
      </c>
      <c r="B74" s="23">
        <v>10075</v>
      </c>
      <c r="C74" s="23" t="s">
        <v>3886</v>
      </c>
      <c r="D74" s="24">
        <v>3</v>
      </c>
      <c r="E74" s="24">
        <v>3</v>
      </c>
      <c r="F74" s="24">
        <v>2</v>
      </c>
      <c r="G74" s="24">
        <v>1</v>
      </c>
      <c r="H74" s="24">
        <v>0</v>
      </c>
      <c r="I74" s="24">
        <v>2</v>
      </c>
      <c r="J74" s="24">
        <v>0</v>
      </c>
      <c r="K74" s="24">
        <v>0</v>
      </c>
      <c r="L74" s="26">
        <v>3</v>
      </c>
      <c r="M74" s="26">
        <v>3</v>
      </c>
      <c r="N74" s="26">
        <v>1</v>
      </c>
      <c r="O74" s="26">
        <v>2</v>
      </c>
      <c r="P74" s="26">
        <v>1</v>
      </c>
      <c r="Q74" s="26">
        <v>1</v>
      </c>
      <c r="R74" s="26">
        <v>2</v>
      </c>
      <c r="S74" s="26">
        <v>0</v>
      </c>
      <c r="T74" s="28">
        <v>3</v>
      </c>
      <c r="U74" s="28">
        <v>3</v>
      </c>
      <c r="V74" s="28">
        <v>2</v>
      </c>
      <c r="W74" s="28">
        <v>3</v>
      </c>
      <c r="X74" s="28">
        <v>1</v>
      </c>
      <c r="Y74" s="28">
        <v>3</v>
      </c>
      <c r="Z74" s="28">
        <v>2</v>
      </c>
      <c r="AA74" s="28">
        <v>0</v>
      </c>
      <c r="AB74" s="64">
        <f t="shared" si="9"/>
        <v>3</v>
      </c>
      <c r="AC74" s="64">
        <f t="shared" si="10"/>
        <v>3</v>
      </c>
      <c r="AD74" s="64">
        <f t="shared" si="11"/>
        <v>1.6666666666666667</v>
      </c>
      <c r="AE74" s="64">
        <f t="shared" si="12"/>
        <v>2</v>
      </c>
      <c r="AF74" s="64">
        <f t="shared" si="13"/>
        <v>0.66666666666666663</v>
      </c>
      <c r="AG74" s="64">
        <f t="shared" si="14"/>
        <v>2</v>
      </c>
      <c r="AH74" s="64">
        <f t="shared" si="15"/>
        <v>1.3333333333333333</v>
      </c>
      <c r="AI74" s="64">
        <f t="shared" si="16"/>
        <v>0</v>
      </c>
    </row>
    <row r="75" spans="1:35">
      <c r="A75" s="23" t="s">
        <v>3887</v>
      </c>
      <c r="B75" s="23">
        <v>10076</v>
      </c>
      <c r="C75" s="23" t="s">
        <v>3888</v>
      </c>
      <c r="D75" s="24">
        <v>3</v>
      </c>
      <c r="E75" s="24">
        <v>3</v>
      </c>
      <c r="F75" s="24">
        <v>2</v>
      </c>
      <c r="G75" s="24">
        <v>3</v>
      </c>
      <c r="H75" s="24">
        <v>0</v>
      </c>
      <c r="I75" s="24">
        <v>0</v>
      </c>
      <c r="J75" s="24">
        <v>0</v>
      </c>
      <c r="K75" s="24">
        <v>0</v>
      </c>
      <c r="L75" s="26">
        <v>2</v>
      </c>
      <c r="M75" s="26">
        <v>2</v>
      </c>
      <c r="N75" s="26">
        <v>1</v>
      </c>
      <c r="O75" s="26">
        <v>2</v>
      </c>
      <c r="P75" s="26">
        <v>1</v>
      </c>
      <c r="Q75" s="26">
        <v>2</v>
      </c>
      <c r="R75" s="26">
        <v>1</v>
      </c>
      <c r="S75" s="26">
        <v>0</v>
      </c>
      <c r="T75" s="28">
        <v>3</v>
      </c>
      <c r="U75" s="28">
        <v>2</v>
      </c>
      <c r="V75" s="28">
        <v>2</v>
      </c>
      <c r="W75" s="28">
        <v>3</v>
      </c>
      <c r="X75" s="28">
        <v>0</v>
      </c>
      <c r="Y75" s="28">
        <v>3</v>
      </c>
      <c r="Z75" s="28">
        <v>1</v>
      </c>
      <c r="AA75" s="28">
        <v>0</v>
      </c>
      <c r="AB75" s="64">
        <f t="shared" si="9"/>
        <v>2.6666666666666665</v>
      </c>
      <c r="AC75" s="64">
        <f t="shared" si="10"/>
        <v>2.3333333333333335</v>
      </c>
      <c r="AD75" s="64">
        <f t="shared" si="11"/>
        <v>1.6666666666666667</v>
      </c>
      <c r="AE75" s="64">
        <f t="shared" si="12"/>
        <v>2.6666666666666665</v>
      </c>
      <c r="AF75" s="64">
        <f t="shared" si="13"/>
        <v>0.33333333333333331</v>
      </c>
      <c r="AG75" s="64">
        <f t="shared" si="14"/>
        <v>1.6666666666666667</v>
      </c>
      <c r="AH75" s="64">
        <f t="shared" si="15"/>
        <v>0.66666666666666663</v>
      </c>
      <c r="AI75" s="64">
        <f t="shared" si="16"/>
        <v>0</v>
      </c>
    </row>
    <row r="76" spans="1:35">
      <c r="A76" s="23" t="s">
        <v>3889</v>
      </c>
      <c r="B76" s="23">
        <v>10077</v>
      </c>
      <c r="C76" s="23" t="s">
        <v>3890</v>
      </c>
      <c r="D76" s="24">
        <v>3</v>
      </c>
      <c r="E76" s="24">
        <v>3</v>
      </c>
      <c r="F76" s="24">
        <v>0</v>
      </c>
      <c r="G76" s="24">
        <v>0</v>
      </c>
      <c r="H76" s="24">
        <v>0</v>
      </c>
      <c r="I76" s="24">
        <v>3</v>
      </c>
      <c r="J76" s="24">
        <v>0</v>
      </c>
      <c r="K76" s="24">
        <v>3</v>
      </c>
      <c r="L76" s="26">
        <v>2</v>
      </c>
      <c r="M76" s="26">
        <v>2</v>
      </c>
      <c r="N76" s="26">
        <v>0</v>
      </c>
      <c r="O76" s="26">
        <v>1</v>
      </c>
      <c r="P76" s="26">
        <v>0</v>
      </c>
      <c r="Q76" s="26">
        <v>2</v>
      </c>
      <c r="R76" s="26">
        <v>0</v>
      </c>
      <c r="S76" s="26">
        <v>3</v>
      </c>
      <c r="T76" s="28">
        <v>3</v>
      </c>
      <c r="U76" s="28">
        <v>3</v>
      </c>
      <c r="V76" s="28">
        <v>1</v>
      </c>
      <c r="W76" s="28">
        <v>1</v>
      </c>
      <c r="X76" s="28">
        <v>0</v>
      </c>
      <c r="Y76" s="28">
        <v>3</v>
      </c>
      <c r="Z76" s="28">
        <v>0</v>
      </c>
      <c r="AA76" s="28">
        <v>3</v>
      </c>
      <c r="AB76" s="64">
        <f t="shared" si="9"/>
        <v>2.6666666666666665</v>
      </c>
      <c r="AC76" s="64">
        <f t="shared" si="10"/>
        <v>2.6666666666666665</v>
      </c>
      <c r="AD76" s="64">
        <f t="shared" si="11"/>
        <v>0.33333333333333331</v>
      </c>
      <c r="AE76" s="64">
        <f t="shared" si="12"/>
        <v>0.66666666666666663</v>
      </c>
      <c r="AF76" s="64">
        <f t="shared" si="13"/>
        <v>0</v>
      </c>
      <c r="AG76" s="64">
        <f t="shared" si="14"/>
        <v>2.6666666666666665</v>
      </c>
      <c r="AH76" s="64">
        <f t="shared" si="15"/>
        <v>0</v>
      </c>
      <c r="AI76" s="64">
        <f t="shared" si="16"/>
        <v>3</v>
      </c>
    </row>
    <row r="77" spans="1:35">
      <c r="A77" s="23" t="s">
        <v>3891</v>
      </c>
      <c r="B77" s="23">
        <v>10078</v>
      </c>
      <c r="C77" s="23" t="s">
        <v>3892</v>
      </c>
      <c r="D77" s="24">
        <v>3</v>
      </c>
      <c r="E77" s="24">
        <v>3</v>
      </c>
      <c r="F77" s="24">
        <v>2</v>
      </c>
      <c r="G77" s="24">
        <v>3</v>
      </c>
      <c r="H77" s="24">
        <v>0</v>
      </c>
      <c r="I77" s="24">
        <v>0</v>
      </c>
      <c r="J77" s="24">
        <v>0</v>
      </c>
      <c r="K77" s="24">
        <v>0</v>
      </c>
      <c r="L77" s="26">
        <v>1</v>
      </c>
      <c r="M77" s="26">
        <v>3</v>
      </c>
      <c r="N77" s="26">
        <v>1</v>
      </c>
      <c r="O77" s="26">
        <v>2</v>
      </c>
      <c r="P77" s="26">
        <v>0</v>
      </c>
      <c r="Q77" s="26">
        <v>0</v>
      </c>
      <c r="R77" s="26">
        <v>0</v>
      </c>
      <c r="S77" s="26">
        <v>0</v>
      </c>
      <c r="T77" s="28">
        <v>1</v>
      </c>
      <c r="U77" s="28">
        <v>3</v>
      </c>
      <c r="V77" s="28">
        <v>2</v>
      </c>
      <c r="W77" s="28">
        <v>3</v>
      </c>
      <c r="X77" s="28">
        <v>0</v>
      </c>
      <c r="Y77" s="28">
        <v>0</v>
      </c>
      <c r="Z77" s="28">
        <v>0</v>
      </c>
      <c r="AA77" s="28">
        <v>0</v>
      </c>
      <c r="AB77" s="64">
        <f t="shared" si="9"/>
        <v>1.6666666666666667</v>
      </c>
      <c r="AC77" s="64">
        <f t="shared" si="10"/>
        <v>3</v>
      </c>
      <c r="AD77" s="64">
        <f t="shared" si="11"/>
        <v>1.6666666666666667</v>
      </c>
      <c r="AE77" s="64">
        <f t="shared" si="12"/>
        <v>2.6666666666666665</v>
      </c>
      <c r="AF77" s="64">
        <f t="shared" si="13"/>
        <v>0</v>
      </c>
      <c r="AG77" s="64">
        <f t="shared" si="14"/>
        <v>0</v>
      </c>
      <c r="AH77" s="64">
        <f t="shared" si="15"/>
        <v>0</v>
      </c>
      <c r="AI77" s="64">
        <f t="shared" si="16"/>
        <v>0</v>
      </c>
    </row>
    <row r="78" spans="1:35">
      <c r="A78" s="23" t="s">
        <v>3893</v>
      </c>
      <c r="B78" s="23">
        <v>10079</v>
      </c>
      <c r="C78" s="23" t="s">
        <v>3894</v>
      </c>
      <c r="D78" s="24">
        <v>0</v>
      </c>
      <c r="E78" s="24">
        <v>3</v>
      </c>
      <c r="F78" s="24">
        <v>2</v>
      </c>
      <c r="G78" s="24">
        <v>3</v>
      </c>
      <c r="H78" s="24">
        <v>0</v>
      </c>
      <c r="I78" s="24">
        <v>3</v>
      </c>
      <c r="J78" s="24">
        <v>3</v>
      </c>
      <c r="K78" s="24">
        <v>0</v>
      </c>
      <c r="L78" s="26">
        <v>1</v>
      </c>
      <c r="M78" s="26">
        <v>2</v>
      </c>
      <c r="N78" s="26">
        <v>1</v>
      </c>
      <c r="O78" s="26">
        <v>2</v>
      </c>
      <c r="P78" s="26">
        <v>1</v>
      </c>
      <c r="Q78" s="26">
        <v>3</v>
      </c>
      <c r="R78" s="26">
        <v>1</v>
      </c>
      <c r="S78" s="26">
        <v>0</v>
      </c>
      <c r="T78" s="28">
        <v>0</v>
      </c>
      <c r="U78" s="28">
        <v>3</v>
      </c>
      <c r="V78" s="28">
        <v>2</v>
      </c>
      <c r="W78" s="28">
        <v>3</v>
      </c>
      <c r="X78" s="28">
        <v>0</v>
      </c>
      <c r="Y78" s="28">
        <v>3</v>
      </c>
      <c r="Z78" s="28">
        <v>3</v>
      </c>
      <c r="AA78" s="28">
        <v>0</v>
      </c>
      <c r="AB78" s="64">
        <f t="shared" si="9"/>
        <v>0.33333333333333331</v>
      </c>
      <c r="AC78" s="64">
        <f t="shared" si="10"/>
        <v>2.6666666666666665</v>
      </c>
      <c r="AD78" s="64">
        <f t="shared" si="11"/>
        <v>1.6666666666666667</v>
      </c>
      <c r="AE78" s="64">
        <f t="shared" si="12"/>
        <v>2.6666666666666665</v>
      </c>
      <c r="AF78" s="64">
        <f t="shared" si="13"/>
        <v>0.33333333333333331</v>
      </c>
      <c r="AG78" s="64">
        <f t="shared" si="14"/>
        <v>3</v>
      </c>
      <c r="AH78" s="64">
        <f t="shared" si="15"/>
        <v>2.3333333333333335</v>
      </c>
      <c r="AI78" s="64">
        <f t="shared" si="16"/>
        <v>0</v>
      </c>
    </row>
    <row r="79" spans="1:35">
      <c r="A79" s="23" t="s">
        <v>3895</v>
      </c>
      <c r="B79" s="23">
        <v>10080</v>
      </c>
      <c r="C79" s="23" t="s">
        <v>3896</v>
      </c>
      <c r="D79" s="24">
        <v>2</v>
      </c>
      <c r="E79" s="24">
        <v>0</v>
      </c>
      <c r="F79" s="24">
        <v>1</v>
      </c>
      <c r="G79" s="24">
        <v>1</v>
      </c>
      <c r="H79" s="24">
        <v>0</v>
      </c>
      <c r="I79" s="24">
        <v>3</v>
      </c>
      <c r="J79" s="24">
        <v>3</v>
      </c>
      <c r="K79" s="24">
        <v>0</v>
      </c>
      <c r="L79" s="26">
        <v>1</v>
      </c>
      <c r="M79" s="26">
        <v>0</v>
      </c>
      <c r="N79" s="26">
        <v>0</v>
      </c>
      <c r="O79" s="26">
        <v>1</v>
      </c>
      <c r="P79" s="26">
        <v>1</v>
      </c>
      <c r="Q79" s="26">
        <v>1</v>
      </c>
      <c r="R79" s="26">
        <v>2</v>
      </c>
      <c r="S79" s="26">
        <v>0</v>
      </c>
      <c r="T79" s="28">
        <v>1</v>
      </c>
      <c r="U79" s="28">
        <v>0</v>
      </c>
      <c r="V79" s="28">
        <v>2</v>
      </c>
      <c r="W79" s="28">
        <v>1</v>
      </c>
      <c r="X79" s="28">
        <v>0</v>
      </c>
      <c r="Y79" s="28">
        <v>2</v>
      </c>
      <c r="Z79" s="28">
        <v>3</v>
      </c>
      <c r="AA79" s="28">
        <v>0</v>
      </c>
      <c r="AB79" s="64">
        <f t="shared" si="9"/>
        <v>1.3333333333333333</v>
      </c>
      <c r="AC79" s="64">
        <f t="shared" si="10"/>
        <v>0</v>
      </c>
      <c r="AD79" s="64">
        <f t="shared" si="11"/>
        <v>1</v>
      </c>
      <c r="AE79" s="64">
        <f t="shared" si="12"/>
        <v>1</v>
      </c>
      <c r="AF79" s="64">
        <f t="shared" si="13"/>
        <v>0.33333333333333331</v>
      </c>
      <c r="AG79" s="64">
        <f t="shared" si="14"/>
        <v>2</v>
      </c>
      <c r="AH79" s="64">
        <f t="shared" si="15"/>
        <v>2.6666666666666665</v>
      </c>
      <c r="AI79" s="64">
        <f t="shared" si="16"/>
        <v>0</v>
      </c>
    </row>
    <row r="80" spans="1:35">
      <c r="A80" s="23" t="s">
        <v>3897</v>
      </c>
      <c r="B80" s="23">
        <v>10081</v>
      </c>
      <c r="C80" s="23" t="s">
        <v>3898</v>
      </c>
      <c r="D80" s="24">
        <v>2</v>
      </c>
      <c r="E80" s="24">
        <v>3</v>
      </c>
      <c r="F80" s="24">
        <v>3</v>
      </c>
      <c r="G80" s="24">
        <v>3</v>
      </c>
      <c r="H80" s="24">
        <v>0</v>
      </c>
      <c r="I80" s="24">
        <v>2</v>
      </c>
      <c r="J80" s="24">
        <v>0</v>
      </c>
      <c r="K80" s="24">
        <v>3</v>
      </c>
      <c r="L80" s="26">
        <v>1</v>
      </c>
      <c r="M80" s="26">
        <v>2</v>
      </c>
      <c r="N80" s="26">
        <v>0</v>
      </c>
      <c r="O80" s="26">
        <v>2</v>
      </c>
      <c r="P80" s="26">
        <v>1</v>
      </c>
      <c r="Q80" s="26">
        <v>2</v>
      </c>
      <c r="R80" s="26">
        <v>1</v>
      </c>
      <c r="S80" s="26">
        <v>2</v>
      </c>
      <c r="T80" s="28">
        <v>3</v>
      </c>
      <c r="U80" s="28">
        <v>3</v>
      </c>
      <c r="V80" s="28">
        <v>0</v>
      </c>
      <c r="W80" s="28">
        <v>2</v>
      </c>
      <c r="X80" s="28">
        <v>0</v>
      </c>
      <c r="Y80" s="28">
        <v>2</v>
      </c>
      <c r="Z80" s="28">
        <v>1</v>
      </c>
      <c r="AA80" s="28">
        <v>3</v>
      </c>
      <c r="AB80" s="64">
        <f t="shared" si="9"/>
        <v>2</v>
      </c>
      <c r="AC80" s="64">
        <f t="shared" si="10"/>
        <v>2.6666666666666665</v>
      </c>
      <c r="AD80" s="64">
        <f t="shared" si="11"/>
        <v>1</v>
      </c>
      <c r="AE80" s="64">
        <f t="shared" si="12"/>
        <v>2.3333333333333335</v>
      </c>
      <c r="AF80" s="64">
        <f t="shared" si="13"/>
        <v>0.33333333333333331</v>
      </c>
      <c r="AG80" s="64">
        <f t="shared" si="14"/>
        <v>2</v>
      </c>
      <c r="AH80" s="64">
        <f t="shared" si="15"/>
        <v>0.66666666666666663</v>
      </c>
      <c r="AI80" s="64">
        <f t="shared" si="16"/>
        <v>2.6666666666666665</v>
      </c>
    </row>
    <row r="81" spans="1:35">
      <c r="A81" s="23" t="s">
        <v>3899</v>
      </c>
      <c r="B81" s="23">
        <v>10082</v>
      </c>
      <c r="C81" s="23" t="s">
        <v>3900</v>
      </c>
      <c r="D81" s="24">
        <v>3</v>
      </c>
      <c r="E81" s="24">
        <v>3</v>
      </c>
      <c r="F81" s="24">
        <v>3</v>
      </c>
      <c r="G81" s="24">
        <v>3</v>
      </c>
      <c r="H81" s="24">
        <v>3</v>
      </c>
      <c r="I81" s="24">
        <v>3</v>
      </c>
      <c r="J81" s="24">
        <v>3</v>
      </c>
      <c r="K81" s="24">
        <v>0</v>
      </c>
      <c r="L81" s="26">
        <v>2</v>
      </c>
      <c r="M81" s="26">
        <v>3</v>
      </c>
      <c r="N81" s="26">
        <v>2</v>
      </c>
      <c r="O81" s="26">
        <v>2</v>
      </c>
      <c r="P81" s="26">
        <v>2</v>
      </c>
      <c r="Q81" s="26">
        <v>1</v>
      </c>
      <c r="R81" s="26">
        <v>3</v>
      </c>
      <c r="S81" s="26">
        <v>0</v>
      </c>
      <c r="T81" s="28">
        <v>3</v>
      </c>
      <c r="U81" s="28">
        <v>3</v>
      </c>
      <c r="V81" s="28">
        <v>0</v>
      </c>
      <c r="W81" s="28">
        <v>3</v>
      </c>
      <c r="X81" s="28">
        <v>1</v>
      </c>
      <c r="Y81" s="28">
        <v>3</v>
      </c>
      <c r="Z81" s="28">
        <v>2</v>
      </c>
      <c r="AA81" s="28">
        <v>0</v>
      </c>
      <c r="AB81" s="64">
        <f t="shared" si="9"/>
        <v>2.6666666666666665</v>
      </c>
      <c r="AC81" s="64">
        <f t="shared" si="10"/>
        <v>3</v>
      </c>
      <c r="AD81" s="64">
        <f t="shared" si="11"/>
        <v>1.6666666666666667</v>
      </c>
      <c r="AE81" s="64">
        <f t="shared" si="12"/>
        <v>2.6666666666666665</v>
      </c>
      <c r="AF81" s="64">
        <f t="shared" si="13"/>
        <v>2</v>
      </c>
      <c r="AG81" s="64">
        <f t="shared" si="14"/>
        <v>2.3333333333333335</v>
      </c>
      <c r="AH81" s="64">
        <f t="shared" si="15"/>
        <v>2.6666666666666665</v>
      </c>
      <c r="AI81" s="64">
        <f t="shared" si="16"/>
        <v>0</v>
      </c>
    </row>
    <row r="82" spans="1:35">
      <c r="A82" s="23" t="s">
        <v>3901</v>
      </c>
      <c r="B82" s="23">
        <v>10083</v>
      </c>
      <c r="C82" s="23" t="s">
        <v>3902</v>
      </c>
      <c r="D82" s="24">
        <v>3</v>
      </c>
      <c r="E82" s="24">
        <v>0</v>
      </c>
      <c r="F82" s="24">
        <v>0</v>
      </c>
      <c r="G82" s="24">
        <v>1</v>
      </c>
      <c r="H82" s="24">
        <v>0</v>
      </c>
      <c r="I82" s="24">
        <v>3</v>
      </c>
      <c r="J82" s="24">
        <v>3</v>
      </c>
      <c r="K82" s="24">
        <v>0</v>
      </c>
      <c r="L82" s="26">
        <v>2</v>
      </c>
      <c r="M82" s="26">
        <v>0</v>
      </c>
      <c r="N82" s="26">
        <v>0</v>
      </c>
      <c r="O82" s="26">
        <v>1</v>
      </c>
      <c r="P82" s="26">
        <v>2</v>
      </c>
      <c r="Q82" s="26">
        <v>1</v>
      </c>
      <c r="R82" s="26">
        <v>1</v>
      </c>
      <c r="S82" s="26">
        <v>0</v>
      </c>
      <c r="T82" s="28">
        <v>3</v>
      </c>
      <c r="U82" s="28">
        <v>0</v>
      </c>
      <c r="V82" s="28">
        <v>1</v>
      </c>
      <c r="W82" s="28">
        <v>2</v>
      </c>
      <c r="X82" s="28">
        <v>2</v>
      </c>
      <c r="Y82" s="28">
        <v>2</v>
      </c>
      <c r="Z82" s="28">
        <v>2</v>
      </c>
      <c r="AA82" s="28">
        <v>0</v>
      </c>
      <c r="AB82" s="64">
        <f t="shared" si="9"/>
        <v>2.6666666666666665</v>
      </c>
      <c r="AC82" s="64">
        <f t="shared" si="10"/>
        <v>0</v>
      </c>
      <c r="AD82" s="64">
        <f t="shared" si="11"/>
        <v>0.33333333333333331</v>
      </c>
      <c r="AE82" s="64">
        <f t="shared" si="12"/>
        <v>1.3333333333333333</v>
      </c>
      <c r="AF82" s="64">
        <f t="shared" si="13"/>
        <v>1.3333333333333333</v>
      </c>
      <c r="AG82" s="64">
        <f t="shared" si="14"/>
        <v>2</v>
      </c>
      <c r="AH82" s="64">
        <f t="shared" si="15"/>
        <v>2</v>
      </c>
      <c r="AI82" s="64">
        <f t="shared" si="16"/>
        <v>0</v>
      </c>
    </row>
    <row r="83" spans="1:35">
      <c r="A83" s="23" t="s">
        <v>3903</v>
      </c>
      <c r="B83" s="23">
        <v>10084</v>
      </c>
      <c r="C83" s="23" t="s">
        <v>3904</v>
      </c>
      <c r="D83" s="24">
        <v>3</v>
      </c>
      <c r="E83" s="24">
        <v>3</v>
      </c>
      <c r="F83" s="24">
        <v>0</v>
      </c>
      <c r="G83" s="24">
        <v>3</v>
      </c>
      <c r="H83" s="24">
        <v>3</v>
      </c>
      <c r="I83" s="24">
        <v>3</v>
      </c>
      <c r="J83" s="24">
        <v>3</v>
      </c>
      <c r="K83" s="24">
        <v>3</v>
      </c>
      <c r="L83" s="26">
        <v>2</v>
      </c>
      <c r="M83" s="26">
        <v>2</v>
      </c>
      <c r="N83" s="26">
        <v>1</v>
      </c>
      <c r="O83" s="26">
        <v>2</v>
      </c>
      <c r="P83" s="26">
        <v>2</v>
      </c>
      <c r="Q83" s="26">
        <v>2</v>
      </c>
      <c r="R83" s="26">
        <v>2</v>
      </c>
      <c r="S83" s="26">
        <v>3</v>
      </c>
      <c r="T83" s="28">
        <v>3</v>
      </c>
      <c r="U83" s="28">
        <v>3</v>
      </c>
      <c r="V83" s="28">
        <v>0</v>
      </c>
      <c r="W83" s="28">
        <v>3</v>
      </c>
      <c r="X83" s="28">
        <v>1</v>
      </c>
      <c r="Y83" s="28">
        <v>3</v>
      </c>
      <c r="Z83" s="28">
        <v>3</v>
      </c>
      <c r="AA83" s="28">
        <v>3</v>
      </c>
      <c r="AB83" s="64">
        <f t="shared" si="9"/>
        <v>2.6666666666666665</v>
      </c>
      <c r="AC83" s="64">
        <f t="shared" si="10"/>
        <v>2.6666666666666665</v>
      </c>
      <c r="AD83" s="64">
        <f t="shared" si="11"/>
        <v>0.33333333333333331</v>
      </c>
      <c r="AE83" s="64">
        <f t="shared" si="12"/>
        <v>2.6666666666666665</v>
      </c>
      <c r="AF83" s="64">
        <f t="shared" si="13"/>
        <v>2</v>
      </c>
      <c r="AG83" s="64">
        <f t="shared" si="14"/>
        <v>2.6666666666666665</v>
      </c>
      <c r="AH83" s="64">
        <f t="shared" si="15"/>
        <v>2.6666666666666665</v>
      </c>
      <c r="AI83" s="64">
        <f t="shared" si="16"/>
        <v>3</v>
      </c>
    </row>
    <row r="84" spans="1:35">
      <c r="A84" s="23" t="s">
        <v>3836</v>
      </c>
      <c r="B84" s="23">
        <v>10085</v>
      </c>
      <c r="C84" s="23" t="s">
        <v>3905</v>
      </c>
      <c r="D84" s="24">
        <v>3</v>
      </c>
      <c r="E84" s="24">
        <v>3</v>
      </c>
      <c r="F84" s="24">
        <v>0</v>
      </c>
      <c r="G84" s="24">
        <v>3</v>
      </c>
      <c r="H84" s="24">
        <v>0</v>
      </c>
      <c r="I84" s="24">
        <v>3</v>
      </c>
      <c r="J84" s="24">
        <v>3</v>
      </c>
      <c r="K84" s="24">
        <v>0</v>
      </c>
      <c r="L84" s="26">
        <v>3</v>
      </c>
      <c r="M84" s="26">
        <v>2</v>
      </c>
      <c r="N84" s="26">
        <v>1</v>
      </c>
      <c r="O84" s="26">
        <v>2</v>
      </c>
      <c r="P84" s="26">
        <v>1</v>
      </c>
      <c r="Q84" s="26">
        <v>2</v>
      </c>
      <c r="R84" s="26">
        <v>1</v>
      </c>
      <c r="S84" s="26">
        <v>0</v>
      </c>
      <c r="T84" s="28">
        <v>3</v>
      </c>
      <c r="U84" s="28">
        <v>3</v>
      </c>
      <c r="V84" s="28">
        <v>0</v>
      </c>
      <c r="W84" s="28">
        <v>3</v>
      </c>
      <c r="X84" s="28">
        <v>1</v>
      </c>
      <c r="Y84" s="28">
        <v>3</v>
      </c>
      <c r="Z84" s="28">
        <v>3</v>
      </c>
      <c r="AA84" s="28">
        <v>0</v>
      </c>
      <c r="AB84" s="64">
        <f t="shared" si="9"/>
        <v>3</v>
      </c>
      <c r="AC84" s="64">
        <f t="shared" si="10"/>
        <v>2.6666666666666665</v>
      </c>
      <c r="AD84" s="64">
        <f t="shared" si="11"/>
        <v>0.33333333333333331</v>
      </c>
      <c r="AE84" s="64">
        <f t="shared" si="12"/>
        <v>2.6666666666666665</v>
      </c>
      <c r="AF84" s="64">
        <f t="shared" si="13"/>
        <v>0.66666666666666663</v>
      </c>
      <c r="AG84" s="64">
        <f t="shared" si="14"/>
        <v>2.6666666666666665</v>
      </c>
      <c r="AH84" s="64">
        <f t="shared" si="15"/>
        <v>2.3333333333333335</v>
      </c>
      <c r="AI84" s="64">
        <f t="shared" si="16"/>
        <v>0</v>
      </c>
    </row>
    <row r="85" spans="1:35">
      <c r="A85" s="23" t="s">
        <v>3906</v>
      </c>
      <c r="B85" s="23">
        <v>10086</v>
      </c>
      <c r="C85" s="23" t="s">
        <v>3907</v>
      </c>
      <c r="D85" s="24">
        <v>3</v>
      </c>
      <c r="E85" s="24">
        <v>0</v>
      </c>
      <c r="F85" s="24">
        <v>0</v>
      </c>
      <c r="G85" s="24">
        <v>3</v>
      </c>
      <c r="H85" s="24">
        <v>0</v>
      </c>
      <c r="I85" s="24">
        <v>0</v>
      </c>
      <c r="J85" s="24">
        <v>3</v>
      </c>
      <c r="K85" s="24">
        <v>0</v>
      </c>
      <c r="L85" s="26">
        <v>2</v>
      </c>
      <c r="M85" s="26">
        <v>0</v>
      </c>
      <c r="N85" s="26">
        <v>1</v>
      </c>
      <c r="O85" s="26">
        <v>2</v>
      </c>
      <c r="P85" s="26">
        <v>1</v>
      </c>
      <c r="Q85" s="26">
        <v>2</v>
      </c>
      <c r="R85" s="26">
        <v>1</v>
      </c>
      <c r="S85" s="26">
        <v>0</v>
      </c>
      <c r="T85" s="28">
        <v>3</v>
      </c>
      <c r="U85" s="28">
        <v>0</v>
      </c>
      <c r="V85" s="28">
        <v>0</v>
      </c>
      <c r="W85" s="28">
        <v>2</v>
      </c>
      <c r="X85" s="28">
        <v>1</v>
      </c>
      <c r="Y85" s="28">
        <v>3</v>
      </c>
      <c r="Z85" s="28">
        <v>3</v>
      </c>
      <c r="AA85" s="28">
        <v>0</v>
      </c>
      <c r="AB85" s="64">
        <f t="shared" si="9"/>
        <v>2.6666666666666665</v>
      </c>
      <c r="AC85" s="64">
        <f t="shared" si="10"/>
        <v>0</v>
      </c>
      <c r="AD85" s="64">
        <f t="shared" si="11"/>
        <v>0.33333333333333331</v>
      </c>
      <c r="AE85" s="64">
        <f t="shared" si="12"/>
        <v>2.3333333333333335</v>
      </c>
      <c r="AF85" s="64">
        <f t="shared" si="13"/>
        <v>0.66666666666666663</v>
      </c>
      <c r="AG85" s="64">
        <f t="shared" si="14"/>
        <v>1.6666666666666667</v>
      </c>
      <c r="AH85" s="64">
        <f t="shared" si="15"/>
        <v>2.3333333333333335</v>
      </c>
      <c r="AI85" s="64">
        <f t="shared" si="16"/>
        <v>0</v>
      </c>
    </row>
    <row r="86" spans="1:35">
      <c r="A86" s="23" t="s">
        <v>3908</v>
      </c>
      <c r="B86" s="23">
        <v>10087</v>
      </c>
      <c r="C86" s="23" t="s">
        <v>3909</v>
      </c>
      <c r="D86" s="24">
        <v>3</v>
      </c>
      <c r="E86" s="24">
        <v>3</v>
      </c>
      <c r="F86" s="24">
        <v>0</v>
      </c>
      <c r="G86" s="24">
        <v>3</v>
      </c>
      <c r="H86" s="24">
        <v>3</v>
      </c>
      <c r="I86" s="24">
        <v>3</v>
      </c>
      <c r="J86" s="24">
        <v>3</v>
      </c>
      <c r="K86" s="24">
        <v>0</v>
      </c>
      <c r="L86" s="26">
        <v>2</v>
      </c>
      <c r="M86" s="26">
        <v>2</v>
      </c>
      <c r="N86" s="26">
        <v>1</v>
      </c>
      <c r="O86" s="26">
        <v>2</v>
      </c>
      <c r="P86" s="26">
        <v>1</v>
      </c>
      <c r="Q86" s="26">
        <v>1</v>
      </c>
      <c r="R86" s="26">
        <v>2</v>
      </c>
      <c r="S86" s="26">
        <v>0</v>
      </c>
      <c r="T86" s="28">
        <v>3</v>
      </c>
      <c r="U86" s="28">
        <v>3</v>
      </c>
      <c r="V86" s="28">
        <v>0</v>
      </c>
      <c r="W86" s="28">
        <v>3</v>
      </c>
      <c r="X86" s="28">
        <v>0</v>
      </c>
      <c r="Y86" s="28">
        <v>3</v>
      </c>
      <c r="Z86" s="28">
        <v>3</v>
      </c>
      <c r="AA86" s="28">
        <v>0</v>
      </c>
      <c r="AB86" s="64">
        <f t="shared" si="9"/>
        <v>2.6666666666666665</v>
      </c>
      <c r="AC86" s="64">
        <f t="shared" si="10"/>
        <v>2.6666666666666665</v>
      </c>
      <c r="AD86" s="64">
        <f t="shared" si="11"/>
        <v>0.33333333333333331</v>
      </c>
      <c r="AE86" s="64">
        <f t="shared" si="12"/>
        <v>2.6666666666666665</v>
      </c>
      <c r="AF86" s="64">
        <f t="shared" si="13"/>
        <v>1.3333333333333333</v>
      </c>
      <c r="AG86" s="64">
        <f t="shared" si="14"/>
        <v>2.3333333333333335</v>
      </c>
      <c r="AH86" s="64">
        <f t="shared" si="15"/>
        <v>2.6666666666666665</v>
      </c>
      <c r="AI86" s="64">
        <f t="shared" si="16"/>
        <v>0</v>
      </c>
    </row>
    <row r="87" spans="1:35">
      <c r="A87" s="23" t="s">
        <v>3910</v>
      </c>
      <c r="B87" s="23">
        <v>10088</v>
      </c>
      <c r="C87" s="23" t="s">
        <v>3911</v>
      </c>
      <c r="D87" s="24">
        <v>3</v>
      </c>
      <c r="E87" s="24">
        <v>3</v>
      </c>
      <c r="F87" s="24">
        <v>2</v>
      </c>
      <c r="G87" s="24">
        <v>3</v>
      </c>
      <c r="H87" s="24">
        <v>0</v>
      </c>
      <c r="I87" s="24">
        <v>3</v>
      </c>
      <c r="J87" s="24">
        <v>3</v>
      </c>
      <c r="K87" s="24">
        <v>0</v>
      </c>
      <c r="L87" s="26">
        <v>3</v>
      </c>
      <c r="M87" s="26">
        <v>2</v>
      </c>
      <c r="N87" s="26">
        <v>1</v>
      </c>
      <c r="O87" s="26">
        <v>2</v>
      </c>
      <c r="P87" s="26">
        <v>0</v>
      </c>
      <c r="Q87" s="26">
        <v>1</v>
      </c>
      <c r="R87" s="26">
        <v>1</v>
      </c>
      <c r="S87" s="26">
        <v>0</v>
      </c>
      <c r="T87" s="28">
        <v>3</v>
      </c>
      <c r="U87" s="28">
        <v>3</v>
      </c>
      <c r="V87" s="28">
        <v>2</v>
      </c>
      <c r="W87" s="28">
        <v>3</v>
      </c>
      <c r="X87" s="28">
        <v>0</v>
      </c>
      <c r="Y87" s="28">
        <v>3</v>
      </c>
      <c r="Z87" s="28">
        <v>3</v>
      </c>
      <c r="AA87" s="28">
        <v>0</v>
      </c>
      <c r="AB87" s="64">
        <f t="shared" si="9"/>
        <v>3</v>
      </c>
      <c r="AC87" s="64">
        <f t="shared" si="10"/>
        <v>2.6666666666666665</v>
      </c>
      <c r="AD87" s="64">
        <f t="shared" si="11"/>
        <v>1.6666666666666667</v>
      </c>
      <c r="AE87" s="64">
        <f t="shared" si="12"/>
        <v>2.6666666666666665</v>
      </c>
      <c r="AF87" s="64">
        <f t="shared" si="13"/>
        <v>0</v>
      </c>
      <c r="AG87" s="64">
        <f t="shared" si="14"/>
        <v>2.3333333333333335</v>
      </c>
      <c r="AH87" s="64">
        <f t="shared" si="15"/>
        <v>2.3333333333333335</v>
      </c>
      <c r="AI87" s="64">
        <f t="shared" si="16"/>
        <v>0</v>
      </c>
    </row>
    <row r="88" spans="1:35">
      <c r="A88" s="23" t="s">
        <v>3912</v>
      </c>
      <c r="B88" s="23">
        <v>10089</v>
      </c>
      <c r="C88" s="23" t="s">
        <v>3913</v>
      </c>
      <c r="D88" s="24">
        <v>3</v>
      </c>
      <c r="E88" s="24">
        <v>3</v>
      </c>
      <c r="F88" s="24">
        <v>0</v>
      </c>
      <c r="G88" s="24">
        <v>3</v>
      </c>
      <c r="H88" s="24">
        <v>2</v>
      </c>
      <c r="I88" s="24">
        <v>3</v>
      </c>
      <c r="J88" s="24">
        <v>2</v>
      </c>
      <c r="K88" s="24">
        <v>0</v>
      </c>
      <c r="L88" s="26">
        <v>2</v>
      </c>
      <c r="M88" s="26">
        <v>3</v>
      </c>
      <c r="N88" s="26">
        <v>1</v>
      </c>
      <c r="O88" s="26">
        <v>2</v>
      </c>
      <c r="P88" s="26">
        <v>3</v>
      </c>
      <c r="Q88" s="26">
        <v>1</v>
      </c>
      <c r="R88" s="26">
        <v>1</v>
      </c>
      <c r="S88" s="26">
        <v>0</v>
      </c>
      <c r="T88" s="28">
        <v>3</v>
      </c>
      <c r="U88" s="28">
        <v>3</v>
      </c>
      <c r="V88" s="28">
        <v>0</v>
      </c>
      <c r="W88" s="28">
        <v>3</v>
      </c>
      <c r="X88" s="28">
        <v>3</v>
      </c>
      <c r="Y88" s="28">
        <v>3</v>
      </c>
      <c r="Z88" s="28">
        <v>2</v>
      </c>
      <c r="AA88" s="28">
        <v>0</v>
      </c>
      <c r="AB88" s="64">
        <f t="shared" si="9"/>
        <v>2.6666666666666665</v>
      </c>
      <c r="AC88" s="64">
        <f t="shared" si="10"/>
        <v>3</v>
      </c>
      <c r="AD88" s="64">
        <f t="shared" si="11"/>
        <v>0.33333333333333331</v>
      </c>
      <c r="AE88" s="64">
        <f t="shared" si="12"/>
        <v>2.6666666666666665</v>
      </c>
      <c r="AF88" s="64">
        <f t="shared" si="13"/>
        <v>2.6666666666666665</v>
      </c>
      <c r="AG88" s="64">
        <f t="shared" si="14"/>
        <v>2.3333333333333335</v>
      </c>
      <c r="AH88" s="64">
        <f t="shared" si="15"/>
        <v>1.6666666666666667</v>
      </c>
      <c r="AI88" s="64">
        <f t="shared" si="16"/>
        <v>0</v>
      </c>
    </row>
    <row r="89" spans="1:35">
      <c r="A89" s="23" t="s">
        <v>3914</v>
      </c>
      <c r="B89" s="23">
        <v>10090</v>
      </c>
      <c r="C89" s="23" t="s">
        <v>3915</v>
      </c>
      <c r="D89" s="24">
        <v>1</v>
      </c>
      <c r="E89" s="24">
        <v>0</v>
      </c>
      <c r="F89" s="24">
        <v>0</v>
      </c>
      <c r="G89" s="24">
        <v>1</v>
      </c>
      <c r="H89" s="24">
        <v>0</v>
      </c>
      <c r="I89" s="24">
        <v>0</v>
      </c>
      <c r="J89" s="24">
        <v>0</v>
      </c>
      <c r="K89" s="24">
        <v>0</v>
      </c>
      <c r="L89" s="26">
        <v>1</v>
      </c>
      <c r="M89" s="26">
        <v>0</v>
      </c>
      <c r="N89" s="26">
        <v>0</v>
      </c>
      <c r="O89" s="26">
        <v>1</v>
      </c>
      <c r="P89" s="26">
        <v>0</v>
      </c>
      <c r="Q89" s="26">
        <v>0</v>
      </c>
      <c r="R89" s="26">
        <v>0</v>
      </c>
      <c r="S89" s="26">
        <v>0</v>
      </c>
      <c r="T89" s="28">
        <v>1</v>
      </c>
      <c r="U89" s="28">
        <v>0</v>
      </c>
      <c r="V89" s="28">
        <v>1</v>
      </c>
      <c r="W89" s="28">
        <v>2</v>
      </c>
      <c r="X89" s="28">
        <v>1</v>
      </c>
      <c r="Y89" s="28">
        <v>3</v>
      </c>
      <c r="Z89" s="28">
        <v>0</v>
      </c>
      <c r="AA89" s="28">
        <v>0</v>
      </c>
      <c r="AB89" s="64">
        <f t="shared" si="9"/>
        <v>1</v>
      </c>
      <c r="AC89" s="64">
        <f t="shared" si="10"/>
        <v>0</v>
      </c>
      <c r="AD89" s="64">
        <f t="shared" si="11"/>
        <v>0.33333333333333331</v>
      </c>
      <c r="AE89" s="64">
        <f t="shared" si="12"/>
        <v>1.3333333333333333</v>
      </c>
      <c r="AF89" s="64">
        <f t="shared" si="13"/>
        <v>0.33333333333333331</v>
      </c>
      <c r="AG89" s="64">
        <f t="shared" si="14"/>
        <v>1</v>
      </c>
      <c r="AH89" s="64">
        <f t="shared" si="15"/>
        <v>0</v>
      </c>
      <c r="AI89" s="64">
        <f t="shared" si="16"/>
        <v>0</v>
      </c>
    </row>
    <row r="90" spans="1:35">
      <c r="A90" s="23" t="s">
        <v>3916</v>
      </c>
      <c r="B90" s="23">
        <v>10091</v>
      </c>
      <c r="C90" s="23" t="s">
        <v>3917</v>
      </c>
      <c r="D90" s="24">
        <v>3</v>
      </c>
      <c r="E90" s="24">
        <v>3</v>
      </c>
      <c r="F90" s="24">
        <v>0</v>
      </c>
      <c r="G90" s="24">
        <v>2</v>
      </c>
      <c r="H90" s="24">
        <v>0</v>
      </c>
      <c r="I90" s="24">
        <v>3</v>
      </c>
      <c r="J90" s="24">
        <v>3</v>
      </c>
      <c r="K90" s="24">
        <v>0</v>
      </c>
      <c r="L90" s="26">
        <v>2</v>
      </c>
      <c r="M90" s="26">
        <v>2</v>
      </c>
      <c r="N90" s="26">
        <v>0</v>
      </c>
      <c r="O90" s="26">
        <v>2</v>
      </c>
      <c r="P90" s="26">
        <v>0</v>
      </c>
      <c r="Q90" s="26">
        <v>2</v>
      </c>
      <c r="R90" s="26">
        <v>2</v>
      </c>
      <c r="S90" s="26">
        <v>0</v>
      </c>
      <c r="T90" s="28">
        <v>3</v>
      </c>
      <c r="U90" s="28">
        <v>3</v>
      </c>
      <c r="V90" s="28">
        <v>1</v>
      </c>
      <c r="W90" s="28">
        <v>1</v>
      </c>
      <c r="X90" s="28">
        <v>0</v>
      </c>
      <c r="Y90" s="28">
        <v>3</v>
      </c>
      <c r="Z90" s="28">
        <v>3</v>
      </c>
      <c r="AA90" s="28">
        <v>0</v>
      </c>
      <c r="AB90" s="64">
        <f t="shared" si="9"/>
        <v>2.6666666666666665</v>
      </c>
      <c r="AC90" s="64">
        <f t="shared" si="10"/>
        <v>2.6666666666666665</v>
      </c>
      <c r="AD90" s="64">
        <f t="shared" si="11"/>
        <v>0.33333333333333331</v>
      </c>
      <c r="AE90" s="64">
        <f t="shared" si="12"/>
        <v>1.6666666666666667</v>
      </c>
      <c r="AF90" s="64">
        <f t="shared" si="13"/>
        <v>0</v>
      </c>
      <c r="AG90" s="64">
        <f t="shared" si="14"/>
        <v>2.6666666666666665</v>
      </c>
      <c r="AH90" s="64">
        <f t="shared" si="15"/>
        <v>2.6666666666666665</v>
      </c>
      <c r="AI90" s="64">
        <f t="shared" si="16"/>
        <v>0</v>
      </c>
    </row>
    <row r="91" spans="1:35">
      <c r="A91" s="23" t="s">
        <v>3918</v>
      </c>
      <c r="B91" s="23">
        <v>10092</v>
      </c>
      <c r="C91" s="23" t="s">
        <v>3919</v>
      </c>
      <c r="D91" s="24">
        <v>1</v>
      </c>
      <c r="E91" s="24">
        <v>3</v>
      </c>
      <c r="F91" s="24">
        <v>3</v>
      </c>
      <c r="G91" s="24">
        <v>0</v>
      </c>
      <c r="H91" s="24">
        <v>0</v>
      </c>
      <c r="I91" s="24">
        <v>2</v>
      </c>
      <c r="J91" s="24">
        <v>0</v>
      </c>
      <c r="K91" s="24">
        <v>0</v>
      </c>
      <c r="L91" s="26">
        <v>0</v>
      </c>
      <c r="M91" s="26">
        <v>1</v>
      </c>
      <c r="N91" s="26">
        <v>2</v>
      </c>
      <c r="O91" s="26">
        <v>0</v>
      </c>
      <c r="P91" s="26">
        <v>2</v>
      </c>
      <c r="Q91" s="26">
        <v>0</v>
      </c>
      <c r="R91" s="26">
        <v>0</v>
      </c>
      <c r="S91" s="26">
        <v>0</v>
      </c>
      <c r="T91" s="28">
        <v>0</v>
      </c>
      <c r="U91" s="28">
        <v>0</v>
      </c>
      <c r="V91" s="28">
        <v>0</v>
      </c>
      <c r="W91" s="28">
        <v>2</v>
      </c>
      <c r="X91" s="28">
        <v>2</v>
      </c>
      <c r="Y91" s="28">
        <v>3</v>
      </c>
      <c r="Z91" s="28">
        <v>0</v>
      </c>
      <c r="AA91" s="28">
        <v>0</v>
      </c>
      <c r="AB91" s="64">
        <f t="shared" si="9"/>
        <v>0.33333333333333331</v>
      </c>
      <c r="AC91" s="64">
        <f t="shared" si="10"/>
        <v>1.3333333333333333</v>
      </c>
      <c r="AD91" s="64">
        <f t="shared" si="11"/>
        <v>1.6666666666666667</v>
      </c>
      <c r="AE91" s="64">
        <f t="shared" si="12"/>
        <v>0.66666666666666663</v>
      </c>
      <c r="AF91" s="64">
        <f t="shared" si="13"/>
        <v>1.3333333333333333</v>
      </c>
      <c r="AG91" s="64">
        <f t="shared" si="14"/>
        <v>1.6666666666666667</v>
      </c>
      <c r="AH91" s="64">
        <f t="shared" si="15"/>
        <v>0</v>
      </c>
      <c r="AI91" s="64">
        <f t="shared" si="16"/>
        <v>0</v>
      </c>
    </row>
    <row r="92" spans="1:35">
      <c r="A92" s="23" t="s">
        <v>3920</v>
      </c>
      <c r="B92" s="23">
        <v>10093</v>
      </c>
      <c r="C92" s="23" t="s">
        <v>3921</v>
      </c>
      <c r="D92" s="24">
        <v>3</v>
      </c>
      <c r="E92" s="24">
        <v>0</v>
      </c>
      <c r="F92" s="24">
        <v>2</v>
      </c>
      <c r="G92" s="24">
        <v>0</v>
      </c>
      <c r="H92" s="24">
        <v>0</v>
      </c>
      <c r="I92" s="24">
        <v>3</v>
      </c>
      <c r="J92" s="24">
        <v>0</v>
      </c>
      <c r="K92" s="24">
        <v>0</v>
      </c>
      <c r="L92" s="26">
        <v>2</v>
      </c>
      <c r="M92" s="26">
        <v>0</v>
      </c>
      <c r="N92" s="26">
        <v>2</v>
      </c>
      <c r="O92" s="26">
        <v>1</v>
      </c>
      <c r="P92" s="26">
        <v>0</v>
      </c>
      <c r="Q92" s="26">
        <v>1</v>
      </c>
      <c r="R92" s="26">
        <v>1</v>
      </c>
      <c r="S92" s="26">
        <v>0</v>
      </c>
      <c r="T92" s="28">
        <v>3</v>
      </c>
      <c r="U92" s="28">
        <v>0</v>
      </c>
      <c r="V92" s="28">
        <v>1</v>
      </c>
      <c r="W92" s="28">
        <v>2</v>
      </c>
      <c r="X92" s="28">
        <v>1</v>
      </c>
      <c r="Y92" s="28">
        <v>3</v>
      </c>
      <c r="Z92" s="28">
        <v>2</v>
      </c>
      <c r="AA92" s="28">
        <v>2</v>
      </c>
      <c r="AB92" s="64">
        <f t="shared" si="9"/>
        <v>2.6666666666666665</v>
      </c>
      <c r="AC92" s="64">
        <f t="shared" si="10"/>
        <v>0</v>
      </c>
      <c r="AD92" s="64">
        <f t="shared" si="11"/>
        <v>1.6666666666666667</v>
      </c>
      <c r="AE92" s="64">
        <f t="shared" si="12"/>
        <v>1</v>
      </c>
      <c r="AF92" s="64">
        <f t="shared" si="13"/>
        <v>0.33333333333333331</v>
      </c>
      <c r="AG92" s="64">
        <f t="shared" si="14"/>
        <v>2.3333333333333335</v>
      </c>
      <c r="AH92" s="64">
        <f t="shared" si="15"/>
        <v>1</v>
      </c>
      <c r="AI92" s="64">
        <f t="shared" si="16"/>
        <v>0.66666666666666663</v>
      </c>
    </row>
    <row r="93" spans="1:35">
      <c r="A93" s="23" t="s">
        <v>3797</v>
      </c>
      <c r="B93" s="23">
        <v>10094</v>
      </c>
      <c r="C93" s="23" t="s">
        <v>3922</v>
      </c>
      <c r="D93" s="24">
        <v>2</v>
      </c>
      <c r="E93" s="24">
        <v>0</v>
      </c>
      <c r="F93" s="24">
        <v>0</v>
      </c>
      <c r="G93" s="24">
        <v>1</v>
      </c>
      <c r="H93" s="24">
        <v>0</v>
      </c>
      <c r="I93" s="24">
        <v>0</v>
      </c>
      <c r="J93" s="24">
        <v>3</v>
      </c>
      <c r="K93" s="24">
        <v>0</v>
      </c>
      <c r="L93" s="26">
        <v>1</v>
      </c>
      <c r="M93" s="26">
        <v>0</v>
      </c>
      <c r="N93" s="26">
        <v>0</v>
      </c>
      <c r="O93" s="26">
        <v>1</v>
      </c>
      <c r="P93" s="26">
        <v>0</v>
      </c>
      <c r="Q93" s="26">
        <v>0</v>
      </c>
      <c r="R93" s="26">
        <v>1</v>
      </c>
      <c r="S93" s="26">
        <v>1</v>
      </c>
      <c r="T93" s="28">
        <v>1</v>
      </c>
      <c r="U93" s="28">
        <v>0</v>
      </c>
      <c r="V93" s="28">
        <v>0</v>
      </c>
      <c r="W93" s="28">
        <v>2</v>
      </c>
      <c r="X93" s="28">
        <v>0</v>
      </c>
      <c r="Y93" s="28">
        <v>3</v>
      </c>
      <c r="Z93" s="28">
        <v>3</v>
      </c>
      <c r="AA93" s="28">
        <v>0</v>
      </c>
      <c r="AB93" s="64">
        <f t="shared" si="9"/>
        <v>1.3333333333333333</v>
      </c>
      <c r="AC93" s="64">
        <f t="shared" si="10"/>
        <v>0</v>
      </c>
      <c r="AD93" s="64">
        <f t="shared" si="11"/>
        <v>0</v>
      </c>
      <c r="AE93" s="64">
        <f t="shared" si="12"/>
        <v>1.3333333333333333</v>
      </c>
      <c r="AF93" s="64">
        <f t="shared" si="13"/>
        <v>0</v>
      </c>
      <c r="AG93" s="64">
        <f t="shared" si="14"/>
        <v>1</v>
      </c>
      <c r="AH93" s="64">
        <f t="shared" si="15"/>
        <v>2.3333333333333335</v>
      </c>
      <c r="AI93" s="64">
        <f t="shared" si="16"/>
        <v>0.33333333333333331</v>
      </c>
    </row>
    <row r="94" spans="1:35">
      <c r="A94" s="23" t="s">
        <v>3923</v>
      </c>
      <c r="B94" s="23">
        <v>10095</v>
      </c>
      <c r="C94" s="23" t="s">
        <v>3924</v>
      </c>
      <c r="D94" s="24">
        <v>3</v>
      </c>
      <c r="E94" s="24">
        <v>0</v>
      </c>
      <c r="F94" s="24">
        <v>1</v>
      </c>
      <c r="G94" s="24">
        <v>1</v>
      </c>
      <c r="H94" s="24">
        <v>0</v>
      </c>
      <c r="I94" s="24">
        <v>3</v>
      </c>
      <c r="J94" s="24">
        <v>0</v>
      </c>
      <c r="K94" s="24">
        <v>0</v>
      </c>
      <c r="L94" s="26">
        <v>1</v>
      </c>
      <c r="M94" s="26">
        <v>0</v>
      </c>
      <c r="N94" s="26">
        <v>0</v>
      </c>
      <c r="O94" s="26">
        <v>1</v>
      </c>
      <c r="P94" s="26">
        <v>0</v>
      </c>
      <c r="Q94" s="26">
        <v>2</v>
      </c>
      <c r="R94" s="26">
        <v>1</v>
      </c>
      <c r="S94" s="26">
        <v>0</v>
      </c>
      <c r="T94" s="28">
        <v>3</v>
      </c>
      <c r="U94" s="28"/>
      <c r="V94" s="28">
        <v>2</v>
      </c>
      <c r="W94" s="28">
        <v>2</v>
      </c>
      <c r="X94" s="28">
        <v>1</v>
      </c>
      <c r="Y94" s="28">
        <v>3</v>
      </c>
      <c r="Z94" s="28">
        <v>3</v>
      </c>
      <c r="AA94" s="28"/>
      <c r="AB94" s="64">
        <f t="shared" si="9"/>
        <v>2.3333333333333335</v>
      </c>
      <c r="AC94" s="64">
        <f t="shared" si="10"/>
        <v>0</v>
      </c>
      <c r="AD94" s="64">
        <f t="shared" si="11"/>
        <v>1</v>
      </c>
      <c r="AE94" s="64">
        <f t="shared" si="12"/>
        <v>1.3333333333333333</v>
      </c>
      <c r="AF94" s="64">
        <f t="shared" si="13"/>
        <v>0.33333333333333331</v>
      </c>
      <c r="AG94" s="64">
        <f t="shared" si="14"/>
        <v>2.6666666666666665</v>
      </c>
      <c r="AH94" s="64">
        <f t="shared" si="15"/>
        <v>1.3333333333333333</v>
      </c>
      <c r="AI94" s="64">
        <f t="shared" si="16"/>
        <v>0</v>
      </c>
    </row>
    <row r="95" spans="1:35">
      <c r="A95" s="23" t="s">
        <v>3783</v>
      </c>
      <c r="B95" s="23">
        <v>10096</v>
      </c>
      <c r="C95" s="23" t="s">
        <v>3925</v>
      </c>
      <c r="D95" s="24">
        <v>3</v>
      </c>
      <c r="E95" s="24">
        <v>3</v>
      </c>
      <c r="F95" s="24">
        <v>1</v>
      </c>
      <c r="G95" s="24">
        <v>3</v>
      </c>
      <c r="H95" s="24">
        <v>0</v>
      </c>
      <c r="I95" s="24">
        <v>3</v>
      </c>
      <c r="J95" s="24">
        <v>0</v>
      </c>
      <c r="K95" s="24">
        <v>0</v>
      </c>
      <c r="L95" s="26">
        <v>2</v>
      </c>
      <c r="M95" s="26">
        <v>2</v>
      </c>
      <c r="N95" s="26">
        <v>2</v>
      </c>
      <c r="O95" s="26">
        <v>2</v>
      </c>
      <c r="P95" s="26">
        <v>0</v>
      </c>
      <c r="Q95" s="26">
        <v>2</v>
      </c>
      <c r="R95" s="26">
        <v>0</v>
      </c>
      <c r="S95" s="26">
        <v>0</v>
      </c>
      <c r="T95" s="28">
        <v>3</v>
      </c>
      <c r="U95" s="28">
        <v>3</v>
      </c>
      <c r="V95" s="28">
        <v>2</v>
      </c>
      <c r="W95" s="28">
        <v>3</v>
      </c>
      <c r="X95" s="28">
        <v>0</v>
      </c>
      <c r="Y95" s="28">
        <v>3</v>
      </c>
      <c r="Z95" s="28">
        <v>0</v>
      </c>
      <c r="AA95" s="28">
        <v>1</v>
      </c>
      <c r="AB95" s="64">
        <f t="shared" si="9"/>
        <v>2.6666666666666665</v>
      </c>
      <c r="AC95" s="64">
        <f t="shared" si="10"/>
        <v>2.6666666666666665</v>
      </c>
      <c r="AD95" s="64">
        <f t="shared" si="11"/>
        <v>1.6666666666666667</v>
      </c>
      <c r="AE95" s="64">
        <f t="shared" si="12"/>
        <v>2.6666666666666665</v>
      </c>
      <c r="AF95" s="64">
        <f t="shared" si="13"/>
        <v>0</v>
      </c>
      <c r="AG95" s="64">
        <f t="shared" si="14"/>
        <v>2.6666666666666665</v>
      </c>
      <c r="AH95" s="64">
        <f t="shared" si="15"/>
        <v>0</v>
      </c>
      <c r="AI95" s="64">
        <f t="shared" si="16"/>
        <v>0.33333333333333331</v>
      </c>
    </row>
    <row r="96" spans="1:35">
      <c r="A96" s="23" t="s">
        <v>3926</v>
      </c>
      <c r="B96" s="23">
        <v>10097</v>
      </c>
      <c r="C96" s="23" t="s">
        <v>3927</v>
      </c>
      <c r="D96" s="24">
        <v>3</v>
      </c>
      <c r="E96" s="24">
        <v>0</v>
      </c>
      <c r="F96" s="24">
        <v>0</v>
      </c>
      <c r="G96" s="24">
        <v>3</v>
      </c>
      <c r="H96" s="24">
        <v>0</v>
      </c>
      <c r="I96" s="24">
        <v>3</v>
      </c>
      <c r="J96" s="24">
        <v>0</v>
      </c>
      <c r="K96" s="24">
        <v>0</v>
      </c>
      <c r="L96" s="26">
        <v>2</v>
      </c>
      <c r="M96" s="26">
        <v>0</v>
      </c>
      <c r="N96" s="26">
        <v>0</v>
      </c>
      <c r="O96" s="26">
        <v>2</v>
      </c>
      <c r="P96" s="26">
        <v>1</v>
      </c>
      <c r="Q96" s="26">
        <v>0</v>
      </c>
      <c r="R96" s="26">
        <v>0</v>
      </c>
      <c r="S96" s="26">
        <v>2</v>
      </c>
      <c r="T96" s="28">
        <v>3</v>
      </c>
      <c r="U96" s="28">
        <v>0</v>
      </c>
      <c r="V96" s="28">
        <v>0</v>
      </c>
      <c r="W96" s="28">
        <v>3</v>
      </c>
      <c r="X96" s="28">
        <v>3</v>
      </c>
      <c r="Y96" s="28">
        <v>1</v>
      </c>
      <c r="Z96" s="28">
        <v>0</v>
      </c>
      <c r="AA96" s="28">
        <v>0</v>
      </c>
      <c r="AB96" s="64">
        <f t="shared" si="9"/>
        <v>2.6666666666666665</v>
      </c>
      <c r="AC96" s="64">
        <f t="shared" si="10"/>
        <v>0</v>
      </c>
      <c r="AD96" s="64">
        <f t="shared" si="11"/>
        <v>0</v>
      </c>
      <c r="AE96" s="64">
        <f t="shared" si="12"/>
        <v>2.6666666666666665</v>
      </c>
      <c r="AF96" s="64">
        <f t="shared" si="13"/>
        <v>1.3333333333333333</v>
      </c>
      <c r="AG96" s="64">
        <f t="shared" si="14"/>
        <v>1.3333333333333333</v>
      </c>
      <c r="AH96" s="64">
        <f t="shared" si="15"/>
        <v>0</v>
      </c>
      <c r="AI96" s="64">
        <f t="shared" si="16"/>
        <v>0.66666666666666663</v>
      </c>
    </row>
    <row r="97" spans="1:35">
      <c r="A97" s="23" t="s">
        <v>3928</v>
      </c>
      <c r="B97" s="23">
        <v>10098</v>
      </c>
      <c r="C97" s="23" t="s">
        <v>3929</v>
      </c>
      <c r="D97" s="24">
        <v>2</v>
      </c>
      <c r="E97" s="24">
        <v>0</v>
      </c>
      <c r="F97" s="24">
        <v>0</v>
      </c>
      <c r="G97" s="24">
        <v>3</v>
      </c>
      <c r="H97" s="24">
        <v>0</v>
      </c>
      <c r="I97" s="24">
        <v>3</v>
      </c>
      <c r="J97" s="24">
        <v>0</v>
      </c>
      <c r="K97" s="24">
        <v>0</v>
      </c>
      <c r="L97" s="26">
        <v>1</v>
      </c>
      <c r="M97" s="26">
        <v>0</v>
      </c>
      <c r="N97" s="26">
        <v>0</v>
      </c>
      <c r="O97" s="26">
        <v>2</v>
      </c>
      <c r="P97" s="26">
        <v>0</v>
      </c>
      <c r="Q97" s="26">
        <v>0</v>
      </c>
      <c r="R97" s="26">
        <v>0</v>
      </c>
      <c r="S97" s="26">
        <v>0</v>
      </c>
      <c r="T97" s="28">
        <v>0</v>
      </c>
      <c r="U97" s="28">
        <v>0</v>
      </c>
      <c r="V97" s="28">
        <v>2</v>
      </c>
      <c r="W97" s="28">
        <v>3</v>
      </c>
      <c r="X97" s="28">
        <v>0</v>
      </c>
      <c r="Y97" s="28">
        <v>1</v>
      </c>
      <c r="Z97" s="28">
        <v>0</v>
      </c>
      <c r="AA97" s="28">
        <v>0</v>
      </c>
      <c r="AB97" s="64">
        <f t="shared" si="9"/>
        <v>1</v>
      </c>
      <c r="AC97" s="64">
        <f t="shared" si="10"/>
        <v>0</v>
      </c>
      <c r="AD97" s="64">
        <f t="shared" si="11"/>
        <v>0.66666666666666663</v>
      </c>
      <c r="AE97" s="64">
        <f t="shared" si="12"/>
        <v>2.6666666666666665</v>
      </c>
      <c r="AF97" s="64">
        <f t="shared" si="13"/>
        <v>0</v>
      </c>
      <c r="AG97" s="64">
        <f t="shared" si="14"/>
        <v>1.3333333333333333</v>
      </c>
      <c r="AH97" s="64">
        <f t="shared" si="15"/>
        <v>0</v>
      </c>
      <c r="AI97" s="64">
        <f t="shared" si="16"/>
        <v>0</v>
      </c>
    </row>
    <row r="98" spans="1:35">
      <c r="A98" s="23" t="s">
        <v>3930</v>
      </c>
      <c r="B98" s="23">
        <v>10099</v>
      </c>
      <c r="C98" s="23" t="s">
        <v>3931</v>
      </c>
      <c r="D98" s="24">
        <v>3</v>
      </c>
      <c r="E98" s="24">
        <v>3</v>
      </c>
      <c r="F98" s="24">
        <v>1</v>
      </c>
      <c r="G98" s="24">
        <v>3</v>
      </c>
      <c r="H98" s="24">
        <v>1</v>
      </c>
      <c r="I98" s="24">
        <v>2</v>
      </c>
      <c r="J98" s="24">
        <v>3</v>
      </c>
      <c r="K98" s="24">
        <v>0</v>
      </c>
      <c r="L98" s="26">
        <v>3</v>
      </c>
      <c r="M98" s="26">
        <v>2</v>
      </c>
      <c r="N98" s="26">
        <v>1</v>
      </c>
      <c r="O98" s="26">
        <v>2</v>
      </c>
      <c r="P98" s="26">
        <v>1</v>
      </c>
      <c r="Q98" s="26">
        <v>0</v>
      </c>
      <c r="R98" s="26">
        <v>1</v>
      </c>
      <c r="S98" s="26">
        <v>0</v>
      </c>
      <c r="T98" s="28">
        <v>3</v>
      </c>
      <c r="U98" s="28">
        <v>3</v>
      </c>
      <c r="V98" s="28">
        <v>2</v>
      </c>
      <c r="W98" s="28">
        <v>3</v>
      </c>
      <c r="X98" s="28">
        <v>0</v>
      </c>
      <c r="Y98" s="28">
        <v>3</v>
      </c>
      <c r="Z98" s="28">
        <v>3</v>
      </c>
      <c r="AA98" s="28">
        <v>0</v>
      </c>
      <c r="AB98" s="64">
        <f t="shared" si="9"/>
        <v>3</v>
      </c>
      <c r="AC98" s="64">
        <f t="shared" si="10"/>
        <v>2.6666666666666665</v>
      </c>
      <c r="AD98" s="64">
        <f t="shared" si="11"/>
        <v>1.3333333333333333</v>
      </c>
      <c r="AE98" s="64">
        <f t="shared" si="12"/>
        <v>2.6666666666666665</v>
      </c>
      <c r="AF98" s="64">
        <f t="shared" si="13"/>
        <v>0.66666666666666663</v>
      </c>
      <c r="AG98" s="64">
        <f t="shared" si="14"/>
        <v>1.6666666666666667</v>
      </c>
      <c r="AH98" s="64">
        <f t="shared" si="15"/>
        <v>2.3333333333333335</v>
      </c>
      <c r="AI98" s="64">
        <f t="shared" si="16"/>
        <v>0</v>
      </c>
    </row>
    <row r="99" spans="1:35">
      <c r="A99" s="23" t="s">
        <v>3932</v>
      </c>
      <c r="B99" s="23">
        <v>10100</v>
      </c>
      <c r="C99" s="23" t="s">
        <v>3933</v>
      </c>
      <c r="D99" s="24">
        <v>3</v>
      </c>
      <c r="E99" s="24">
        <v>3</v>
      </c>
      <c r="F99" s="24">
        <v>0</v>
      </c>
      <c r="G99" s="24">
        <v>3</v>
      </c>
      <c r="H99" s="24">
        <v>0</v>
      </c>
      <c r="I99" s="24">
        <v>3</v>
      </c>
      <c r="J99" s="24">
        <v>0</v>
      </c>
      <c r="K99" s="24">
        <v>0</v>
      </c>
      <c r="L99" s="26">
        <v>2</v>
      </c>
      <c r="M99" s="26">
        <v>2</v>
      </c>
      <c r="N99" s="26">
        <v>1</v>
      </c>
      <c r="O99" s="26">
        <v>2</v>
      </c>
      <c r="P99" s="26">
        <v>1</v>
      </c>
      <c r="Q99" s="26">
        <v>2</v>
      </c>
      <c r="R99" s="26">
        <v>2</v>
      </c>
      <c r="S99" s="26">
        <v>0</v>
      </c>
      <c r="T99" s="28">
        <v>3</v>
      </c>
      <c r="U99" s="28">
        <v>3</v>
      </c>
      <c r="V99" s="28">
        <v>0</v>
      </c>
      <c r="W99" s="28">
        <v>3</v>
      </c>
      <c r="X99" s="28">
        <v>0</v>
      </c>
      <c r="Y99" s="28">
        <v>3</v>
      </c>
      <c r="Z99" s="28">
        <v>3</v>
      </c>
      <c r="AA99" s="28">
        <v>0</v>
      </c>
      <c r="AB99" s="64">
        <f t="shared" si="9"/>
        <v>2.6666666666666665</v>
      </c>
      <c r="AC99" s="64">
        <f t="shared" si="10"/>
        <v>2.6666666666666665</v>
      </c>
      <c r="AD99" s="64">
        <f t="shared" si="11"/>
        <v>0.33333333333333331</v>
      </c>
      <c r="AE99" s="64">
        <f t="shared" si="12"/>
        <v>2.6666666666666665</v>
      </c>
      <c r="AF99" s="64">
        <f t="shared" si="13"/>
        <v>0.33333333333333331</v>
      </c>
      <c r="AG99" s="64">
        <f t="shared" si="14"/>
        <v>2.6666666666666665</v>
      </c>
      <c r="AH99" s="64">
        <f t="shared" si="15"/>
        <v>1.6666666666666667</v>
      </c>
      <c r="AI99" s="64">
        <f t="shared" si="16"/>
        <v>0</v>
      </c>
    </row>
    <row r="100" spans="1:35">
      <c r="A100" s="23" t="s">
        <v>3934</v>
      </c>
      <c r="B100" s="23">
        <v>10101</v>
      </c>
      <c r="C100" s="23" t="s">
        <v>3935</v>
      </c>
      <c r="D100" s="24">
        <v>3</v>
      </c>
      <c r="E100" s="24">
        <v>3</v>
      </c>
      <c r="F100" s="24">
        <v>2</v>
      </c>
      <c r="G100" s="24">
        <v>3</v>
      </c>
      <c r="H100" s="24">
        <v>3</v>
      </c>
      <c r="I100" s="24">
        <v>3</v>
      </c>
      <c r="J100" s="24">
        <v>3</v>
      </c>
      <c r="K100" s="24">
        <v>0</v>
      </c>
      <c r="L100" s="26">
        <v>2</v>
      </c>
      <c r="M100" s="26">
        <v>2</v>
      </c>
      <c r="N100" s="26">
        <v>1</v>
      </c>
      <c r="O100" s="26">
        <v>2</v>
      </c>
      <c r="P100" s="26">
        <v>2</v>
      </c>
      <c r="Q100" s="26">
        <v>2</v>
      </c>
      <c r="R100" s="26">
        <v>1</v>
      </c>
      <c r="S100" s="26">
        <v>0</v>
      </c>
      <c r="T100" s="28">
        <v>3</v>
      </c>
      <c r="U100" s="28">
        <v>3</v>
      </c>
      <c r="V100" s="28">
        <v>2</v>
      </c>
      <c r="W100" s="28">
        <v>3</v>
      </c>
      <c r="X100" s="28">
        <v>3</v>
      </c>
      <c r="Y100" s="28">
        <v>3</v>
      </c>
      <c r="Z100" s="28">
        <v>3</v>
      </c>
      <c r="AA100" s="28">
        <v>0</v>
      </c>
      <c r="AB100" s="64">
        <f t="shared" si="9"/>
        <v>2.6666666666666665</v>
      </c>
      <c r="AC100" s="64">
        <f t="shared" si="10"/>
        <v>2.6666666666666665</v>
      </c>
      <c r="AD100" s="64">
        <f t="shared" si="11"/>
        <v>1.6666666666666667</v>
      </c>
      <c r="AE100" s="64">
        <f t="shared" si="12"/>
        <v>2.6666666666666665</v>
      </c>
      <c r="AF100" s="64">
        <f t="shared" si="13"/>
        <v>2.6666666666666665</v>
      </c>
      <c r="AG100" s="64">
        <f t="shared" si="14"/>
        <v>2.6666666666666665</v>
      </c>
      <c r="AH100" s="64">
        <f t="shared" si="15"/>
        <v>2.3333333333333335</v>
      </c>
      <c r="AI100" s="64">
        <f t="shared" si="16"/>
        <v>0</v>
      </c>
    </row>
    <row r="101" spans="1:35">
      <c r="A101" s="23" t="s">
        <v>3783</v>
      </c>
      <c r="B101" s="23">
        <v>10102</v>
      </c>
      <c r="C101" s="23" t="s">
        <v>3936</v>
      </c>
      <c r="D101" s="24">
        <v>2</v>
      </c>
      <c r="E101" s="24">
        <v>0</v>
      </c>
      <c r="F101" s="24">
        <v>0</v>
      </c>
      <c r="G101" s="24">
        <v>1</v>
      </c>
      <c r="H101" s="24">
        <v>0</v>
      </c>
      <c r="I101" s="24">
        <v>3</v>
      </c>
      <c r="J101" s="24">
        <v>0</v>
      </c>
      <c r="K101" s="24">
        <v>0</v>
      </c>
      <c r="L101" s="26">
        <v>1</v>
      </c>
      <c r="M101" s="26">
        <v>0</v>
      </c>
      <c r="N101" s="26">
        <v>0</v>
      </c>
      <c r="O101" s="26">
        <v>1</v>
      </c>
      <c r="P101" s="26">
        <v>0</v>
      </c>
      <c r="Q101" s="26">
        <v>1</v>
      </c>
      <c r="R101" s="26">
        <v>1</v>
      </c>
      <c r="S101" s="26">
        <v>0</v>
      </c>
      <c r="T101" s="28">
        <v>2</v>
      </c>
      <c r="U101" s="28">
        <v>0</v>
      </c>
      <c r="V101" s="28">
        <v>1</v>
      </c>
      <c r="W101" s="28">
        <v>2</v>
      </c>
      <c r="X101" s="28">
        <v>0</v>
      </c>
      <c r="Y101" s="28">
        <v>2</v>
      </c>
      <c r="Z101" s="28">
        <v>3</v>
      </c>
      <c r="AA101" s="28">
        <v>0</v>
      </c>
      <c r="AB101" s="64">
        <f t="shared" si="9"/>
        <v>1.6666666666666667</v>
      </c>
      <c r="AC101" s="64">
        <f t="shared" si="10"/>
        <v>0</v>
      </c>
      <c r="AD101" s="64">
        <f t="shared" si="11"/>
        <v>0.33333333333333331</v>
      </c>
      <c r="AE101" s="64">
        <f t="shared" si="12"/>
        <v>1.3333333333333333</v>
      </c>
      <c r="AF101" s="64">
        <f t="shared" si="13"/>
        <v>0</v>
      </c>
      <c r="AG101" s="64">
        <f t="shared" si="14"/>
        <v>2</v>
      </c>
      <c r="AH101" s="64">
        <f t="shared" si="15"/>
        <v>1.3333333333333333</v>
      </c>
      <c r="AI101" s="64">
        <f t="shared" si="16"/>
        <v>0</v>
      </c>
    </row>
    <row r="102" spans="1:35">
      <c r="A102" s="23" t="s">
        <v>3783</v>
      </c>
      <c r="B102" s="23">
        <v>10103</v>
      </c>
      <c r="C102" s="23" t="s">
        <v>3937</v>
      </c>
      <c r="D102" s="24">
        <v>0</v>
      </c>
      <c r="E102" s="24">
        <v>3</v>
      </c>
      <c r="F102" s="24">
        <v>0</v>
      </c>
      <c r="G102" s="24">
        <v>0</v>
      </c>
      <c r="H102" s="24">
        <v>3</v>
      </c>
      <c r="I102" s="24">
        <v>3</v>
      </c>
      <c r="J102" s="24">
        <v>3</v>
      </c>
      <c r="K102" s="24">
        <v>0</v>
      </c>
      <c r="L102" s="26">
        <v>0</v>
      </c>
      <c r="M102" s="26">
        <v>2</v>
      </c>
      <c r="N102" s="26">
        <v>0</v>
      </c>
      <c r="O102" s="26">
        <v>1</v>
      </c>
      <c r="P102" s="26">
        <v>3</v>
      </c>
      <c r="Q102" s="26">
        <v>2</v>
      </c>
      <c r="R102" s="26">
        <v>2</v>
      </c>
      <c r="S102" s="26">
        <v>0</v>
      </c>
      <c r="T102" s="28">
        <v>0</v>
      </c>
      <c r="U102" s="28">
        <v>3</v>
      </c>
      <c r="V102" s="28">
        <v>0</v>
      </c>
      <c r="W102" s="28">
        <v>2</v>
      </c>
      <c r="X102" s="28">
        <v>3</v>
      </c>
      <c r="Y102" s="28">
        <v>3</v>
      </c>
      <c r="Z102" s="28">
        <v>3</v>
      </c>
      <c r="AA102" s="28">
        <v>0</v>
      </c>
      <c r="AB102" s="64">
        <f t="shared" si="9"/>
        <v>0</v>
      </c>
      <c r="AC102" s="64">
        <f t="shared" si="10"/>
        <v>2.6666666666666665</v>
      </c>
      <c r="AD102" s="64">
        <f t="shared" si="11"/>
        <v>0</v>
      </c>
      <c r="AE102" s="64">
        <f t="shared" si="12"/>
        <v>1</v>
      </c>
      <c r="AF102" s="64">
        <f t="shared" si="13"/>
        <v>3</v>
      </c>
      <c r="AG102" s="64">
        <f t="shared" si="14"/>
        <v>2.6666666666666665</v>
      </c>
      <c r="AH102" s="64">
        <f t="shared" si="15"/>
        <v>2.6666666666666665</v>
      </c>
      <c r="AI102" s="64">
        <f t="shared" si="16"/>
        <v>0</v>
      </c>
    </row>
    <row r="103" spans="1:35">
      <c r="A103" s="23" t="s">
        <v>3840</v>
      </c>
      <c r="B103" s="23">
        <v>10104</v>
      </c>
      <c r="C103" s="23" t="s">
        <v>3938</v>
      </c>
      <c r="D103" s="24">
        <v>3</v>
      </c>
      <c r="E103" s="24">
        <v>0</v>
      </c>
      <c r="F103" s="24">
        <v>2</v>
      </c>
      <c r="G103" s="24">
        <v>0</v>
      </c>
      <c r="H103" s="24">
        <v>0</v>
      </c>
      <c r="I103" s="24">
        <v>3</v>
      </c>
      <c r="J103" s="24">
        <v>3</v>
      </c>
      <c r="K103" s="24">
        <v>0</v>
      </c>
      <c r="L103" s="26">
        <v>2</v>
      </c>
      <c r="M103" s="26">
        <v>0</v>
      </c>
      <c r="N103" s="26">
        <v>1</v>
      </c>
      <c r="O103" s="26">
        <v>1</v>
      </c>
      <c r="P103" s="26">
        <v>1</v>
      </c>
      <c r="Q103" s="26">
        <v>0</v>
      </c>
      <c r="R103" s="26">
        <v>1</v>
      </c>
      <c r="S103" s="26">
        <v>0</v>
      </c>
      <c r="T103" s="28">
        <v>3</v>
      </c>
      <c r="U103" s="28">
        <v>0</v>
      </c>
      <c r="V103" s="28">
        <v>2</v>
      </c>
      <c r="W103" s="28">
        <v>2</v>
      </c>
      <c r="X103" s="28">
        <v>1</v>
      </c>
      <c r="Y103" s="28">
        <v>2</v>
      </c>
      <c r="Z103" s="28">
        <v>3</v>
      </c>
      <c r="AA103" s="28">
        <v>0</v>
      </c>
      <c r="AB103" s="64">
        <f t="shared" si="9"/>
        <v>2.6666666666666665</v>
      </c>
      <c r="AC103" s="64">
        <f t="shared" si="10"/>
        <v>0</v>
      </c>
      <c r="AD103" s="64">
        <f t="shared" si="11"/>
        <v>1.6666666666666667</v>
      </c>
      <c r="AE103" s="64">
        <f t="shared" si="12"/>
        <v>1</v>
      </c>
      <c r="AF103" s="64">
        <f t="shared" si="13"/>
        <v>0.66666666666666663</v>
      </c>
      <c r="AG103" s="64">
        <f t="shared" si="14"/>
        <v>1.6666666666666667</v>
      </c>
      <c r="AH103" s="64">
        <f t="shared" si="15"/>
        <v>2.3333333333333335</v>
      </c>
      <c r="AI103" s="64">
        <f t="shared" si="16"/>
        <v>0</v>
      </c>
    </row>
    <row r="104" spans="1:35">
      <c r="A104" s="23" t="s">
        <v>3939</v>
      </c>
      <c r="B104" s="23">
        <v>10105</v>
      </c>
      <c r="C104" s="23" t="s">
        <v>3940</v>
      </c>
      <c r="D104" s="24">
        <v>3</v>
      </c>
      <c r="E104" s="24">
        <v>0</v>
      </c>
      <c r="F104" s="24">
        <v>1</v>
      </c>
      <c r="G104" s="24">
        <v>0</v>
      </c>
      <c r="H104" s="24">
        <v>0</v>
      </c>
      <c r="I104" s="24">
        <v>3</v>
      </c>
      <c r="J104" s="24">
        <v>3</v>
      </c>
      <c r="K104" s="24">
        <v>0</v>
      </c>
      <c r="L104" s="26">
        <v>2</v>
      </c>
      <c r="M104" s="26">
        <v>0</v>
      </c>
      <c r="N104" s="26">
        <v>0</v>
      </c>
      <c r="O104" s="26">
        <v>1</v>
      </c>
      <c r="P104" s="26">
        <v>1</v>
      </c>
      <c r="Q104" s="26">
        <v>2</v>
      </c>
      <c r="R104" s="26">
        <v>1</v>
      </c>
      <c r="S104" s="26">
        <v>0</v>
      </c>
      <c r="T104" s="28">
        <v>3</v>
      </c>
      <c r="U104" s="28">
        <v>0</v>
      </c>
      <c r="V104" s="28">
        <v>2</v>
      </c>
      <c r="W104" s="28">
        <v>2</v>
      </c>
      <c r="X104" s="28">
        <v>1</v>
      </c>
      <c r="Y104" s="28">
        <v>3</v>
      </c>
      <c r="Z104" s="28">
        <v>3</v>
      </c>
      <c r="AA104" s="28">
        <v>0</v>
      </c>
      <c r="AB104" s="64">
        <f t="shared" si="9"/>
        <v>2.6666666666666665</v>
      </c>
      <c r="AC104" s="64">
        <f t="shared" si="10"/>
        <v>0</v>
      </c>
      <c r="AD104" s="64">
        <f t="shared" si="11"/>
        <v>1</v>
      </c>
      <c r="AE104" s="64">
        <f t="shared" si="12"/>
        <v>1</v>
      </c>
      <c r="AF104" s="64">
        <f t="shared" si="13"/>
        <v>0.66666666666666663</v>
      </c>
      <c r="AG104" s="64">
        <f t="shared" si="14"/>
        <v>2.6666666666666665</v>
      </c>
      <c r="AH104" s="64">
        <f t="shared" si="15"/>
        <v>2.3333333333333335</v>
      </c>
      <c r="AI104" s="64">
        <f t="shared" si="16"/>
        <v>0</v>
      </c>
    </row>
    <row r="105" spans="1:35">
      <c r="A105" s="23" t="s">
        <v>3941</v>
      </c>
      <c r="B105" s="23">
        <v>10106</v>
      </c>
      <c r="C105" s="23" t="s">
        <v>3942</v>
      </c>
      <c r="D105" s="24">
        <v>3</v>
      </c>
      <c r="E105" s="24">
        <v>3</v>
      </c>
      <c r="F105" s="24">
        <v>1</v>
      </c>
      <c r="G105" s="24">
        <v>0</v>
      </c>
      <c r="H105" s="24">
        <v>3</v>
      </c>
      <c r="I105" s="24">
        <v>2</v>
      </c>
      <c r="J105" s="24">
        <v>0</v>
      </c>
      <c r="K105" s="24">
        <v>0</v>
      </c>
      <c r="L105" s="26">
        <v>2</v>
      </c>
      <c r="M105" s="26">
        <v>1</v>
      </c>
      <c r="N105" s="26">
        <v>0</v>
      </c>
      <c r="O105" s="26">
        <v>1</v>
      </c>
      <c r="P105" s="26">
        <v>1</v>
      </c>
      <c r="Q105" s="26">
        <v>2</v>
      </c>
      <c r="R105" s="26">
        <v>0</v>
      </c>
      <c r="S105" s="26">
        <v>0</v>
      </c>
      <c r="T105" s="28">
        <v>3</v>
      </c>
      <c r="U105" s="28">
        <v>1</v>
      </c>
      <c r="V105" s="28">
        <v>1</v>
      </c>
      <c r="W105" s="28">
        <v>2</v>
      </c>
      <c r="X105" s="28">
        <v>1</v>
      </c>
      <c r="Y105" s="28">
        <v>3</v>
      </c>
      <c r="Z105" s="28">
        <v>0</v>
      </c>
      <c r="AA105" s="28">
        <v>0</v>
      </c>
      <c r="AB105" s="64">
        <f t="shared" si="9"/>
        <v>2.6666666666666665</v>
      </c>
      <c r="AC105" s="64">
        <f t="shared" si="10"/>
        <v>1.6666666666666667</v>
      </c>
      <c r="AD105" s="64">
        <f t="shared" si="11"/>
        <v>0.66666666666666663</v>
      </c>
      <c r="AE105" s="64">
        <f t="shared" si="12"/>
        <v>1</v>
      </c>
      <c r="AF105" s="64">
        <f t="shared" si="13"/>
        <v>1.6666666666666667</v>
      </c>
      <c r="AG105" s="64">
        <f t="shared" si="14"/>
        <v>2.3333333333333335</v>
      </c>
      <c r="AH105" s="64">
        <f t="shared" si="15"/>
        <v>0</v>
      </c>
      <c r="AI105" s="64">
        <f t="shared" si="16"/>
        <v>0</v>
      </c>
    </row>
    <row r="106" spans="1:35">
      <c r="A106" s="23" t="s">
        <v>3943</v>
      </c>
      <c r="B106" s="23">
        <v>10107</v>
      </c>
      <c r="C106" s="23" t="s">
        <v>3944</v>
      </c>
      <c r="D106" s="24">
        <v>3</v>
      </c>
      <c r="E106" s="24">
        <v>0</v>
      </c>
      <c r="F106" s="24">
        <v>2</v>
      </c>
      <c r="G106" s="24">
        <v>3</v>
      </c>
      <c r="H106" s="24">
        <v>0</v>
      </c>
      <c r="I106" s="24">
        <v>0</v>
      </c>
      <c r="J106" s="24">
        <v>0</v>
      </c>
      <c r="K106" s="24">
        <v>0</v>
      </c>
      <c r="L106" s="26">
        <v>2</v>
      </c>
      <c r="M106" s="26">
        <v>0</v>
      </c>
      <c r="N106" s="26">
        <v>0</v>
      </c>
      <c r="O106" s="26">
        <v>2</v>
      </c>
      <c r="P106" s="26">
        <v>0</v>
      </c>
      <c r="Q106" s="26">
        <v>0</v>
      </c>
      <c r="R106" s="26">
        <v>1</v>
      </c>
      <c r="S106" s="26">
        <v>0</v>
      </c>
      <c r="T106" s="28">
        <v>3</v>
      </c>
      <c r="U106" s="28">
        <v>0</v>
      </c>
      <c r="V106" s="28">
        <v>2</v>
      </c>
      <c r="W106" s="28">
        <v>3</v>
      </c>
      <c r="X106" s="28">
        <v>1</v>
      </c>
      <c r="Y106" s="28">
        <v>2</v>
      </c>
      <c r="Z106" s="28">
        <v>3</v>
      </c>
      <c r="AA106" s="28">
        <v>0</v>
      </c>
      <c r="AB106" s="64">
        <f t="shared" si="9"/>
        <v>2.6666666666666665</v>
      </c>
      <c r="AC106" s="64">
        <f t="shared" si="10"/>
        <v>0</v>
      </c>
      <c r="AD106" s="64">
        <f t="shared" si="11"/>
        <v>1.3333333333333333</v>
      </c>
      <c r="AE106" s="64">
        <f t="shared" si="12"/>
        <v>2.6666666666666665</v>
      </c>
      <c r="AF106" s="64">
        <f t="shared" si="13"/>
        <v>0.33333333333333331</v>
      </c>
      <c r="AG106" s="64">
        <f t="shared" si="14"/>
        <v>0.66666666666666663</v>
      </c>
      <c r="AH106" s="64">
        <f t="shared" si="15"/>
        <v>1.3333333333333333</v>
      </c>
      <c r="AI106" s="64">
        <f t="shared" si="16"/>
        <v>0</v>
      </c>
    </row>
    <row r="107" spans="1:35">
      <c r="A107" s="23" t="s">
        <v>3945</v>
      </c>
      <c r="B107" s="23">
        <v>10108</v>
      </c>
      <c r="C107" s="23" t="s">
        <v>3946</v>
      </c>
      <c r="D107" s="24">
        <v>0</v>
      </c>
      <c r="E107" s="24">
        <v>3</v>
      </c>
      <c r="F107" s="24">
        <v>2</v>
      </c>
      <c r="G107" s="24">
        <v>3</v>
      </c>
      <c r="H107" s="24">
        <v>0</v>
      </c>
      <c r="I107" s="24">
        <v>0</v>
      </c>
      <c r="J107" s="24">
        <v>3</v>
      </c>
      <c r="K107" s="24">
        <v>0</v>
      </c>
      <c r="L107" s="26">
        <v>0</v>
      </c>
      <c r="M107" s="26">
        <v>2</v>
      </c>
      <c r="N107" s="26">
        <v>1</v>
      </c>
      <c r="O107" s="26">
        <v>1</v>
      </c>
      <c r="P107" s="26">
        <v>2</v>
      </c>
      <c r="Q107" s="26">
        <v>1</v>
      </c>
      <c r="R107" s="26">
        <v>3</v>
      </c>
      <c r="S107" s="26">
        <v>0</v>
      </c>
      <c r="T107" s="28">
        <v>0</v>
      </c>
      <c r="U107" s="28">
        <v>3</v>
      </c>
      <c r="V107" s="28">
        <v>2</v>
      </c>
      <c r="W107" s="28">
        <v>2</v>
      </c>
      <c r="X107" s="28">
        <v>0</v>
      </c>
      <c r="Y107" s="28">
        <v>3</v>
      </c>
      <c r="Z107" s="28">
        <v>3</v>
      </c>
      <c r="AA107" s="28">
        <v>0</v>
      </c>
      <c r="AB107" s="64">
        <f t="shared" si="9"/>
        <v>0</v>
      </c>
      <c r="AC107" s="64">
        <f t="shared" si="10"/>
        <v>2.6666666666666665</v>
      </c>
      <c r="AD107" s="64">
        <f t="shared" si="11"/>
        <v>1.6666666666666667</v>
      </c>
      <c r="AE107" s="64">
        <f t="shared" si="12"/>
        <v>2</v>
      </c>
      <c r="AF107" s="64">
        <f t="shared" si="13"/>
        <v>0.66666666666666663</v>
      </c>
      <c r="AG107" s="64">
        <f t="shared" si="14"/>
        <v>1.3333333333333333</v>
      </c>
      <c r="AH107" s="64">
        <f t="shared" si="15"/>
        <v>3</v>
      </c>
      <c r="AI107" s="64">
        <f t="shared" si="16"/>
        <v>0</v>
      </c>
    </row>
    <row r="108" spans="1:35">
      <c r="A108" s="23" t="s">
        <v>3947</v>
      </c>
      <c r="B108" s="23">
        <v>10109</v>
      </c>
      <c r="C108" s="23" t="s">
        <v>3948</v>
      </c>
      <c r="D108" s="24">
        <v>0</v>
      </c>
      <c r="E108" s="24">
        <v>0</v>
      </c>
      <c r="F108" s="24">
        <v>0</v>
      </c>
      <c r="G108" s="24">
        <v>0</v>
      </c>
      <c r="H108" s="24">
        <v>0</v>
      </c>
      <c r="I108" s="24">
        <v>0</v>
      </c>
      <c r="J108" s="24">
        <v>0</v>
      </c>
      <c r="K108" s="24">
        <v>0</v>
      </c>
      <c r="L108" s="26">
        <v>0</v>
      </c>
      <c r="M108" s="26">
        <v>0</v>
      </c>
      <c r="N108" s="26">
        <v>0</v>
      </c>
      <c r="O108" s="26">
        <v>0</v>
      </c>
      <c r="P108" s="26">
        <v>0</v>
      </c>
      <c r="Q108" s="26">
        <v>0</v>
      </c>
      <c r="R108" s="26">
        <v>0</v>
      </c>
      <c r="S108" s="26">
        <v>0</v>
      </c>
      <c r="T108" s="28">
        <v>0</v>
      </c>
      <c r="U108" s="28">
        <v>0</v>
      </c>
      <c r="V108" s="28">
        <v>1</v>
      </c>
      <c r="W108" s="28">
        <v>1</v>
      </c>
      <c r="X108" s="28">
        <v>0</v>
      </c>
      <c r="Y108" s="28">
        <v>1</v>
      </c>
      <c r="Z108" s="28">
        <v>0</v>
      </c>
      <c r="AA108" s="28"/>
      <c r="AB108" s="64">
        <f t="shared" si="9"/>
        <v>0</v>
      </c>
      <c r="AC108" s="64">
        <f t="shared" si="10"/>
        <v>0</v>
      </c>
      <c r="AD108" s="64">
        <f t="shared" si="11"/>
        <v>0.33333333333333331</v>
      </c>
      <c r="AE108" s="64">
        <f t="shared" si="12"/>
        <v>0.33333333333333331</v>
      </c>
      <c r="AF108" s="64">
        <f t="shared" si="13"/>
        <v>0</v>
      </c>
      <c r="AG108" s="64">
        <f t="shared" si="14"/>
        <v>0.33333333333333331</v>
      </c>
      <c r="AH108" s="64">
        <f t="shared" si="15"/>
        <v>0</v>
      </c>
      <c r="AI108" s="64">
        <f t="shared" si="16"/>
        <v>0</v>
      </c>
    </row>
    <row r="109" spans="1:35">
      <c r="A109" s="23" t="s">
        <v>3949</v>
      </c>
      <c r="B109" s="23">
        <v>10111</v>
      </c>
      <c r="C109" s="23" t="s">
        <v>3950</v>
      </c>
      <c r="D109" s="24">
        <v>3</v>
      </c>
      <c r="E109" s="24">
        <v>0</v>
      </c>
      <c r="F109" s="24">
        <v>2</v>
      </c>
      <c r="G109" s="24">
        <v>1</v>
      </c>
      <c r="H109" s="24">
        <v>0</v>
      </c>
      <c r="I109" s="24">
        <v>2</v>
      </c>
      <c r="J109" s="24">
        <v>3</v>
      </c>
      <c r="K109" s="24">
        <v>0</v>
      </c>
      <c r="L109" s="26">
        <v>2</v>
      </c>
      <c r="M109" s="26">
        <v>0</v>
      </c>
      <c r="N109" s="26">
        <v>2</v>
      </c>
      <c r="O109" s="26">
        <v>2</v>
      </c>
      <c r="P109" s="26">
        <v>1</v>
      </c>
      <c r="Q109" s="26">
        <v>2</v>
      </c>
      <c r="R109" s="26">
        <v>3</v>
      </c>
      <c r="S109" s="26">
        <v>0</v>
      </c>
      <c r="T109" s="28">
        <v>3</v>
      </c>
      <c r="U109" s="28">
        <v>0</v>
      </c>
      <c r="V109" s="28">
        <v>2</v>
      </c>
      <c r="W109" s="28">
        <v>3</v>
      </c>
      <c r="X109" s="28">
        <v>0</v>
      </c>
      <c r="Y109" s="28">
        <v>3</v>
      </c>
      <c r="Z109" s="28">
        <v>3</v>
      </c>
      <c r="AA109" s="28">
        <v>0</v>
      </c>
      <c r="AB109" s="64">
        <f t="shared" si="9"/>
        <v>2.6666666666666665</v>
      </c>
      <c r="AC109" s="64">
        <f t="shared" si="10"/>
        <v>0</v>
      </c>
      <c r="AD109" s="64">
        <f t="shared" si="11"/>
        <v>2</v>
      </c>
      <c r="AE109" s="64">
        <f t="shared" si="12"/>
        <v>2</v>
      </c>
      <c r="AF109" s="64">
        <f t="shared" si="13"/>
        <v>0.33333333333333331</v>
      </c>
      <c r="AG109" s="64">
        <f t="shared" si="14"/>
        <v>2.3333333333333335</v>
      </c>
      <c r="AH109" s="64">
        <f t="shared" si="15"/>
        <v>3</v>
      </c>
      <c r="AI109" s="64">
        <f t="shared" si="16"/>
        <v>0</v>
      </c>
    </row>
    <row r="110" spans="1:35">
      <c r="A110" s="23" t="s">
        <v>3951</v>
      </c>
      <c r="B110" s="23">
        <v>10112</v>
      </c>
      <c r="C110" s="23" t="s">
        <v>3952</v>
      </c>
      <c r="D110" s="24">
        <v>3</v>
      </c>
      <c r="E110" s="24">
        <v>3</v>
      </c>
      <c r="F110" s="24">
        <v>1</v>
      </c>
      <c r="G110" s="24">
        <v>3</v>
      </c>
      <c r="H110" s="24">
        <v>2</v>
      </c>
      <c r="I110" s="24">
        <v>3</v>
      </c>
      <c r="J110" s="24">
        <v>0</v>
      </c>
      <c r="K110" s="24">
        <v>0</v>
      </c>
      <c r="L110" s="26">
        <v>3</v>
      </c>
      <c r="M110" s="26">
        <v>2</v>
      </c>
      <c r="N110" s="26">
        <v>0</v>
      </c>
      <c r="O110" s="26">
        <v>2</v>
      </c>
      <c r="P110" s="26">
        <v>2</v>
      </c>
      <c r="Q110" s="26">
        <v>2</v>
      </c>
      <c r="R110" s="26">
        <v>0</v>
      </c>
      <c r="S110" s="26">
        <v>0</v>
      </c>
      <c r="T110" s="28">
        <v>3</v>
      </c>
      <c r="U110" s="28">
        <v>3</v>
      </c>
      <c r="V110" s="28">
        <v>2</v>
      </c>
      <c r="W110" s="28">
        <v>2</v>
      </c>
      <c r="X110" s="28">
        <v>3</v>
      </c>
      <c r="Y110" s="28">
        <v>3</v>
      </c>
      <c r="Z110" s="28">
        <v>3</v>
      </c>
      <c r="AA110" s="28">
        <v>0</v>
      </c>
      <c r="AB110" s="64">
        <f t="shared" si="9"/>
        <v>3</v>
      </c>
      <c r="AC110" s="64">
        <f t="shared" si="10"/>
        <v>2.6666666666666665</v>
      </c>
      <c r="AD110" s="64">
        <f t="shared" si="11"/>
        <v>1</v>
      </c>
      <c r="AE110" s="64">
        <f t="shared" si="12"/>
        <v>2.3333333333333335</v>
      </c>
      <c r="AF110" s="64">
        <f t="shared" si="13"/>
        <v>2.3333333333333335</v>
      </c>
      <c r="AG110" s="64">
        <f t="shared" si="14"/>
        <v>2.6666666666666665</v>
      </c>
      <c r="AH110" s="64">
        <f t="shared" si="15"/>
        <v>1</v>
      </c>
      <c r="AI110" s="64">
        <f t="shared" si="16"/>
        <v>0</v>
      </c>
    </row>
    <row r="111" spans="1:35">
      <c r="A111" s="23" t="s">
        <v>3953</v>
      </c>
      <c r="B111" s="23">
        <v>10113</v>
      </c>
      <c r="C111" s="23" t="s">
        <v>3954</v>
      </c>
      <c r="D111" s="24">
        <v>3</v>
      </c>
      <c r="E111" s="24">
        <v>3</v>
      </c>
      <c r="F111" s="24">
        <v>1</v>
      </c>
      <c r="G111" s="24">
        <v>1</v>
      </c>
      <c r="H111" s="24">
        <v>0</v>
      </c>
      <c r="I111" s="24">
        <v>3</v>
      </c>
      <c r="J111" s="24">
        <v>0</v>
      </c>
      <c r="K111" s="24">
        <v>3</v>
      </c>
      <c r="L111" s="26">
        <v>2</v>
      </c>
      <c r="M111" s="26">
        <v>2</v>
      </c>
      <c r="N111" s="26">
        <v>0</v>
      </c>
      <c r="O111" s="26">
        <v>2</v>
      </c>
      <c r="P111" s="26">
        <v>1</v>
      </c>
      <c r="Q111" s="26">
        <v>2</v>
      </c>
      <c r="R111" s="26">
        <v>0</v>
      </c>
      <c r="S111" s="26">
        <v>2</v>
      </c>
      <c r="T111" s="28">
        <v>3</v>
      </c>
      <c r="U111" s="28">
        <v>3</v>
      </c>
      <c r="V111" s="28">
        <v>2</v>
      </c>
      <c r="W111" s="28">
        <v>3</v>
      </c>
      <c r="X111" s="28">
        <v>3</v>
      </c>
      <c r="Y111" s="28">
        <v>3</v>
      </c>
      <c r="Z111" s="28">
        <v>3</v>
      </c>
      <c r="AA111" s="28">
        <v>3</v>
      </c>
      <c r="AB111" s="64">
        <f t="shared" si="9"/>
        <v>2.6666666666666665</v>
      </c>
      <c r="AC111" s="64">
        <f t="shared" si="10"/>
        <v>2.6666666666666665</v>
      </c>
      <c r="AD111" s="64">
        <f t="shared" si="11"/>
        <v>1</v>
      </c>
      <c r="AE111" s="64">
        <f t="shared" si="12"/>
        <v>2</v>
      </c>
      <c r="AF111" s="64">
        <f t="shared" si="13"/>
        <v>1.3333333333333333</v>
      </c>
      <c r="AG111" s="64">
        <f t="shared" si="14"/>
        <v>2.6666666666666665</v>
      </c>
      <c r="AH111" s="64">
        <f t="shared" si="15"/>
        <v>1</v>
      </c>
      <c r="AI111" s="64">
        <f t="shared" si="16"/>
        <v>2.6666666666666665</v>
      </c>
    </row>
    <row r="112" spans="1:35">
      <c r="A112" s="23" t="s">
        <v>3955</v>
      </c>
      <c r="B112" s="23">
        <v>10114</v>
      </c>
      <c r="C112" s="23" t="s">
        <v>3956</v>
      </c>
      <c r="D112" s="24">
        <v>0</v>
      </c>
      <c r="E112" s="24">
        <v>3</v>
      </c>
      <c r="F112" s="24">
        <v>0</v>
      </c>
      <c r="G112" s="24">
        <v>3</v>
      </c>
      <c r="H112" s="24">
        <v>0</v>
      </c>
      <c r="I112" s="24">
        <v>3</v>
      </c>
      <c r="J112" s="24">
        <v>0</v>
      </c>
      <c r="K112" s="24">
        <v>0</v>
      </c>
      <c r="L112" s="26">
        <v>2</v>
      </c>
      <c r="M112" s="26">
        <v>2</v>
      </c>
      <c r="N112" s="26">
        <v>0</v>
      </c>
      <c r="O112" s="26">
        <v>1</v>
      </c>
      <c r="P112" s="26">
        <v>2</v>
      </c>
      <c r="Q112" s="26">
        <v>2</v>
      </c>
      <c r="R112" s="26">
        <v>0</v>
      </c>
      <c r="S112" s="26">
        <v>0</v>
      </c>
      <c r="T112" s="28">
        <v>0</v>
      </c>
      <c r="U112" s="28">
        <v>3</v>
      </c>
      <c r="V112" s="28">
        <v>1</v>
      </c>
      <c r="W112" s="28">
        <v>3</v>
      </c>
      <c r="X112" s="28">
        <v>3</v>
      </c>
      <c r="Y112" s="28">
        <v>3</v>
      </c>
      <c r="Z112" s="28">
        <v>2</v>
      </c>
      <c r="AA112" s="28">
        <v>0</v>
      </c>
      <c r="AB112" s="64">
        <f t="shared" si="9"/>
        <v>0.66666666666666663</v>
      </c>
      <c r="AC112" s="64">
        <f t="shared" si="10"/>
        <v>2.6666666666666665</v>
      </c>
      <c r="AD112" s="64">
        <f t="shared" si="11"/>
        <v>0.33333333333333331</v>
      </c>
      <c r="AE112" s="64">
        <f t="shared" si="12"/>
        <v>2.3333333333333335</v>
      </c>
      <c r="AF112" s="64">
        <f t="shared" si="13"/>
        <v>1.6666666666666667</v>
      </c>
      <c r="AG112" s="64">
        <f t="shared" si="14"/>
        <v>2.6666666666666665</v>
      </c>
      <c r="AH112" s="64">
        <f t="shared" si="15"/>
        <v>0.66666666666666663</v>
      </c>
      <c r="AI112" s="64">
        <f t="shared" si="16"/>
        <v>0</v>
      </c>
    </row>
    <row r="113" spans="1:35">
      <c r="A113" s="23" t="s">
        <v>3957</v>
      </c>
      <c r="B113" s="23">
        <v>10115</v>
      </c>
      <c r="C113" s="23" t="s">
        <v>3958</v>
      </c>
      <c r="D113" s="24">
        <v>3</v>
      </c>
      <c r="E113" s="24">
        <v>3</v>
      </c>
      <c r="F113" s="24">
        <v>2</v>
      </c>
      <c r="G113" s="24">
        <v>0</v>
      </c>
      <c r="H113" s="24">
        <v>2</v>
      </c>
      <c r="I113" s="24">
        <v>2</v>
      </c>
      <c r="J113" s="24">
        <v>3</v>
      </c>
      <c r="K113" s="24">
        <v>0</v>
      </c>
      <c r="L113" s="26">
        <v>2</v>
      </c>
      <c r="M113" s="26">
        <v>2</v>
      </c>
      <c r="N113" s="26">
        <v>2</v>
      </c>
      <c r="O113" s="26">
        <v>1</v>
      </c>
      <c r="P113" s="26">
        <v>2</v>
      </c>
      <c r="Q113" s="26">
        <v>0</v>
      </c>
      <c r="R113" s="26">
        <v>3</v>
      </c>
      <c r="S113" s="26">
        <v>0</v>
      </c>
      <c r="T113" s="28">
        <v>3</v>
      </c>
      <c r="U113" s="28">
        <v>3</v>
      </c>
      <c r="V113" s="28">
        <v>2</v>
      </c>
      <c r="W113" s="28">
        <v>2</v>
      </c>
      <c r="X113" s="28">
        <v>3</v>
      </c>
      <c r="Y113" s="28">
        <v>2</v>
      </c>
      <c r="Z113" s="28">
        <v>3</v>
      </c>
      <c r="AA113" s="28">
        <v>0</v>
      </c>
      <c r="AB113" s="64">
        <f t="shared" si="9"/>
        <v>2.6666666666666665</v>
      </c>
      <c r="AC113" s="64">
        <f t="shared" si="10"/>
        <v>2.6666666666666665</v>
      </c>
      <c r="AD113" s="64">
        <f t="shared" si="11"/>
        <v>2</v>
      </c>
      <c r="AE113" s="64">
        <f t="shared" si="12"/>
        <v>1</v>
      </c>
      <c r="AF113" s="64">
        <f t="shared" si="13"/>
        <v>2.3333333333333335</v>
      </c>
      <c r="AG113" s="64">
        <f t="shared" si="14"/>
        <v>1.3333333333333333</v>
      </c>
      <c r="AH113" s="64">
        <f t="shared" si="15"/>
        <v>3</v>
      </c>
      <c r="AI113" s="64">
        <f t="shared" si="16"/>
        <v>0</v>
      </c>
    </row>
    <row r="114" spans="1:35">
      <c r="A114" s="23" t="s">
        <v>3959</v>
      </c>
      <c r="B114" s="23">
        <v>10116</v>
      </c>
      <c r="C114" s="23" t="s">
        <v>3960</v>
      </c>
      <c r="D114" s="24">
        <v>3</v>
      </c>
      <c r="E114" s="24">
        <v>0</v>
      </c>
      <c r="F114" s="24">
        <v>0</v>
      </c>
      <c r="G114" s="24">
        <v>0</v>
      </c>
      <c r="H114" s="24">
        <v>3</v>
      </c>
      <c r="I114" s="24">
        <v>3</v>
      </c>
      <c r="J114" s="24">
        <v>3</v>
      </c>
      <c r="K114" s="24">
        <v>0</v>
      </c>
      <c r="L114" s="26">
        <v>1</v>
      </c>
      <c r="M114" s="26">
        <v>0</v>
      </c>
      <c r="N114" s="26">
        <v>0</v>
      </c>
      <c r="O114" s="26">
        <v>0</v>
      </c>
      <c r="P114" s="26">
        <v>1</v>
      </c>
      <c r="Q114" s="26">
        <v>2</v>
      </c>
      <c r="R114" s="26">
        <v>2</v>
      </c>
      <c r="S114" s="26">
        <v>0</v>
      </c>
      <c r="T114" s="28">
        <v>3</v>
      </c>
      <c r="U114" s="28">
        <v>0</v>
      </c>
      <c r="V114" s="28">
        <v>1</v>
      </c>
      <c r="W114" s="28">
        <v>2</v>
      </c>
      <c r="X114" s="28">
        <v>0</v>
      </c>
      <c r="Y114" s="28">
        <v>3</v>
      </c>
      <c r="Z114" s="28">
        <v>3</v>
      </c>
      <c r="AA114" s="28">
        <v>0</v>
      </c>
      <c r="AB114" s="64">
        <f t="shared" si="9"/>
        <v>2.3333333333333335</v>
      </c>
      <c r="AC114" s="64">
        <f t="shared" si="10"/>
        <v>0</v>
      </c>
      <c r="AD114" s="64">
        <f t="shared" si="11"/>
        <v>0.33333333333333331</v>
      </c>
      <c r="AE114" s="64">
        <f t="shared" si="12"/>
        <v>0.66666666666666663</v>
      </c>
      <c r="AF114" s="64">
        <f t="shared" si="13"/>
        <v>1.3333333333333333</v>
      </c>
      <c r="AG114" s="64">
        <f t="shared" si="14"/>
        <v>2.6666666666666665</v>
      </c>
      <c r="AH114" s="64">
        <f t="shared" si="15"/>
        <v>2.6666666666666665</v>
      </c>
      <c r="AI114" s="64">
        <f t="shared" si="16"/>
        <v>0</v>
      </c>
    </row>
    <row r="115" spans="1:35">
      <c r="A115" s="23" t="s">
        <v>3961</v>
      </c>
      <c r="B115" s="23">
        <v>10117</v>
      </c>
      <c r="C115" s="23" t="s">
        <v>3962</v>
      </c>
      <c r="D115" s="24">
        <v>3</v>
      </c>
      <c r="E115" s="24">
        <v>0</v>
      </c>
      <c r="F115" s="24">
        <v>0</v>
      </c>
      <c r="G115" s="24">
        <v>3</v>
      </c>
      <c r="H115" s="24">
        <v>0</v>
      </c>
      <c r="I115" s="24">
        <v>0</v>
      </c>
      <c r="J115" s="24">
        <v>0</v>
      </c>
      <c r="K115" s="24">
        <v>0</v>
      </c>
      <c r="L115" s="26">
        <v>1</v>
      </c>
      <c r="M115" s="26">
        <v>0</v>
      </c>
      <c r="N115" s="26">
        <v>0</v>
      </c>
      <c r="O115" s="26">
        <v>2</v>
      </c>
      <c r="P115" s="26">
        <v>0</v>
      </c>
      <c r="Q115" s="26">
        <v>1</v>
      </c>
      <c r="R115" s="26">
        <v>1</v>
      </c>
      <c r="S115" s="26">
        <v>0</v>
      </c>
      <c r="T115" s="28">
        <v>3</v>
      </c>
      <c r="U115" s="28">
        <v>0</v>
      </c>
      <c r="V115" s="28">
        <v>1</v>
      </c>
      <c r="W115" s="28">
        <v>3</v>
      </c>
      <c r="X115" s="28">
        <v>0</v>
      </c>
      <c r="Y115" s="28">
        <v>3</v>
      </c>
      <c r="Z115" s="28">
        <v>0</v>
      </c>
      <c r="AA115" s="28">
        <v>0</v>
      </c>
      <c r="AB115" s="64">
        <f t="shared" si="9"/>
        <v>2.3333333333333335</v>
      </c>
      <c r="AC115" s="64">
        <f t="shared" si="10"/>
        <v>0</v>
      </c>
      <c r="AD115" s="64">
        <f t="shared" si="11"/>
        <v>0.33333333333333331</v>
      </c>
      <c r="AE115" s="64">
        <f t="shared" si="12"/>
        <v>2.6666666666666665</v>
      </c>
      <c r="AF115" s="64">
        <f t="shared" si="13"/>
        <v>0</v>
      </c>
      <c r="AG115" s="64">
        <f t="shared" si="14"/>
        <v>1.3333333333333333</v>
      </c>
      <c r="AH115" s="64">
        <f t="shared" si="15"/>
        <v>0.33333333333333331</v>
      </c>
      <c r="AI115" s="64">
        <f t="shared" si="16"/>
        <v>0</v>
      </c>
    </row>
    <row r="116" spans="1:35">
      <c r="A116" s="23" t="s">
        <v>3963</v>
      </c>
      <c r="B116" s="23">
        <v>10118</v>
      </c>
      <c r="C116" s="23" t="s">
        <v>3964</v>
      </c>
      <c r="D116" s="24">
        <v>0</v>
      </c>
      <c r="E116" s="24">
        <v>0</v>
      </c>
      <c r="F116" s="24">
        <v>0</v>
      </c>
      <c r="G116" s="24">
        <v>0</v>
      </c>
      <c r="H116" s="24">
        <v>0</v>
      </c>
      <c r="I116" s="24">
        <v>0</v>
      </c>
      <c r="J116" s="24">
        <v>0</v>
      </c>
      <c r="K116" s="24">
        <v>0</v>
      </c>
      <c r="L116" s="26">
        <v>0</v>
      </c>
      <c r="M116" s="26">
        <v>0</v>
      </c>
      <c r="N116" s="26">
        <v>0</v>
      </c>
      <c r="O116" s="26">
        <v>0</v>
      </c>
      <c r="P116" s="26">
        <v>0</v>
      </c>
      <c r="Q116" s="26">
        <v>0</v>
      </c>
      <c r="R116" s="26">
        <v>0</v>
      </c>
      <c r="S116" s="26">
        <v>0</v>
      </c>
      <c r="T116" s="28">
        <v>0</v>
      </c>
      <c r="U116" s="28">
        <v>0</v>
      </c>
      <c r="V116" s="28">
        <v>0</v>
      </c>
      <c r="W116" s="28">
        <v>1</v>
      </c>
      <c r="X116" s="28">
        <v>0</v>
      </c>
      <c r="Y116" s="28">
        <v>1</v>
      </c>
      <c r="Z116" s="28">
        <v>1</v>
      </c>
      <c r="AA116" s="28">
        <v>0</v>
      </c>
      <c r="AB116" s="64">
        <f t="shared" si="9"/>
        <v>0</v>
      </c>
      <c r="AC116" s="64">
        <f t="shared" si="10"/>
        <v>0</v>
      </c>
      <c r="AD116" s="64">
        <f t="shared" si="11"/>
        <v>0</v>
      </c>
      <c r="AE116" s="64">
        <f t="shared" si="12"/>
        <v>0.33333333333333331</v>
      </c>
      <c r="AF116" s="64">
        <f t="shared" si="13"/>
        <v>0</v>
      </c>
      <c r="AG116" s="64">
        <f t="shared" si="14"/>
        <v>0.33333333333333331</v>
      </c>
      <c r="AH116" s="64">
        <f t="shared" si="15"/>
        <v>0.33333333333333331</v>
      </c>
      <c r="AI116" s="64">
        <f t="shared" si="16"/>
        <v>0</v>
      </c>
    </row>
    <row r="117" spans="1:35">
      <c r="A117" s="23" t="s">
        <v>3965</v>
      </c>
      <c r="B117" s="23">
        <v>10119</v>
      </c>
      <c r="C117" s="23" t="s">
        <v>3966</v>
      </c>
      <c r="D117" s="24">
        <v>3</v>
      </c>
      <c r="E117" s="24">
        <v>3</v>
      </c>
      <c r="F117" s="24">
        <v>0</v>
      </c>
      <c r="G117" s="24">
        <v>3</v>
      </c>
      <c r="H117" s="24">
        <v>2</v>
      </c>
      <c r="I117" s="24">
        <v>3</v>
      </c>
      <c r="J117" s="24">
        <v>1</v>
      </c>
      <c r="K117" s="24">
        <v>3</v>
      </c>
      <c r="L117" s="26">
        <v>2</v>
      </c>
      <c r="M117" s="26">
        <v>2</v>
      </c>
      <c r="N117" s="26">
        <v>0</v>
      </c>
      <c r="O117" s="26">
        <v>2</v>
      </c>
      <c r="P117" s="26">
        <v>0</v>
      </c>
      <c r="Q117" s="26">
        <v>1</v>
      </c>
      <c r="R117" s="26">
        <v>1</v>
      </c>
      <c r="S117" s="26">
        <v>2</v>
      </c>
      <c r="T117" s="28">
        <v>1</v>
      </c>
      <c r="U117" s="28">
        <v>3</v>
      </c>
      <c r="V117" s="28">
        <v>0</v>
      </c>
      <c r="W117" s="28">
        <v>3</v>
      </c>
      <c r="X117" s="28">
        <v>0</v>
      </c>
      <c r="Y117" s="28">
        <v>3</v>
      </c>
      <c r="Z117" s="28">
        <v>3</v>
      </c>
      <c r="AA117" s="28">
        <v>3</v>
      </c>
      <c r="AB117" s="64">
        <f t="shared" si="9"/>
        <v>2</v>
      </c>
      <c r="AC117" s="64">
        <f t="shared" si="10"/>
        <v>2.6666666666666665</v>
      </c>
      <c r="AD117" s="64">
        <f t="shared" si="11"/>
        <v>0</v>
      </c>
      <c r="AE117" s="64">
        <f t="shared" si="12"/>
        <v>2.6666666666666665</v>
      </c>
      <c r="AF117" s="64">
        <f t="shared" si="13"/>
        <v>0.66666666666666663</v>
      </c>
      <c r="AG117" s="64">
        <f t="shared" si="14"/>
        <v>2.3333333333333335</v>
      </c>
      <c r="AH117" s="64">
        <f t="shared" si="15"/>
        <v>1.6666666666666667</v>
      </c>
      <c r="AI117" s="64">
        <f t="shared" si="16"/>
        <v>2.6666666666666665</v>
      </c>
    </row>
    <row r="118" spans="1:35">
      <c r="A118" s="23" t="s">
        <v>3967</v>
      </c>
      <c r="B118" s="23">
        <v>10120</v>
      </c>
      <c r="C118" s="23" t="s">
        <v>3968</v>
      </c>
      <c r="D118" s="24">
        <v>0</v>
      </c>
      <c r="E118" s="24">
        <v>3</v>
      </c>
      <c r="F118" s="24">
        <v>2</v>
      </c>
      <c r="G118" s="24">
        <v>2</v>
      </c>
      <c r="H118" s="24">
        <v>0</v>
      </c>
      <c r="I118" s="24">
        <v>3</v>
      </c>
      <c r="J118" s="24">
        <v>3</v>
      </c>
      <c r="K118" s="24">
        <v>0</v>
      </c>
      <c r="L118" s="26">
        <v>0</v>
      </c>
      <c r="M118" s="26">
        <v>1</v>
      </c>
      <c r="N118" s="26">
        <v>0</v>
      </c>
      <c r="O118" s="26">
        <v>1</v>
      </c>
      <c r="P118" s="26">
        <v>2</v>
      </c>
      <c r="Q118" s="26">
        <v>1</v>
      </c>
      <c r="R118" s="26">
        <v>1</v>
      </c>
      <c r="S118" s="26">
        <v>0</v>
      </c>
      <c r="T118" s="28">
        <v>0</v>
      </c>
      <c r="U118" s="28">
        <v>3</v>
      </c>
      <c r="V118" s="28">
        <v>2</v>
      </c>
      <c r="W118" s="28">
        <v>1</v>
      </c>
      <c r="X118" s="28">
        <v>3</v>
      </c>
      <c r="Y118" s="28">
        <v>3</v>
      </c>
      <c r="Z118" s="28">
        <v>2</v>
      </c>
      <c r="AA118" s="28">
        <v>0</v>
      </c>
      <c r="AB118" s="64">
        <f t="shared" si="9"/>
        <v>0</v>
      </c>
      <c r="AC118" s="64">
        <f t="shared" si="10"/>
        <v>2.3333333333333335</v>
      </c>
      <c r="AD118" s="64">
        <f t="shared" si="11"/>
        <v>1.3333333333333333</v>
      </c>
      <c r="AE118" s="64">
        <f t="shared" si="12"/>
        <v>1.3333333333333333</v>
      </c>
      <c r="AF118" s="64">
        <f t="shared" si="13"/>
        <v>1.6666666666666667</v>
      </c>
      <c r="AG118" s="64">
        <f t="shared" si="14"/>
        <v>2.3333333333333335</v>
      </c>
      <c r="AH118" s="64">
        <f t="shared" si="15"/>
        <v>2</v>
      </c>
      <c r="AI118" s="64">
        <f t="shared" si="16"/>
        <v>0</v>
      </c>
    </row>
    <row r="119" spans="1:35">
      <c r="A119" s="23" t="s">
        <v>3945</v>
      </c>
      <c r="B119" s="23">
        <v>10121</v>
      </c>
      <c r="C119" s="23" t="s">
        <v>3969</v>
      </c>
      <c r="D119" s="24">
        <v>1</v>
      </c>
      <c r="E119" s="24">
        <v>3</v>
      </c>
      <c r="F119" s="24">
        <v>0</v>
      </c>
      <c r="G119" s="24">
        <v>1</v>
      </c>
      <c r="H119" s="24">
        <v>0</v>
      </c>
      <c r="I119" s="24">
        <v>3</v>
      </c>
      <c r="J119" s="24">
        <v>1</v>
      </c>
      <c r="K119" s="24">
        <v>0</v>
      </c>
      <c r="L119" s="26">
        <v>1</v>
      </c>
      <c r="M119" s="26">
        <v>2</v>
      </c>
      <c r="N119" s="26">
        <v>0</v>
      </c>
      <c r="O119" s="26">
        <v>1</v>
      </c>
      <c r="P119" s="26">
        <v>0</v>
      </c>
      <c r="Q119" s="26">
        <v>1</v>
      </c>
      <c r="R119" s="26">
        <v>1</v>
      </c>
      <c r="S119" s="26">
        <v>0</v>
      </c>
      <c r="T119" s="28">
        <v>1</v>
      </c>
      <c r="U119" s="28">
        <v>3</v>
      </c>
      <c r="V119" s="28">
        <v>1</v>
      </c>
      <c r="W119" s="28">
        <v>1</v>
      </c>
      <c r="X119" s="28">
        <v>1</v>
      </c>
      <c r="Y119" s="28">
        <v>3</v>
      </c>
      <c r="Z119" s="28">
        <v>3</v>
      </c>
      <c r="AA119" s="28">
        <v>0</v>
      </c>
      <c r="AB119" s="64">
        <f t="shared" si="9"/>
        <v>1</v>
      </c>
      <c r="AC119" s="64">
        <f t="shared" si="10"/>
        <v>2.6666666666666665</v>
      </c>
      <c r="AD119" s="64">
        <f t="shared" si="11"/>
        <v>0.33333333333333331</v>
      </c>
      <c r="AE119" s="64">
        <f t="shared" si="12"/>
        <v>1</v>
      </c>
      <c r="AF119" s="64">
        <f t="shared" si="13"/>
        <v>0.33333333333333331</v>
      </c>
      <c r="AG119" s="64">
        <f t="shared" si="14"/>
        <v>2.3333333333333335</v>
      </c>
      <c r="AH119" s="64">
        <f t="shared" si="15"/>
        <v>1.6666666666666667</v>
      </c>
      <c r="AI119" s="64">
        <f t="shared" si="16"/>
        <v>0</v>
      </c>
    </row>
    <row r="120" spans="1:35">
      <c r="A120" s="23" t="s">
        <v>3970</v>
      </c>
      <c r="B120" s="23">
        <v>10122</v>
      </c>
      <c r="C120" s="23" t="s">
        <v>3971</v>
      </c>
      <c r="D120" s="24">
        <v>3</v>
      </c>
      <c r="E120" s="24">
        <v>0</v>
      </c>
      <c r="F120" s="24">
        <v>1</v>
      </c>
      <c r="G120" s="24">
        <v>3</v>
      </c>
      <c r="H120" s="24">
        <v>1</v>
      </c>
      <c r="I120" s="24">
        <v>0</v>
      </c>
      <c r="J120" s="24">
        <v>3</v>
      </c>
      <c r="K120" s="24">
        <v>0</v>
      </c>
      <c r="L120" s="26">
        <v>2</v>
      </c>
      <c r="M120" s="26">
        <v>0</v>
      </c>
      <c r="N120" s="26">
        <v>1</v>
      </c>
      <c r="O120" s="26">
        <v>2</v>
      </c>
      <c r="P120" s="26">
        <v>0</v>
      </c>
      <c r="Q120" s="26">
        <v>1</v>
      </c>
      <c r="R120" s="26">
        <v>2</v>
      </c>
      <c r="S120" s="26">
        <v>0</v>
      </c>
      <c r="T120" s="28">
        <v>3</v>
      </c>
      <c r="U120" s="28">
        <v>0</v>
      </c>
      <c r="V120" s="28">
        <v>2</v>
      </c>
      <c r="W120" s="28">
        <v>3</v>
      </c>
      <c r="X120" s="28">
        <v>0</v>
      </c>
      <c r="Y120" s="28">
        <v>3</v>
      </c>
      <c r="Z120" s="28">
        <v>3</v>
      </c>
      <c r="AA120" s="28">
        <v>0</v>
      </c>
      <c r="AB120" s="64">
        <f t="shared" si="9"/>
        <v>2.6666666666666665</v>
      </c>
      <c r="AC120" s="64">
        <f t="shared" si="10"/>
        <v>0</v>
      </c>
      <c r="AD120" s="64">
        <f t="shared" si="11"/>
        <v>1.3333333333333333</v>
      </c>
      <c r="AE120" s="64">
        <f t="shared" si="12"/>
        <v>2.6666666666666665</v>
      </c>
      <c r="AF120" s="64">
        <f t="shared" si="13"/>
        <v>0.33333333333333331</v>
      </c>
      <c r="AG120" s="64">
        <f t="shared" si="14"/>
        <v>1.3333333333333333</v>
      </c>
      <c r="AH120" s="64">
        <f t="shared" si="15"/>
        <v>2.6666666666666665</v>
      </c>
      <c r="AI120" s="64">
        <f t="shared" si="16"/>
        <v>0</v>
      </c>
    </row>
    <row r="121" spans="1:35">
      <c r="A121" s="23" t="s">
        <v>3972</v>
      </c>
      <c r="B121" s="23">
        <v>10123</v>
      </c>
      <c r="C121" s="23" t="s">
        <v>3973</v>
      </c>
      <c r="D121" s="24">
        <v>0</v>
      </c>
      <c r="E121" s="24">
        <v>0</v>
      </c>
      <c r="F121" s="24">
        <v>0</v>
      </c>
      <c r="G121" s="24">
        <v>3</v>
      </c>
      <c r="H121" s="24">
        <v>0</v>
      </c>
      <c r="I121" s="24">
        <v>3</v>
      </c>
      <c r="J121" s="24">
        <v>0</v>
      </c>
      <c r="K121" s="24">
        <v>0</v>
      </c>
      <c r="L121" s="26">
        <v>0</v>
      </c>
      <c r="M121" s="26">
        <v>0</v>
      </c>
      <c r="N121" s="26">
        <v>0</v>
      </c>
      <c r="O121" s="26">
        <v>2</v>
      </c>
      <c r="P121" s="26">
        <v>0</v>
      </c>
      <c r="Q121" s="26">
        <v>1</v>
      </c>
      <c r="R121" s="26">
        <v>2</v>
      </c>
      <c r="S121" s="26">
        <v>0</v>
      </c>
      <c r="T121" s="28">
        <v>0</v>
      </c>
      <c r="U121" s="28">
        <v>0</v>
      </c>
      <c r="V121" s="28">
        <v>2</v>
      </c>
      <c r="W121" s="28">
        <v>3</v>
      </c>
      <c r="X121" s="28">
        <v>1</v>
      </c>
      <c r="Y121" s="28">
        <v>3</v>
      </c>
      <c r="Z121" s="28">
        <v>3</v>
      </c>
      <c r="AA121" s="28">
        <v>0</v>
      </c>
      <c r="AB121" s="64">
        <f t="shared" si="9"/>
        <v>0</v>
      </c>
      <c r="AC121" s="64">
        <f t="shared" si="10"/>
        <v>0</v>
      </c>
      <c r="AD121" s="64">
        <f t="shared" si="11"/>
        <v>0.66666666666666663</v>
      </c>
      <c r="AE121" s="64">
        <f t="shared" si="12"/>
        <v>2.6666666666666665</v>
      </c>
      <c r="AF121" s="64">
        <f t="shared" si="13"/>
        <v>0.33333333333333331</v>
      </c>
      <c r="AG121" s="64">
        <f t="shared" si="14"/>
        <v>2.3333333333333335</v>
      </c>
      <c r="AH121" s="64">
        <f t="shared" si="15"/>
        <v>1.6666666666666667</v>
      </c>
      <c r="AI121" s="64">
        <f t="shared" si="16"/>
        <v>0</v>
      </c>
    </row>
    <row r="122" spans="1:35">
      <c r="A122" s="23" t="s">
        <v>3974</v>
      </c>
      <c r="B122" s="23">
        <v>10124</v>
      </c>
      <c r="C122" s="23" t="s">
        <v>3975</v>
      </c>
      <c r="D122" s="24">
        <v>3</v>
      </c>
      <c r="E122" s="24">
        <v>3</v>
      </c>
      <c r="F122" s="24">
        <v>2</v>
      </c>
      <c r="G122" s="24">
        <v>1</v>
      </c>
      <c r="H122" s="24">
        <v>0</v>
      </c>
      <c r="I122" s="24">
        <v>3</v>
      </c>
      <c r="J122" s="24">
        <v>1</v>
      </c>
      <c r="K122" s="24">
        <v>0</v>
      </c>
      <c r="L122" s="26">
        <v>2</v>
      </c>
      <c r="M122" s="26">
        <v>1</v>
      </c>
      <c r="N122" s="26">
        <v>0</v>
      </c>
      <c r="O122" s="26">
        <v>1</v>
      </c>
      <c r="P122" s="26">
        <v>2</v>
      </c>
      <c r="Q122" s="26">
        <v>1</v>
      </c>
      <c r="R122" s="26">
        <v>1</v>
      </c>
      <c r="S122" s="26">
        <v>0</v>
      </c>
      <c r="T122" s="28">
        <v>3</v>
      </c>
      <c r="U122" s="28">
        <v>3</v>
      </c>
      <c r="V122" s="28">
        <v>2</v>
      </c>
      <c r="W122" s="28">
        <v>3</v>
      </c>
      <c r="X122" s="28">
        <v>2</v>
      </c>
      <c r="Y122" s="28">
        <v>3</v>
      </c>
      <c r="Z122" s="28">
        <v>3</v>
      </c>
      <c r="AA122" s="28">
        <v>0</v>
      </c>
      <c r="AB122" s="64">
        <f t="shared" si="9"/>
        <v>2.6666666666666665</v>
      </c>
      <c r="AC122" s="64">
        <f t="shared" si="10"/>
        <v>2.3333333333333335</v>
      </c>
      <c r="AD122" s="64">
        <f t="shared" si="11"/>
        <v>1.3333333333333333</v>
      </c>
      <c r="AE122" s="64">
        <f t="shared" si="12"/>
        <v>1.6666666666666667</v>
      </c>
      <c r="AF122" s="64">
        <f t="shared" si="13"/>
        <v>1.3333333333333333</v>
      </c>
      <c r="AG122" s="64">
        <f t="shared" si="14"/>
        <v>2.3333333333333335</v>
      </c>
      <c r="AH122" s="64">
        <f t="shared" si="15"/>
        <v>1.6666666666666667</v>
      </c>
      <c r="AI122" s="64">
        <f t="shared" si="16"/>
        <v>0</v>
      </c>
    </row>
    <row r="123" spans="1:35">
      <c r="A123" s="23" t="s">
        <v>3928</v>
      </c>
      <c r="B123" s="23">
        <v>10125</v>
      </c>
      <c r="C123" s="23" t="s">
        <v>3976</v>
      </c>
      <c r="D123" s="24">
        <v>3</v>
      </c>
      <c r="E123" s="24">
        <v>0</v>
      </c>
      <c r="F123" s="24">
        <v>0</v>
      </c>
      <c r="G123" s="24">
        <v>3</v>
      </c>
      <c r="H123" s="24">
        <v>2</v>
      </c>
      <c r="I123" s="24">
        <v>3</v>
      </c>
      <c r="J123" s="24">
        <v>3</v>
      </c>
      <c r="K123" s="24">
        <v>0</v>
      </c>
      <c r="L123" s="26">
        <v>1</v>
      </c>
      <c r="M123" s="26">
        <v>0</v>
      </c>
      <c r="N123" s="26">
        <v>0</v>
      </c>
      <c r="O123" s="26">
        <v>1</v>
      </c>
      <c r="P123" s="26">
        <v>2</v>
      </c>
      <c r="Q123" s="26">
        <v>1</v>
      </c>
      <c r="R123" s="26">
        <v>1</v>
      </c>
      <c r="S123" s="26">
        <v>0</v>
      </c>
      <c r="T123" s="28">
        <v>2</v>
      </c>
      <c r="U123" s="28">
        <v>3</v>
      </c>
      <c r="V123" s="28">
        <v>0</v>
      </c>
      <c r="W123" s="28">
        <v>3</v>
      </c>
      <c r="X123" s="28"/>
      <c r="Y123" s="28">
        <v>2</v>
      </c>
      <c r="Z123" s="28">
        <v>3</v>
      </c>
      <c r="AA123" s="28">
        <v>0</v>
      </c>
      <c r="AB123" s="64">
        <f t="shared" si="9"/>
        <v>2</v>
      </c>
      <c r="AC123" s="64">
        <f t="shared" si="10"/>
        <v>1</v>
      </c>
      <c r="AD123" s="64">
        <f t="shared" si="11"/>
        <v>0</v>
      </c>
      <c r="AE123" s="64">
        <f t="shared" si="12"/>
        <v>2.3333333333333335</v>
      </c>
      <c r="AF123" s="64">
        <f t="shared" si="13"/>
        <v>2</v>
      </c>
      <c r="AG123" s="64">
        <f t="shared" si="14"/>
        <v>2</v>
      </c>
      <c r="AH123" s="64">
        <f t="shared" si="15"/>
        <v>2.3333333333333335</v>
      </c>
      <c r="AI123" s="64">
        <f t="shared" si="16"/>
        <v>0</v>
      </c>
    </row>
    <row r="124" spans="1:35">
      <c r="A124" s="23" t="s">
        <v>3977</v>
      </c>
      <c r="B124" s="23">
        <v>10126</v>
      </c>
      <c r="C124" s="23" t="s">
        <v>3978</v>
      </c>
      <c r="D124" s="24">
        <v>2</v>
      </c>
      <c r="E124" s="24">
        <v>0</v>
      </c>
      <c r="F124" s="24">
        <v>1</v>
      </c>
      <c r="G124" s="24">
        <v>3</v>
      </c>
      <c r="H124" s="24">
        <v>2</v>
      </c>
      <c r="I124" s="24">
        <v>0</v>
      </c>
      <c r="J124" s="24">
        <v>0</v>
      </c>
      <c r="K124" s="24">
        <v>0</v>
      </c>
      <c r="L124" s="26">
        <v>1</v>
      </c>
      <c r="M124" s="26">
        <v>0</v>
      </c>
      <c r="N124" s="26">
        <v>0</v>
      </c>
      <c r="O124" s="26">
        <v>2</v>
      </c>
      <c r="P124" s="26">
        <v>0</v>
      </c>
      <c r="Q124" s="26">
        <v>0</v>
      </c>
      <c r="R124" s="26">
        <v>1</v>
      </c>
      <c r="S124" s="26">
        <v>0</v>
      </c>
      <c r="T124" s="28">
        <v>1</v>
      </c>
      <c r="U124" s="28">
        <v>0</v>
      </c>
      <c r="V124" s="28">
        <v>2</v>
      </c>
      <c r="W124" s="28">
        <v>3</v>
      </c>
      <c r="X124" s="28">
        <v>0</v>
      </c>
      <c r="Y124" s="28">
        <v>0</v>
      </c>
      <c r="Z124" s="28">
        <v>3</v>
      </c>
      <c r="AA124" s="28">
        <v>0</v>
      </c>
      <c r="AB124" s="64">
        <f t="shared" si="9"/>
        <v>1.3333333333333333</v>
      </c>
      <c r="AC124" s="64">
        <f t="shared" si="10"/>
        <v>0</v>
      </c>
      <c r="AD124" s="64">
        <f t="shared" si="11"/>
        <v>1</v>
      </c>
      <c r="AE124" s="64">
        <f t="shared" si="12"/>
        <v>2.6666666666666665</v>
      </c>
      <c r="AF124" s="64">
        <f t="shared" si="13"/>
        <v>0.66666666666666663</v>
      </c>
      <c r="AG124" s="64">
        <f t="shared" si="14"/>
        <v>0</v>
      </c>
      <c r="AH124" s="64">
        <f t="shared" si="15"/>
        <v>1.3333333333333333</v>
      </c>
      <c r="AI124" s="64">
        <f t="shared" si="16"/>
        <v>0</v>
      </c>
    </row>
    <row r="125" spans="1:35">
      <c r="A125" s="23" t="s">
        <v>3979</v>
      </c>
      <c r="B125" s="23">
        <v>10127</v>
      </c>
      <c r="C125" s="23" t="s">
        <v>3980</v>
      </c>
      <c r="D125" s="24">
        <v>3</v>
      </c>
      <c r="E125" s="24">
        <v>3</v>
      </c>
      <c r="F125" s="24">
        <v>1</v>
      </c>
      <c r="G125" s="24">
        <v>3</v>
      </c>
      <c r="H125" s="24">
        <v>3</v>
      </c>
      <c r="I125" s="24">
        <v>3</v>
      </c>
      <c r="J125" s="24">
        <v>1</v>
      </c>
      <c r="K125" s="24">
        <v>0</v>
      </c>
      <c r="L125" s="26">
        <v>2</v>
      </c>
      <c r="M125" s="26">
        <v>2</v>
      </c>
      <c r="N125" s="26">
        <v>0</v>
      </c>
      <c r="O125" s="26">
        <v>1</v>
      </c>
      <c r="P125" s="26">
        <v>0</v>
      </c>
      <c r="Q125" s="26">
        <v>2</v>
      </c>
      <c r="R125" s="26">
        <v>1</v>
      </c>
      <c r="S125" s="26">
        <v>0</v>
      </c>
      <c r="T125" s="28">
        <v>3</v>
      </c>
      <c r="U125" s="28">
        <v>3</v>
      </c>
      <c r="V125" s="28">
        <v>2</v>
      </c>
      <c r="W125" s="28">
        <v>2</v>
      </c>
      <c r="X125" s="28">
        <v>0</v>
      </c>
      <c r="Y125" s="28">
        <v>3</v>
      </c>
      <c r="Z125" s="28">
        <v>3</v>
      </c>
      <c r="AA125" s="28">
        <v>0</v>
      </c>
      <c r="AB125" s="64">
        <f t="shared" si="9"/>
        <v>2.6666666666666665</v>
      </c>
      <c r="AC125" s="64">
        <f t="shared" si="10"/>
        <v>2.6666666666666665</v>
      </c>
      <c r="AD125" s="64">
        <f t="shared" si="11"/>
        <v>1</v>
      </c>
      <c r="AE125" s="64">
        <f t="shared" si="12"/>
        <v>2</v>
      </c>
      <c r="AF125" s="64">
        <f t="shared" si="13"/>
        <v>1</v>
      </c>
      <c r="AG125" s="64">
        <f t="shared" si="14"/>
        <v>2.6666666666666665</v>
      </c>
      <c r="AH125" s="64">
        <f t="shared" si="15"/>
        <v>1.6666666666666667</v>
      </c>
      <c r="AI125" s="64">
        <f t="shared" si="16"/>
        <v>0</v>
      </c>
    </row>
    <row r="126" spans="1:35">
      <c r="A126" s="23" t="s">
        <v>3981</v>
      </c>
      <c r="B126" s="23">
        <v>10128</v>
      </c>
      <c r="C126" s="23" t="s">
        <v>3982</v>
      </c>
      <c r="D126" s="24">
        <v>2</v>
      </c>
      <c r="E126" s="24">
        <v>3</v>
      </c>
      <c r="F126" s="24">
        <v>0</v>
      </c>
      <c r="G126" s="24">
        <v>3</v>
      </c>
      <c r="H126" s="24">
        <v>0</v>
      </c>
      <c r="I126" s="24">
        <v>3</v>
      </c>
      <c r="J126" s="24">
        <v>0</v>
      </c>
      <c r="K126" s="24">
        <v>0</v>
      </c>
      <c r="L126" s="26">
        <v>1</v>
      </c>
      <c r="M126" s="26">
        <v>2</v>
      </c>
      <c r="N126" s="26">
        <v>1</v>
      </c>
      <c r="O126" s="26">
        <v>1</v>
      </c>
      <c r="P126" s="26">
        <v>3</v>
      </c>
      <c r="Q126" s="26">
        <v>2</v>
      </c>
      <c r="R126" s="26">
        <v>2</v>
      </c>
      <c r="S126" s="26">
        <v>0</v>
      </c>
      <c r="T126" s="28">
        <v>3</v>
      </c>
      <c r="U126" s="28">
        <v>3</v>
      </c>
      <c r="V126" s="28">
        <v>2</v>
      </c>
      <c r="W126" s="28">
        <v>3</v>
      </c>
      <c r="X126" s="28">
        <v>0</v>
      </c>
      <c r="Y126" s="28">
        <v>3</v>
      </c>
      <c r="Z126" s="28">
        <v>3</v>
      </c>
      <c r="AA126" s="28">
        <v>0</v>
      </c>
      <c r="AB126" s="64">
        <f t="shared" si="9"/>
        <v>2</v>
      </c>
      <c r="AC126" s="64">
        <f t="shared" si="10"/>
        <v>2.6666666666666665</v>
      </c>
      <c r="AD126" s="64">
        <f t="shared" si="11"/>
        <v>1</v>
      </c>
      <c r="AE126" s="64">
        <f t="shared" si="12"/>
        <v>2.3333333333333335</v>
      </c>
      <c r="AF126" s="64">
        <f t="shared" si="13"/>
        <v>1</v>
      </c>
      <c r="AG126" s="64">
        <f t="shared" si="14"/>
        <v>2.6666666666666665</v>
      </c>
      <c r="AH126" s="64">
        <f t="shared" si="15"/>
        <v>1.6666666666666667</v>
      </c>
      <c r="AI126" s="64">
        <f t="shared" si="16"/>
        <v>0</v>
      </c>
    </row>
    <row r="127" spans="1:35">
      <c r="A127" s="23" t="s">
        <v>3983</v>
      </c>
      <c r="B127" s="23">
        <v>10129</v>
      </c>
      <c r="C127" s="23" t="s">
        <v>3984</v>
      </c>
      <c r="D127" s="24">
        <v>3</v>
      </c>
      <c r="E127" s="24">
        <v>3</v>
      </c>
      <c r="F127" s="24">
        <v>1</v>
      </c>
      <c r="G127" s="24">
        <v>3</v>
      </c>
      <c r="H127" s="24">
        <v>3</v>
      </c>
      <c r="I127" s="24">
        <v>1</v>
      </c>
      <c r="J127" s="24">
        <v>0</v>
      </c>
      <c r="K127" s="24">
        <v>0</v>
      </c>
      <c r="L127" s="26">
        <v>2</v>
      </c>
      <c r="M127" s="26">
        <v>2</v>
      </c>
      <c r="N127" s="26">
        <v>0</v>
      </c>
      <c r="O127" s="26">
        <v>2</v>
      </c>
      <c r="P127" s="26">
        <v>2</v>
      </c>
      <c r="Q127" s="26">
        <v>2</v>
      </c>
      <c r="R127" s="26">
        <v>0</v>
      </c>
      <c r="S127" s="26">
        <v>0</v>
      </c>
      <c r="T127" s="28">
        <v>3</v>
      </c>
      <c r="U127" s="28">
        <v>3</v>
      </c>
      <c r="V127" s="28">
        <v>2</v>
      </c>
      <c r="W127" s="28">
        <v>3</v>
      </c>
      <c r="X127" s="28">
        <v>3</v>
      </c>
      <c r="Y127" s="28">
        <v>3</v>
      </c>
      <c r="Z127" s="28">
        <v>3</v>
      </c>
      <c r="AA127" s="28">
        <v>0</v>
      </c>
      <c r="AB127" s="64">
        <f t="shared" si="9"/>
        <v>2.6666666666666665</v>
      </c>
      <c r="AC127" s="64">
        <f t="shared" si="10"/>
        <v>2.6666666666666665</v>
      </c>
      <c r="AD127" s="64">
        <f t="shared" si="11"/>
        <v>1</v>
      </c>
      <c r="AE127" s="64">
        <f t="shared" si="12"/>
        <v>2.6666666666666665</v>
      </c>
      <c r="AF127" s="64">
        <f t="shared" si="13"/>
        <v>2.6666666666666665</v>
      </c>
      <c r="AG127" s="64">
        <f t="shared" si="14"/>
        <v>2</v>
      </c>
      <c r="AH127" s="64">
        <f t="shared" si="15"/>
        <v>1</v>
      </c>
      <c r="AI127" s="64">
        <f t="shared" si="16"/>
        <v>0</v>
      </c>
    </row>
    <row r="128" spans="1:35">
      <c r="A128" s="23" t="s">
        <v>3985</v>
      </c>
      <c r="B128" s="23">
        <v>10130</v>
      </c>
      <c r="C128" s="23" t="s">
        <v>3986</v>
      </c>
      <c r="D128" s="24">
        <v>0</v>
      </c>
      <c r="E128" s="24">
        <v>0</v>
      </c>
      <c r="F128" s="24">
        <v>0</v>
      </c>
      <c r="G128" s="24">
        <v>0</v>
      </c>
      <c r="H128" s="24">
        <v>0</v>
      </c>
      <c r="I128" s="24">
        <v>0</v>
      </c>
      <c r="J128" s="24">
        <v>0</v>
      </c>
      <c r="K128" s="24">
        <v>0</v>
      </c>
      <c r="L128" s="26">
        <v>1</v>
      </c>
      <c r="M128" s="26">
        <v>0</v>
      </c>
      <c r="N128" s="26">
        <v>0</v>
      </c>
      <c r="O128" s="26">
        <v>1</v>
      </c>
      <c r="P128" s="26">
        <v>1</v>
      </c>
      <c r="Q128" s="26">
        <v>0</v>
      </c>
      <c r="R128" s="26">
        <v>1</v>
      </c>
      <c r="S128" s="26">
        <v>0</v>
      </c>
      <c r="T128" s="28">
        <v>2</v>
      </c>
      <c r="U128" s="28">
        <v>0</v>
      </c>
      <c r="V128" s="28">
        <v>1</v>
      </c>
      <c r="W128" s="28">
        <v>2</v>
      </c>
      <c r="X128" s="28">
        <v>0</v>
      </c>
      <c r="Y128" s="28">
        <v>0</v>
      </c>
      <c r="Z128" s="28">
        <v>2</v>
      </c>
      <c r="AA128" s="28">
        <v>0</v>
      </c>
      <c r="AB128" s="64">
        <f t="shared" si="9"/>
        <v>1</v>
      </c>
      <c r="AC128" s="64">
        <f t="shared" si="10"/>
        <v>0</v>
      </c>
      <c r="AD128" s="64">
        <f t="shared" si="11"/>
        <v>0.33333333333333331</v>
      </c>
      <c r="AE128" s="64">
        <f t="shared" si="12"/>
        <v>1</v>
      </c>
      <c r="AF128" s="64">
        <f t="shared" si="13"/>
        <v>0.33333333333333331</v>
      </c>
      <c r="AG128" s="64">
        <f t="shared" si="14"/>
        <v>0</v>
      </c>
      <c r="AH128" s="64">
        <f t="shared" si="15"/>
        <v>1</v>
      </c>
      <c r="AI128" s="64">
        <f t="shared" si="16"/>
        <v>0</v>
      </c>
    </row>
    <row r="129" spans="1:35">
      <c r="A129" s="23" t="s">
        <v>3979</v>
      </c>
      <c r="B129" s="23">
        <v>10131</v>
      </c>
      <c r="C129" s="23" t="s">
        <v>3987</v>
      </c>
      <c r="D129" s="24">
        <v>3</v>
      </c>
      <c r="E129" s="24">
        <v>0</v>
      </c>
      <c r="F129" s="24">
        <v>0</v>
      </c>
      <c r="G129" s="24">
        <v>3</v>
      </c>
      <c r="H129" s="24">
        <v>0</v>
      </c>
      <c r="I129" s="24">
        <v>3</v>
      </c>
      <c r="J129" s="24">
        <v>0</v>
      </c>
      <c r="K129" s="24">
        <v>0</v>
      </c>
      <c r="L129" s="26">
        <v>2</v>
      </c>
      <c r="M129" s="26">
        <v>2</v>
      </c>
      <c r="N129" s="26">
        <v>1</v>
      </c>
      <c r="O129" s="26">
        <v>1</v>
      </c>
      <c r="P129" s="26">
        <v>0</v>
      </c>
      <c r="Q129" s="26">
        <v>1</v>
      </c>
      <c r="R129" s="26">
        <v>1</v>
      </c>
      <c r="S129" s="26">
        <v>0</v>
      </c>
      <c r="T129" s="28">
        <v>3</v>
      </c>
      <c r="U129" s="28">
        <v>0</v>
      </c>
      <c r="V129" s="28">
        <v>0</v>
      </c>
      <c r="W129" s="28">
        <v>2</v>
      </c>
      <c r="X129" s="28">
        <v>1</v>
      </c>
      <c r="Y129" s="28">
        <v>2</v>
      </c>
      <c r="Z129" s="28">
        <v>3</v>
      </c>
      <c r="AA129" s="28">
        <v>0</v>
      </c>
      <c r="AB129" s="64">
        <f t="shared" si="9"/>
        <v>2.6666666666666665</v>
      </c>
      <c r="AC129" s="64">
        <f t="shared" si="10"/>
        <v>0.66666666666666663</v>
      </c>
      <c r="AD129" s="64">
        <f t="shared" si="11"/>
        <v>0.33333333333333331</v>
      </c>
      <c r="AE129" s="64">
        <f t="shared" si="12"/>
        <v>2</v>
      </c>
      <c r="AF129" s="64">
        <f t="shared" si="13"/>
        <v>0.33333333333333331</v>
      </c>
      <c r="AG129" s="64">
        <f t="shared" si="14"/>
        <v>2</v>
      </c>
      <c r="AH129" s="64">
        <f t="shared" si="15"/>
        <v>1.3333333333333333</v>
      </c>
      <c r="AI129" s="64">
        <f t="shared" si="16"/>
        <v>0</v>
      </c>
    </row>
    <row r="130" spans="1:35">
      <c r="A130" s="23" t="s">
        <v>3988</v>
      </c>
      <c r="B130" s="23">
        <v>10132</v>
      </c>
      <c r="C130" s="23" t="s">
        <v>3989</v>
      </c>
      <c r="D130" s="24">
        <v>3</v>
      </c>
      <c r="E130" s="24">
        <v>3</v>
      </c>
      <c r="F130" s="24">
        <v>2</v>
      </c>
      <c r="G130" s="24">
        <v>3</v>
      </c>
      <c r="H130" s="24">
        <v>3</v>
      </c>
      <c r="I130" s="24">
        <v>3</v>
      </c>
      <c r="J130" s="24">
        <v>3</v>
      </c>
      <c r="K130" s="24">
        <v>0</v>
      </c>
      <c r="L130" s="26">
        <v>2</v>
      </c>
      <c r="M130" s="26">
        <v>2</v>
      </c>
      <c r="N130" s="26">
        <v>0</v>
      </c>
      <c r="O130" s="26">
        <v>2</v>
      </c>
      <c r="P130" s="26">
        <v>2</v>
      </c>
      <c r="Q130" s="26">
        <v>2</v>
      </c>
      <c r="R130" s="26">
        <v>3</v>
      </c>
      <c r="S130" s="26">
        <v>0</v>
      </c>
      <c r="T130" s="28">
        <v>3</v>
      </c>
      <c r="U130" s="28">
        <v>1</v>
      </c>
      <c r="V130" s="28">
        <v>2</v>
      </c>
      <c r="W130" s="28">
        <v>3</v>
      </c>
      <c r="X130" s="28">
        <v>3</v>
      </c>
      <c r="Y130" s="28">
        <v>2</v>
      </c>
      <c r="Z130" s="28">
        <v>3</v>
      </c>
      <c r="AA130" s="28">
        <v>0</v>
      </c>
      <c r="AB130" s="64">
        <f t="shared" si="9"/>
        <v>2.6666666666666665</v>
      </c>
      <c r="AC130" s="64">
        <f t="shared" si="10"/>
        <v>2</v>
      </c>
      <c r="AD130" s="64">
        <f t="shared" si="11"/>
        <v>1.3333333333333333</v>
      </c>
      <c r="AE130" s="64">
        <f t="shared" si="12"/>
        <v>2.6666666666666665</v>
      </c>
      <c r="AF130" s="64">
        <f t="shared" si="13"/>
        <v>2.6666666666666665</v>
      </c>
      <c r="AG130" s="64">
        <f t="shared" si="14"/>
        <v>2.3333333333333335</v>
      </c>
      <c r="AH130" s="64">
        <f t="shared" si="15"/>
        <v>3</v>
      </c>
      <c r="AI130" s="64">
        <f t="shared" si="16"/>
        <v>0</v>
      </c>
    </row>
    <row r="131" spans="1:35">
      <c r="A131" s="23" t="s">
        <v>3990</v>
      </c>
      <c r="B131" s="23">
        <v>10133</v>
      </c>
      <c r="C131" s="23" t="s">
        <v>3991</v>
      </c>
      <c r="D131" s="24">
        <v>3</v>
      </c>
      <c r="E131" s="24">
        <v>3</v>
      </c>
      <c r="F131" s="24">
        <v>0</v>
      </c>
      <c r="G131" s="24">
        <v>3</v>
      </c>
      <c r="H131" s="24">
        <v>0</v>
      </c>
      <c r="I131" s="24">
        <v>3</v>
      </c>
      <c r="J131" s="24">
        <v>3</v>
      </c>
      <c r="K131" s="24">
        <v>0</v>
      </c>
      <c r="L131" s="26">
        <v>0</v>
      </c>
      <c r="M131" s="26">
        <v>1</v>
      </c>
      <c r="N131" s="26">
        <v>1</v>
      </c>
      <c r="O131" s="26">
        <v>2</v>
      </c>
      <c r="P131" s="26">
        <v>0</v>
      </c>
      <c r="Q131" s="26">
        <v>1</v>
      </c>
      <c r="R131" s="26">
        <v>2</v>
      </c>
      <c r="S131" s="26">
        <v>0</v>
      </c>
      <c r="T131" s="28">
        <v>1</v>
      </c>
      <c r="U131" s="28">
        <v>3</v>
      </c>
      <c r="V131" s="28">
        <v>0</v>
      </c>
      <c r="W131" s="28">
        <v>3</v>
      </c>
      <c r="X131" s="28">
        <v>0</v>
      </c>
      <c r="Y131" s="28">
        <v>3</v>
      </c>
      <c r="Z131" s="28">
        <v>3</v>
      </c>
      <c r="AA131" s="28">
        <v>0</v>
      </c>
      <c r="AB131" s="64">
        <f t="shared" ref="AB131:AB140" si="17">AVERAGE(D131,L131,T131)</f>
        <v>1.3333333333333333</v>
      </c>
      <c r="AC131" s="64">
        <f t="shared" ref="AC131:AC140" si="18">AVERAGE(E131,M131,U131)</f>
        <v>2.3333333333333335</v>
      </c>
      <c r="AD131" s="64">
        <f t="shared" ref="AD131:AD140" si="19">AVERAGE(F131,N131,V131)</f>
        <v>0.33333333333333331</v>
      </c>
      <c r="AE131" s="64">
        <f t="shared" ref="AE131:AE140" si="20">AVERAGE(G131,O131,W131)</f>
        <v>2.6666666666666665</v>
      </c>
      <c r="AF131" s="64">
        <f t="shared" ref="AF131:AF140" si="21">AVERAGE(H131,P131,X131)</f>
        <v>0</v>
      </c>
      <c r="AG131" s="64">
        <f t="shared" ref="AG131:AG140" si="22">AVERAGE(I131,Q131,Y131)</f>
        <v>2.3333333333333335</v>
      </c>
      <c r="AH131" s="64">
        <f t="shared" ref="AH131:AH140" si="23">AVERAGE(J131,R131,Z131)</f>
        <v>2.6666666666666665</v>
      </c>
      <c r="AI131" s="64">
        <f t="shared" ref="AI131:AI140" si="24">AVERAGE(K131,S131,AA131)</f>
        <v>0</v>
      </c>
    </row>
    <row r="132" spans="1:35">
      <c r="A132" s="23" t="s">
        <v>3830</v>
      </c>
      <c r="B132" s="23">
        <v>10134</v>
      </c>
      <c r="C132" s="23" t="s">
        <v>3992</v>
      </c>
      <c r="D132" s="24">
        <v>2</v>
      </c>
      <c r="E132" s="24">
        <v>3</v>
      </c>
      <c r="F132" s="24">
        <v>0</v>
      </c>
      <c r="G132" s="24">
        <v>1</v>
      </c>
      <c r="H132" s="24">
        <v>2</v>
      </c>
      <c r="I132" s="24">
        <v>0</v>
      </c>
      <c r="J132" s="24">
        <v>3</v>
      </c>
      <c r="K132" s="24">
        <v>0</v>
      </c>
      <c r="L132" s="26">
        <v>2</v>
      </c>
      <c r="M132" s="26">
        <v>1</v>
      </c>
      <c r="N132" s="26">
        <v>1</v>
      </c>
      <c r="O132" s="26">
        <v>1</v>
      </c>
      <c r="P132" s="26">
        <v>1</v>
      </c>
      <c r="Q132" s="26">
        <v>1</v>
      </c>
      <c r="R132" s="26">
        <v>1</v>
      </c>
      <c r="S132" s="26">
        <v>0</v>
      </c>
      <c r="T132" s="28">
        <v>1</v>
      </c>
      <c r="U132" s="28">
        <v>3</v>
      </c>
      <c r="V132" s="28">
        <v>0</v>
      </c>
      <c r="W132" s="28">
        <v>2</v>
      </c>
      <c r="X132" s="28">
        <v>1</v>
      </c>
      <c r="Y132" s="28">
        <v>2</v>
      </c>
      <c r="Z132" s="28">
        <v>3</v>
      </c>
      <c r="AA132" s="28">
        <v>0</v>
      </c>
      <c r="AB132" s="64">
        <f t="shared" si="17"/>
        <v>1.6666666666666667</v>
      </c>
      <c r="AC132" s="64">
        <f t="shared" si="18"/>
        <v>2.3333333333333335</v>
      </c>
      <c r="AD132" s="64">
        <f t="shared" si="19"/>
        <v>0.33333333333333331</v>
      </c>
      <c r="AE132" s="64">
        <f t="shared" si="20"/>
        <v>1.3333333333333333</v>
      </c>
      <c r="AF132" s="64">
        <f t="shared" si="21"/>
        <v>1.3333333333333333</v>
      </c>
      <c r="AG132" s="64">
        <f t="shared" si="22"/>
        <v>1</v>
      </c>
      <c r="AH132" s="64">
        <f t="shared" si="23"/>
        <v>2.3333333333333335</v>
      </c>
      <c r="AI132" s="64">
        <f t="shared" si="24"/>
        <v>0</v>
      </c>
    </row>
    <row r="133" spans="1:35">
      <c r="A133" s="23" t="s">
        <v>3993</v>
      </c>
      <c r="B133" s="23">
        <v>10135</v>
      </c>
      <c r="C133" s="23" t="s">
        <v>3994</v>
      </c>
      <c r="D133" s="24">
        <v>3</v>
      </c>
      <c r="E133" s="24">
        <v>3</v>
      </c>
      <c r="F133" s="24">
        <v>0</v>
      </c>
      <c r="G133" s="24">
        <v>2</v>
      </c>
      <c r="H133" s="24">
        <v>3</v>
      </c>
      <c r="I133" s="24">
        <v>2</v>
      </c>
      <c r="J133" s="24">
        <v>3</v>
      </c>
      <c r="K133" s="24">
        <v>0</v>
      </c>
      <c r="L133" s="26">
        <v>2</v>
      </c>
      <c r="M133" s="26">
        <v>2</v>
      </c>
      <c r="N133" s="26">
        <v>1</v>
      </c>
      <c r="O133" s="26">
        <v>1</v>
      </c>
      <c r="P133" s="26">
        <v>3</v>
      </c>
      <c r="Q133" s="26">
        <v>1</v>
      </c>
      <c r="R133" s="26">
        <v>0</v>
      </c>
      <c r="S133" s="26">
        <v>0</v>
      </c>
      <c r="T133" s="28">
        <v>3</v>
      </c>
      <c r="U133" s="28">
        <v>3</v>
      </c>
      <c r="V133" s="28">
        <v>2</v>
      </c>
      <c r="W133" s="28">
        <v>3</v>
      </c>
      <c r="X133" s="28">
        <v>3</v>
      </c>
      <c r="Y133" s="28">
        <v>3</v>
      </c>
      <c r="Z133" s="28">
        <v>3</v>
      </c>
      <c r="AA133" s="28">
        <v>0</v>
      </c>
      <c r="AB133" s="64">
        <f t="shared" si="17"/>
        <v>2.6666666666666665</v>
      </c>
      <c r="AC133" s="64">
        <f t="shared" si="18"/>
        <v>2.6666666666666665</v>
      </c>
      <c r="AD133" s="64">
        <f t="shared" si="19"/>
        <v>1</v>
      </c>
      <c r="AE133" s="64">
        <f t="shared" si="20"/>
        <v>2</v>
      </c>
      <c r="AF133" s="64">
        <f t="shared" si="21"/>
        <v>3</v>
      </c>
      <c r="AG133" s="64">
        <f t="shared" si="22"/>
        <v>2</v>
      </c>
      <c r="AH133" s="64">
        <f t="shared" si="23"/>
        <v>2</v>
      </c>
      <c r="AI133" s="64">
        <f t="shared" si="24"/>
        <v>0</v>
      </c>
    </row>
    <row r="134" spans="1:35">
      <c r="A134" s="23" t="s">
        <v>3995</v>
      </c>
      <c r="B134" s="23">
        <v>10136</v>
      </c>
      <c r="C134" s="23" t="s">
        <v>3996</v>
      </c>
      <c r="D134" s="24">
        <v>1</v>
      </c>
      <c r="E134" s="24">
        <v>0</v>
      </c>
      <c r="F134" s="24">
        <v>0</v>
      </c>
      <c r="G134" s="24">
        <v>3</v>
      </c>
      <c r="H134" s="24">
        <v>0</v>
      </c>
      <c r="I134" s="24">
        <v>0</v>
      </c>
      <c r="J134" s="24">
        <v>0</v>
      </c>
      <c r="K134" s="24">
        <v>0</v>
      </c>
      <c r="L134" s="26">
        <v>2</v>
      </c>
      <c r="M134" s="26">
        <v>0</v>
      </c>
      <c r="N134" s="26">
        <v>0</v>
      </c>
      <c r="O134" s="26">
        <v>1</v>
      </c>
      <c r="P134" s="26">
        <v>0</v>
      </c>
      <c r="Q134" s="26">
        <v>0</v>
      </c>
      <c r="R134" s="26">
        <v>0</v>
      </c>
      <c r="S134" s="26">
        <v>0</v>
      </c>
      <c r="T134" s="28">
        <v>2</v>
      </c>
      <c r="U134" s="28">
        <v>0</v>
      </c>
      <c r="V134" s="28">
        <v>0</v>
      </c>
      <c r="W134" s="28">
        <v>3</v>
      </c>
      <c r="X134" s="28">
        <v>0</v>
      </c>
      <c r="Y134" s="28">
        <v>0</v>
      </c>
      <c r="Z134" s="28">
        <v>1</v>
      </c>
      <c r="AA134" s="28">
        <v>0</v>
      </c>
      <c r="AB134" s="64">
        <f t="shared" si="17"/>
        <v>1.6666666666666667</v>
      </c>
      <c r="AC134" s="64">
        <f t="shared" si="18"/>
        <v>0</v>
      </c>
      <c r="AD134" s="64">
        <f t="shared" si="19"/>
        <v>0</v>
      </c>
      <c r="AE134" s="64">
        <f t="shared" si="20"/>
        <v>2.3333333333333335</v>
      </c>
      <c r="AF134" s="64">
        <f t="shared" si="21"/>
        <v>0</v>
      </c>
      <c r="AG134" s="64">
        <f t="shared" si="22"/>
        <v>0</v>
      </c>
      <c r="AH134" s="64">
        <f t="shared" si="23"/>
        <v>0.33333333333333331</v>
      </c>
      <c r="AI134" s="64">
        <f t="shared" si="24"/>
        <v>0</v>
      </c>
    </row>
    <row r="135" spans="1:35">
      <c r="A135" s="23" t="s">
        <v>3997</v>
      </c>
      <c r="B135" s="23">
        <v>10137</v>
      </c>
      <c r="C135" s="23" t="s">
        <v>3998</v>
      </c>
      <c r="D135" s="24">
        <v>3</v>
      </c>
      <c r="E135" s="24">
        <v>0</v>
      </c>
      <c r="F135" s="24">
        <v>0</v>
      </c>
      <c r="G135" s="24">
        <v>3</v>
      </c>
      <c r="H135" s="24">
        <v>0</v>
      </c>
      <c r="I135" s="24">
        <v>0</v>
      </c>
      <c r="J135" s="24">
        <v>0</v>
      </c>
      <c r="K135" s="24">
        <v>0</v>
      </c>
      <c r="L135" s="26">
        <v>2</v>
      </c>
      <c r="M135" s="26">
        <v>0</v>
      </c>
      <c r="N135" s="26">
        <v>0</v>
      </c>
      <c r="O135" s="26">
        <v>1</v>
      </c>
      <c r="P135" s="26">
        <v>0</v>
      </c>
      <c r="Q135" s="26">
        <v>0</v>
      </c>
      <c r="R135" s="26">
        <v>2</v>
      </c>
      <c r="S135" s="26">
        <v>0</v>
      </c>
      <c r="T135" s="28">
        <v>3</v>
      </c>
      <c r="U135" s="28">
        <v>0</v>
      </c>
      <c r="V135" s="28">
        <v>1</v>
      </c>
      <c r="W135" s="28">
        <v>2</v>
      </c>
      <c r="X135" s="28">
        <v>1</v>
      </c>
      <c r="Y135" s="28">
        <v>0</v>
      </c>
      <c r="Z135" s="28">
        <v>1</v>
      </c>
      <c r="AA135" s="28">
        <v>0</v>
      </c>
      <c r="AB135" s="64">
        <f t="shared" si="17"/>
        <v>2.6666666666666665</v>
      </c>
      <c r="AC135" s="64">
        <f t="shared" si="18"/>
        <v>0</v>
      </c>
      <c r="AD135" s="64">
        <f t="shared" si="19"/>
        <v>0.33333333333333331</v>
      </c>
      <c r="AE135" s="64">
        <f t="shared" si="20"/>
        <v>2</v>
      </c>
      <c r="AF135" s="64">
        <f t="shared" si="21"/>
        <v>0.33333333333333331</v>
      </c>
      <c r="AG135" s="64">
        <f t="shared" si="22"/>
        <v>0</v>
      </c>
      <c r="AH135" s="64">
        <f t="shared" si="23"/>
        <v>1</v>
      </c>
      <c r="AI135" s="64">
        <f t="shared" si="24"/>
        <v>0</v>
      </c>
    </row>
    <row r="136" spans="1:35">
      <c r="A136" s="23" t="s">
        <v>3999</v>
      </c>
      <c r="B136" s="23">
        <v>10139</v>
      </c>
      <c r="C136" s="23" t="s">
        <v>4000</v>
      </c>
      <c r="D136" s="24">
        <v>2</v>
      </c>
      <c r="E136" s="24">
        <v>0</v>
      </c>
      <c r="F136" s="24">
        <v>0</v>
      </c>
      <c r="G136" s="24">
        <v>3</v>
      </c>
      <c r="H136" s="24">
        <v>3</v>
      </c>
      <c r="I136" s="24">
        <v>0</v>
      </c>
      <c r="J136" s="24">
        <v>0</v>
      </c>
      <c r="K136" s="24">
        <v>0</v>
      </c>
      <c r="L136" s="26">
        <v>2</v>
      </c>
      <c r="M136" s="26">
        <v>0</v>
      </c>
      <c r="N136" s="26">
        <v>1</v>
      </c>
      <c r="O136" s="26">
        <v>1</v>
      </c>
      <c r="P136" s="26">
        <v>2</v>
      </c>
      <c r="Q136" s="26">
        <v>1</v>
      </c>
      <c r="R136" s="26">
        <v>0</v>
      </c>
      <c r="S136" s="26">
        <v>0</v>
      </c>
      <c r="T136" s="28">
        <v>2</v>
      </c>
      <c r="U136" s="28">
        <v>0</v>
      </c>
      <c r="V136" s="28">
        <v>0</v>
      </c>
      <c r="W136" s="28">
        <v>2</v>
      </c>
      <c r="X136" s="28">
        <v>3</v>
      </c>
      <c r="Y136" s="28">
        <v>2</v>
      </c>
      <c r="Z136" s="28">
        <v>1</v>
      </c>
      <c r="AA136" s="28">
        <v>0</v>
      </c>
      <c r="AB136" s="64">
        <f t="shared" si="17"/>
        <v>2</v>
      </c>
      <c r="AC136" s="64">
        <f t="shared" si="18"/>
        <v>0</v>
      </c>
      <c r="AD136" s="64">
        <f t="shared" si="19"/>
        <v>0.33333333333333331</v>
      </c>
      <c r="AE136" s="64">
        <f t="shared" si="20"/>
        <v>2</v>
      </c>
      <c r="AF136" s="64">
        <f t="shared" si="21"/>
        <v>2.6666666666666665</v>
      </c>
      <c r="AG136" s="64">
        <f t="shared" si="22"/>
        <v>1</v>
      </c>
      <c r="AH136" s="64">
        <f t="shared" si="23"/>
        <v>0.33333333333333331</v>
      </c>
      <c r="AI136" s="64">
        <f t="shared" si="24"/>
        <v>0</v>
      </c>
    </row>
    <row r="137" spans="1:35">
      <c r="A137" s="23" t="s">
        <v>4001</v>
      </c>
      <c r="B137" s="23">
        <v>10140</v>
      </c>
      <c r="C137" s="23" t="s">
        <v>4002</v>
      </c>
      <c r="D137" s="24">
        <v>0</v>
      </c>
      <c r="E137" s="24">
        <v>0</v>
      </c>
      <c r="F137" s="24">
        <v>0</v>
      </c>
      <c r="G137" s="24">
        <v>3</v>
      </c>
      <c r="H137" s="24">
        <v>0</v>
      </c>
      <c r="I137" s="24">
        <v>0</v>
      </c>
      <c r="J137" s="24">
        <v>3</v>
      </c>
      <c r="K137" s="24">
        <v>0</v>
      </c>
      <c r="L137" s="26">
        <v>2</v>
      </c>
      <c r="M137" s="26">
        <v>0</v>
      </c>
      <c r="N137" s="26">
        <v>2</v>
      </c>
      <c r="O137" s="26">
        <v>1</v>
      </c>
      <c r="P137" s="26">
        <v>2</v>
      </c>
      <c r="Q137" s="26">
        <v>0</v>
      </c>
      <c r="R137" s="26">
        <v>1</v>
      </c>
      <c r="S137" s="26">
        <v>0</v>
      </c>
      <c r="T137" s="28">
        <v>2</v>
      </c>
      <c r="U137" s="28">
        <v>0</v>
      </c>
      <c r="V137" s="28">
        <v>0</v>
      </c>
      <c r="W137" s="28">
        <v>3</v>
      </c>
      <c r="X137" s="28">
        <v>3</v>
      </c>
      <c r="Y137" s="28">
        <v>0</v>
      </c>
      <c r="Z137" s="28">
        <v>3</v>
      </c>
      <c r="AA137" s="28">
        <v>0</v>
      </c>
      <c r="AB137" s="64">
        <f t="shared" si="17"/>
        <v>1.3333333333333333</v>
      </c>
      <c r="AC137" s="64">
        <f t="shared" si="18"/>
        <v>0</v>
      </c>
      <c r="AD137" s="64">
        <f t="shared" si="19"/>
        <v>0.66666666666666663</v>
      </c>
      <c r="AE137" s="64">
        <f t="shared" si="20"/>
        <v>2.3333333333333335</v>
      </c>
      <c r="AF137" s="64">
        <f t="shared" si="21"/>
        <v>1.6666666666666667</v>
      </c>
      <c r="AG137" s="64">
        <f t="shared" si="22"/>
        <v>0</v>
      </c>
      <c r="AH137" s="64">
        <f t="shared" si="23"/>
        <v>2.3333333333333335</v>
      </c>
      <c r="AI137" s="64">
        <f t="shared" si="24"/>
        <v>0</v>
      </c>
    </row>
    <row r="138" spans="1:35">
      <c r="A138" s="23" t="s">
        <v>4003</v>
      </c>
      <c r="B138" s="23">
        <v>10141</v>
      </c>
      <c r="C138" s="23" t="s">
        <v>4004</v>
      </c>
      <c r="D138" s="24">
        <v>3</v>
      </c>
      <c r="E138" s="24">
        <v>0</v>
      </c>
      <c r="F138" s="24">
        <v>0</v>
      </c>
      <c r="G138" s="24">
        <v>0</v>
      </c>
      <c r="H138" s="24">
        <v>0</v>
      </c>
      <c r="I138" s="24">
        <v>0</v>
      </c>
      <c r="J138" s="24">
        <v>0</v>
      </c>
      <c r="K138" s="24">
        <v>0</v>
      </c>
      <c r="L138" s="26">
        <v>0</v>
      </c>
      <c r="M138" s="26">
        <v>0</v>
      </c>
      <c r="N138" s="26">
        <v>0</v>
      </c>
      <c r="O138" s="26">
        <v>0</v>
      </c>
      <c r="P138" s="26">
        <v>0</v>
      </c>
      <c r="Q138" s="26">
        <v>0</v>
      </c>
      <c r="R138" s="26">
        <v>0</v>
      </c>
      <c r="S138" s="26">
        <v>0</v>
      </c>
      <c r="T138" s="28">
        <v>3</v>
      </c>
      <c r="U138" s="28">
        <v>0</v>
      </c>
      <c r="V138" s="28">
        <v>0</v>
      </c>
      <c r="W138" s="28">
        <v>1</v>
      </c>
      <c r="X138" s="28">
        <v>0</v>
      </c>
      <c r="Y138" s="28">
        <v>0</v>
      </c>
      <c r="Z138" s="28">
        <v>1</v>
      </c>
      <c r="AA138" s="28">
        <v>0</v>
      </c>
      <c r="AB138" s="64">
        <f t="shared" si="17"/>
        <v>2</v>
      </c>
      <c r="AC138" s="64">
        <f t="shared" si="18"/>
        <v>0</v>
      </c>
      <c r="AD138" s="64">
        <f t="shared" si="19"/>
        <v>0</v>
      </c>
      <c r="AE138" s="64">
        <f t="shared" si="20"/>
        <v>0.33333333333333331</v>
      </c>
      <c r="AF138" s="64">
        <f t="shared" si="21"/>
        <v>0</v>
      </c>
      <c r="AG138" s="64">
        <f t="shared" si="22"/>
        <v>0</v>
      </c>
      <c r="AH138" s="64">
        <f t="shared" si="23"/>
        <v>0.33333333333333331</v>
      </c>
      <c r="AI138" s="64">
        <f t="shared" si="24"/>
        <v>0</v>
      </c>
    </row>
    <row r="139" spans="1:35">
      <c r="A139" s="23" t="s">
        <v>4005</v>
      </c>
      <c r="B139" s="23">
        <v>10142</v>
      </c>
      <c r="C139" s="23" t="s">
        <v>4006</v>
      </c>
      <c r="D139" s="24">
        <v>0</v>
      </c>
      <c r="E139" s="24">
        <v>0</v>
      </c>
      <c r="F139" s="24">
        <v>0</v>
      </c>
      <c r="G139" s="24">
        <v>0</v>
      </c>
      <c r="H139" s="24">
        <v>0</v>
      </c>
      <c r="I139" s="24">
        <v>3</v>
      </c>
      <c r="J139" s="24">
        <v>0</v>
      </c>
      <c r="K139" s="24">
        <v>0</v>
      </c>
      <c r="L139" s="26">
        <v>1</v>
      </c>
      <c r="M139" s="26">
        <v>0</v>
      </c>
      <c r="N139" s="26">
        <v>1</v>
      </c>
      <c r="O139" s="26">
        <v>0</v>
      </c>
      <c r="P139" s="26">
        <v>2</v>
      </c>
      <c r="Q139" s="26">
        <v>2</v>
      </c>
      <c r="R139" s="26">
        <v>1</v>
      </c>
      <c r="S139" s="26">
        <v>0</v>
      </c>
      <c r="T139" s="28">
        <v>0</v>
      </c>
      <c r="U139" s="28">
        <v>0</v>
      </c>
      <c r="V139" s="28">
        <v>1</v>
      </c>
      <c r="W139" s="28">
        <v>1</v>
      </c>
      <c r="X139" s="28">
        <v>3</v>
      </c>
      <c r="Y139" s="28">
        <v>2</v>
      </c>
      <c r="Z139" s="28">
        <v>1</v>
      </c>
      <c r="AA139" s="28">
        <v>0</v>
      </c>
      <c r="AB139" s="64">
        <f t="shared" si="17"/>
        <v>0.33333333333333331</v>
      </c>
      <c r="AC139" s="64">
        <f t="shared" si="18"/>
        <v>0</v>
      </c>
      <c r="AD139" s="64">
        <f t="shared" si="19"/>
        <v>0.66666666666666663</v>
      </c>
      <c r="AE139" s="64">
        <f t="shared" si="20"/>
        <v>0.33333333333333331</v>
      </c>
      <c r="AF139" s="64">
        <f t="shared" si="21"/>
        <v>1.6666666666666667</v>
      </c>
      <c r="AG139" s="64">
        <f t="shared" si="22"/>
        <v>2.3333333333333335</v>
      </c>
      <c r="AH139" s="64">
        <f t="shared" si="23"/>
        <v>0.66666666666666663</v>
      </c>
      <c r="AI139" s="64">
        <f t="shared" si="24"/>
        <v>0</v>
      </c>
    </row>
    <row r="140" spans="1:35">
      <c r="A140" s="23" t="s">
        <v>4007</v>
      </c>
      <c r="B140" s="23">
        <v>10143</v>
      </c>
      <c r="C140" s="23" t="s">
        <v>4008</v>
      </c>
      <c r="D140" s="24">
        <v>1</v>
      </c>
      <c r="E140" s="24">
        <v>3</v>
      </c>
      <c r="F140" s="24">
        <v>0</v>
      </c>
      <c r="G140" s="24">
        <v>3</v>
      </c>
      <c r="H140" s="24">
        <v>0</v>
      </c>
      <c r="I140" s="24">
        <v>3</v>
      </c>
      <c r="J140" s="24">
        <v>0</v>
      </c>
      <c r="K140" s="24">
        <v>0</v>
      </c>
      <c r="L140" s="26"/>
      <c r="M140" s="26">
        <v>2</v>
      </c>
      <c r="N140" s="26">
        <v>0</v>
      </c>
      <c r="O140" s="26">
        <v>2</v>
      </c>
      <c r="P140" s="26">
        <v>1</v>
      </c>
      <c r="Q140" s="26">
        <v>1</v>
      </c>
      <c r="R140" s="26">
        <v>1</v>
      </c>
      <c r="S140" s="26">
        <v>0</v>
      </c>
      <c r="T140" s="28">
        <v>1</v>
      </c>
      <c r="U140" s="28">
        <v>3</v>
      </c>
      <c r="V140" s="28">
        <v>1</v>
      </c>
      <c r="W140" s="28">
        <v>3</v>
      </c>
      <c r="X140" s="28">
        <v>0</v>
      </c>
      <c r="Y140" s="28">
        <v>2</v>
      </c>
      <c r="Z140" s="28">
        <v>1</v>
      </c>
      <c r="AA140" s="28">
        <v>0</v>
      </c>
      <c r="AB140" s="64">
        <f t="shared" si="17"/>
        <v>1</v>
      </c>
      <c r="AC140" s="64">
        <f t="shared" si="18"/>
        <v>2.6666666666666665</v>
      </c>
      <c r="AD140" s="64">
        <f t="shared" si="19"/>
        <v>0.33333333333333331</v>
      </c>
      <c r="AE140" s="64">
        <f t="shared" si="20"/>
        <v>2.6666666666666665</v>
      </c>
      <c r="AF140" s="64">
        <f t="shared" si="21"/>
        <v>0.33333333333333331</v>
      </c>
      <c r="AG140" s="64">
        <f t="shared" si="22"/>
        <v>2</v>
      </c>
      <c r="AH140" s="64">
        <f t="shared" si="23"/>
        <v>0.66666666666666663</v>
      </c>
      <c r="AI140" s="64">
        <f t="shared" si="24"/>
        <v>0</v>
      </c>
    </row>
  </sheetData>
  <autoFilter ref="A1:A140" xr:uid="{00000000-0009-0000-0000-000004000000}"/>
  <phoneticPr fontId="5" type="noConversion"/>
  <conditionalFormatting sqref="C1:C1048576">
    <cfRule type="duplicateValues" dxfId="0" priority="1"/>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41"/>
  <sheetViews>
    <sheetView tabSelected="1" workbookViewId="0">
      <selection activeCell="D10" sqref="D10"/>
    </sheetView>
  </sheetViews>
  <sheetFormatPr baseColWidth="10" defaultColWidth="9.1640625" defaultRowHeight="15"/>
  <cols>
    <col min="4" max="4" width="14" customWidth="1"/>
  </cols>
  <sheetData>
    <row r="1" spans="1:25">
      <c r="A1" t="s">
        <v>4023</v>
      </c>
      <c r="B1" s="1" t="s">
        <v>4024</v>
      </c>
      <c r="C1" t="s">
        <v>4025</v>
      </c>
      <c r="D1" s="65" t="s">
        <v>4085</v>
      </c>
      <c r="E1" t="s">
        <v>4026</v>
      </c>
      <c r="F1" t="s">
        <v>4027</v>
      </c>
      <c r="G1" t="s">
        <v>4028</v>
      </c>
      <c r="H1" t="s">
        <v>4029</v>
      </c>
      <c r="I1" t="s">
        <v>4030</v>
      </c>
      <c r="J1" t="s">
        <v>4031</v>
      </c>
      <c r="K1" t="s">
        <v>4032</v>
      </c>
      <c r="L1" t="s">
        <v>4033</v>
      </c>
      <c r="M1" t="s">
        <v>4034</v>
      </c>
      <c r="N1" t="s">
        <v>4035</v>
      </c>
      <c r="O1" t="s">
        <v>4036</v>
      </c>
      <c r="P1" t="s">
        <v>4037</v>
      </c>
      <c r="Q1" t="s">
        <v>4038</v>
      </c>
      <c r="R1" t="s">
        <v>4039</v>
      </c>
      <c r="S1" t="s">
        <v>4040</v>
      </c>
      <c r="T1" t="s">
        <v>4041</v>
      </c>
      <c r="U1" t="s">
        <v>4042</v>
      </c>
      <c r="V1" t="s">
        <v>4043</v>
      </c>
      <c r="W1" t="s">
        <v>4044</v>
      </c>
      <c r="X1" t="s">
        <v>4045</v>
      </c>
      <c r="Y1" t="s">
        <v>4046</v>
      </c>
    </row>
    <row r="2" spans="1:25">
      <c r="A2">
        <v>391</v>
      </c>
      <c r="B2" s="1">
        <f t="shared" ref="B2:B64" si="0">A2/60</f>
        <v>6.5166666666666702</v>
      </c>
      <c r="C2">
        <v>5</v>
      </c>
      <c r="D2" s="1">
        <v>202265061002</v>
      </c>
      <c r="E2">
        <v>0</v>
      </c>
      <c r="F2">
        <v>0</v>
      </c>
      <c r="G2">
        <v>0</v>
      </c>
      <c r="H2">
        <v>0</v>
      </c>
      <c r="I2">
        <v>0</v>
      </c>
      <c r="J2">
        <v>1</v>
      </c>
      <c r="K2">
        <v>0</v>
      </c>
      <c r="L2">
        <v>0</v>
      </c>
      <c r="M2">
        <v>0</v>
      </c>
      <c r="N2">
        <v>0</v>
      </c>
      <c r="O2">
        <v>1</v>
      </c>
      <c r="P2">
        <v>0</v>
      </c>
      <c r="Q2">
        <v>1</v>
      </c>
      <c r="R2">
        <v>0</v>
      </c>
      <c r="S2">
        <v>0</v>
      </c>
      <c r="T2">
        <v>1</v>
      </c>
      <c r="U2">
        <v>0</v>
      </c>
      <c r="V2">
        <v>0</v>
      </c>
      <c r="W2">
        <v>0</v>
      </c>
      <c r="X2">
        <v>1</v>
      </c>
      <c r="Y2">
        <v>0</v>
      </c>
    </row>
    <row r="3" spans="1:25">
      <c r="A3">
        <v>663</v>
      </c>
      <c r="B3" s="1">
        <f t="shared" si="0"/>
        <v>11.05</v>
      </c>
      <c r="C3">
        <v>5</v>
      </c>
      <c r="D3" s="1">
        <v>202311061030</v>
      </c>
      <c r="E3">
        <v>0</v>
      </c>
      <c r="F3">
        <v>1</v>
      </c>
      <c r="G3">
        <v>0</v>
      </c>
      <c r="H3">
        <v>1</v>
      </c>
      <c r="I3">
        <v>0</v>
      </c>
      <c r="J3">
        <v>0</v>
      </c>
      <c r="K3">
        <v>0</v>
      </c>
      <c r="L3">
        <v>0</v>
      </c>
      <c r="M3">
        <v>1</v>
      </c>
      <c r="N3">
        <v>0</v>
      </c>
      <c r="O3">
        <v>1</v>
      </c>
      <c r="P3">
        <v>0</v>
      </c>
      <c r="Q3">
        <v>0</v>
      </c>
      <c r="R3">
        <v>0</v>
      </c>
      <c r="S3">
        <v>1</v>
      </c>
      <c r="T3">
        <v>0</v>
      </c>
      <c r="U3">
        <v>0</v>
      </c>
      <c r="V3">
        <v>0</v>
      </c>
      <c r="W3">
        <v>0</v>
      </c>
      <c r="X3">
        <v>0</v>
      </c>
      <c r="Y3">
        <v>0</v>
      </c>
    </row>
    <row r="4" spans="1:25">
      <c r="A4">
        <v>909</v>
      </c>
      <c r="B4" s="1">
        <f t="shared" si="0"/>
        <v>15.15</v>
      </c>
      <c r="C4">
        <v>8</v>
      </c>
      <c r="D4" s="1">
        <v>202211061070</v>
      </c>
      <c r="E4">
        <v>0</v>
      </c>
      <c r="F4">
        <v>0</v>
      </c>
      <c r="G4">
        <v>0</v>
      </c>
      <c r="H4">
        <v>1</v>
      </c>
      <c r="I4">
        <v>1</v>
      </c>
      <c r="J4">
        <v>0</v>
      </c>
      <c r="K4">
        <v>1</v>
      </c>
      <c r="L4">
        <v>0</v>
      </c>
      <c r="M4">
        <v>1</v>
      </c>
      <c r="N4">
        <v>1</v>
      </c>
      <c r="O4">
        <v>0</v>
      </c>
      <c r="P4">
        <v>0</v>
      </c>
      <c r="Q4">
        <v>0</v>
      </c>
      <c r="R4">
        <v>0</v>
      </c>
      <c r="S4">
        <v>0</v>
      </c>
      <c r="T4">
        <v>0</v>
      </c>
      <c r="U4">
        <v>0</v>
      </c>
      <c r="V4">
        <v>0</v>
      </c>
      <c r="W4">
        <v>1</v>
      </c>
      <c r="X4">
        <v>1</v>
      </c>
      <c r="Y4">
        <v>1</v>
      </c>
    </row>
    <row r="5" spans="1:25">
      <c r="A5" s="2">
        <v>341</v>
      </c>
      <c r="B5" s="3">
        <f t="shared" si="0"/>
        <v>5.68333333333333</v>
      </c>
      <c r="C5" s="2">
        <v>9</v>
      </c>
      <c r="D5" s="3">
        <v>202211998045</v>
      </c>
      <c r="E5" s="2">
        <v>0</v>
      </c>
      <c r="F5" s="2">
        <v>1</v>
      </c>
      <c r="G5" s="2">
        <v>1</v>
      </c>
      <c r="H5" s="2">
        <v>0</v>
      </c>
      <c r="I5" s="2">
        <v>1</v>
      </c>
      <c r="J5" s="2">
        <v>1</v>
      </c>
      <c r="K5" s="2">
        <v>0</v>
      </c>
      <c r="L5" s="2">
        <v>0</v>
      </c>
      <c r="M5" s="2">
        <v>0</v>
      </c>
      <c r="N5" s="2">
        <v>0</v>
      </c>
      <c r="O5" s="2">
        <v>1</v>
      </c>
      <c r="P5" s="2">
        <v>0</v>
      </c>
      <c r="Q5" s="2">
        <v>0</v>
      </c>
      <c r="R5" s="2">
        <v>0</v>
      </c>
      <c r="S5" s="2">
        <v>1</v>
      </c>
      <c r="T5" s="2">
        <v>0</v>
      </c>
      <c r="U5" s="2">
        <v>0</v>
      </c>
      <c r="V5" s="2">
        <v>0</v>
      </c>
      <c r="W5" s="2">
        <v>1</v>
      </c>
      <c r="X5" s="2">
        <v>1</v>
      </c>
      <c r="Y5" s="2">
        <v>1</v>
      </c>
    </row>
    <row r="6" spans="1:25">
      <c r="A6">
        <v>732</v>
      </c>
      <c r="B6" s="1">
        <f t="shared" si="0"/>
        <v>12.2</v>
      </c>
      <c r="C6">
        <v>9</v>
      </c>
      <c r="D6" s="1">
        <v>202311061064</v>
      </c>
      <c r="E6">
        <v>1</v>
      </c>
      <c r="F6">
        <v>1</v>
      </c>
      <c r="G6">
        <v>0</v>
      </c>
      <c r="H6">
        <v>1</v>
      </c>
      <c r="I6">
        <v>1</v>
      </c>
      <c r="J6">
        <v>1</v>
      </c>
      <c r="K6">
        <v>1</v>
      </c>
      <c r="L6">
        <v>0</v>
      </c>
      <c r="M6">
        <v>0</v>
      </c>
      <c r="N6">
        <v>0</v>
      </c>
      <c r="O6">
        <v>1</v>
      </c>
      <c r="P6">
        <v>0</v>
      </c>
      <c r="Q6">
        <v>0</v>
      </c>
      <c r="R6">
        <v>0</v>
      </c>
      <c r="S6">
        <v>1</v>
      </c>
      <c r="T6">
        <v>0</v>
      </c>
      <c r="U6">
        <v>1</v>
      </c>
      <c r="V6">
        <v>0</v>
      </c>
      <c r="W6">
        <v>0</v>
      </c>
      <c r="X6">
        <v>0</v>
      </c>
      <c r="Y6">
        <v>0</v>
      </c>
    </row>
    <row r="7" spans="1:25">
      <c r="A7">
        <v>946</v>
      </c>
      <c r="B7" s="1">
        <f t="shared" si="0"/>
        <v>15.766666666666699</v>
      </c>
      <c r="C7">
        <v>9</v>
      </c>
      <c r="D7" s="1">
        <v>202311061041</v>
      </c>
      <c r="E7">
        <v>0</v>
      </c>
      <c r="F7">
        <v>1</v>
      </c>
      <c r="G7">
        <v>1</v>
      </c>
      <c r="H7">
        <v>1</v>
      </c>
      <c r="I7">
        <v>1</v>
      </c>
      <c r="J7">
        <v>0</v>
      </c>
      <c r="K7">
        <v>0</v>
      </c>
      <c r="L7">
        <v>0</v>
      </c>
      <c r="M7">
        <v>1</v>
      </c>
      <c r="N7">
        <v>0</v>
      </c>
      <c r="O7">
        <v>0</v>
      </c>
      <c r="P7">
        <v>0</v>
      </c>
      <c r="Q7">
        <v>0</v>
      </c>
      <c r="R7">
        <v>1</v>
      </c>
      <c r="S7">
        <v>1</v>
      </c>
      <c r="T7">
        <v>0</v>
      </c>
      <c r="U7">
        <v>1</v>
      </c>
      <c r="V7">
        <v>0</v>
      </c>
      <c r="W7">
        <v>0</v>
      </c>
      <c r="X7">
        <v>0</v>
      </c>
      <c r="Y7">
        <v>1</v>
      </c>
    </row>
    <row r="8" spans="1:25">
      <c r="A8">
        <v>410</v>
      </c>
      <c r="B8" s="1">
        <f t="shared" si="0"/>
        <v>6.8333333333333304</v>
      </c>
      <c r="C8">
        <v>10</v>
      </c>
      <c r="D8" s="1">
        <v>202311061044</v>
      </c>
      <c r="E8">
        <v>0</v>
      </c>
      <c r="F8">
        <v>0</v>
      </c>
      <c r="G8">
        <v>1</v>
      </c>
      <c r="H8">
        <v>1</v>
      </c>
      <c r="I8">
        <v>1</v>
      </c>
      <c r="J8">
        <v>0</v>
      </c>
      <c r="K8">
        <v>1</v>
      </c>
      <c r="L8">
        <v>0</v>
      </c>
      <c r="M8">
        <v>1</v>
      </c>
      <c r="N8">
        <v>1</v>
      </c>
      <c r="O8">
        <v>1</v>
      </c>
      <c r="P8">
        <v>0</v>
      </c>
      <c r="Q8">
        <v>0</v>
      </c>
      <c r="R8">
        <v>0</v>
      </c>
      <c r="S8">
        <v>1</v>
      </c>
      <c r="T8">
        <v>1</v>
      </c>
      <c r="U8">
        <v>0</v>
      </c>
      <c r="V8">
        <v>0</v>
      </c>
      <c r="W8">
        <v>0</v>
      </c>
      <c r="X8">
        <v>0</v>
      </c>
      <c r="Y8">
        <v>1</v>
      </c>
    </row>
    <row r="9" spans="1:25">
      <c r="A9">
        <v>875</v>
      </c>
      <c r="B9" s="1">
        <f t="shared" si="0"/>
        <v>14.5833333333333</v>
      </c>
      <c r="C9">
        <v>10</v>
      </c>
      <c r="D9" s="1">
        <v>202211061092</v>
      </c>
      <c r="E9">
        <v>1</v>
      </c>
      <c r="F9">
        <v>0</v>
      </c>
      <c r="G9">
        <v>1</v>
      </c>
      <c r="H9">
        <v>1</v>
      </c>
      <c r="I9">
        <v>1</v>
      </c>
      <c r="J9">
        <v>1</v>
      </c>
      <c r="K9">
        <v>1</v>
      </c>
      <c r="L9">
        <v>1</v>
      </c>
      <c r="M9">
        <v>0</v>
      </c>
      <c r="N9">
        <v>1</v>
      </c>
      <c r="O9">
        <v>0</v>
      </c>
      <c r="P9">
        <v>0</v>
      </c>
      <c r="Q9">
        <v>1</v>
      </c>
      <c r="R9">
        <v>1</v>
      </c>
      <c r="S9">
        <v>0</v>
      </c>
      <c r="T9">
        <v>0</v>
      </c>
      <c r="U9">
        <v>0</v>
      </c>
      <c r="V9">
        <v>0</v>
      </c>
      <c r="W9">
        <v>0</v>
      </c>
      <c r="X9">
        <v>0</v>
      </c>
      <c r="Y9">
        <v>0</v>
      </c>
    </row>
    <row r="10" spans="1:25">
      <c r="A10">
        <v>880</v>
      </c>
      <c r="B10" s="1">
        <f t="shared" si="0"/>
        <v>14.6666666666667</v>
      </c>
      <c r="C10">
        <v>10</v>
      </c>
      <c r="D10" s="1">
        <v>202311061027</v>
      </c>
      <c r="E10">
        <v>1</v>
      </c>
      <c r="F10">
        <v>1</v>
      </c>
      <c r="G10">
        <v>0</v>
      </c>
      <c r="H10">
        <v>1</v>
      </c>
      <c r="I10">
        <v>1</v>
      </c>
      <c r="J10">
        <v>1</v>
      </c>
      <c r="K10">
        <v>1</v>
      </c>
      <c r="L10">
        <v>0</v>
      </c>
      <c r="M10">
        <v>0</v>
      </c>
      <c r="N10">
        <v>0</v>
      </c>
      <c r="O10">
        <v>0</v>
      </c>
      <c r="P10">
        <v>0</v>
      </c>
      <c r="Q10">
        <v>1</v>
      </c>
      <c r="R10">
        <v>1</v>
      </c>
      <c r="S10">
        <v>1</v>
      </c>
      <c r="T10">
        <v>0</v>
      </c>
      <c r="U10">
        <v>0</v>
      </c>
      <c r="V10">
        <v>1</v>
      </c>
      <c r="W10">
        <v>0</v>
      </c>
      <c r="X10">
        <v>0</v>
      </c>
      <c r="Y10">
        <v>0</v>
      </c>
    </row>
    <row r="11" spans="1:25">
      <c r="A11">
        <v>900</v>
      </c>
      <c r="B11" s="1">
        <f t="shared" si="0"/>
        <v>15</v>
      </c>
      <c r="C11">
        <v>10</v>
      </c>
      <c r="D11" s="1">
        <v>202311061023</v>
      </c>
      <c r="E11">
        <v>1</v>
      </c>
      <c r="F11">
        <v>1</v>
      </c>
      <c r="G11">
        <v>0</v>
      </c>
      <c r="H11">
        <v>1</v>
      </c>
      <c r="I11">
        <v>1</v>
      </c>
      <c r="J11">
        <v>1</v>
      </c>
      <c r="K11">
        <v>1</v>
      </c>
      <c r="L11">
        <v>0</v>
      </c>
      <c r="M11">
        <v>0</v>
      </c>
      <c r="N11">
        <v>0</v>
      </c>
      <c r="O11">
        <v>0</v>
      </c>
      <c r="P11">
        <v>0</v>
      </c>
      <c r="Q11">
        <v>1</v>
      </c>
      <c r="R11">
        <v>1</v>
      </c>
      <c r="S11">
        <v>1</v>
      </c>
      <c r="T11">
        <v>0</v>
      </c>
      <c r="U11">
        <v>0</v>
      </c>
      <c r="V11">
        <v>0</v>
      </c>
      <c r="W11">
        <v>0</v>
      </c>
      <c r="X11">
        <v>1</v>
      </c>
      <c r="Y11">
        <v>0</v>
      </c>
    </row>
    <row r="12" spans="1:25">
      <c r="A12">
        <v>925</v>
      </c>
      <c r="B12" s="1">
        <f t="shared" si="0"/>
        <v>15.4166666666667</v>
      </c>
      <c r="C12">
        <v>10</v>
      </c>
      <c r="D12" s="1">
        <v>202311061089</v>
      </c>
      <c r="E12">
        <v>0</v>
      </c>
      <c r="F12">
        <v>1</v>
      </c>
      <c r="G12">
        <v>0</v>
      </c>
      <c r="H12">
        <v>1</v>
      </c>
      <c r="I12">
        <v>1</v>
      </c>
      <c r="J12">
        <v>1</v>
      </c>
      <c r="K12">
        <v>1</v>
      </c>
      <c r="L12">
        <v>0</v>
      </c>
      <c r="M12">
        <v>0</v>
      </c>
      <c r="N12">
        <v>1</v>
      </c>
      <c r="O12">
        <v>0</v>
      </c>
      <c r="P12">
        <v>0</v>
      </c>
      <c r="Q12">
        <v>1</v>
      </c>
      <c r="R12">
        <v>1</v>
      </c>
      <c r="S12">
        <v>0</v>
      </c>
      <c r="T12">
        <v>1</v>
      </c>
      <c r="U12">
        <v>0</v>
      </c>
      <c r="V12">
        <v>0</v>
      </c>
      <c r="W12">
        <v>0</v>
      </c>
      <c r="X12">
        <v>0</v>
      </c>
      <c r="Y12">
        <v>1</v>
      </c>
    </row>
    <row r="13" spans="1:25">
      <c r="A13">
        <v>707</v>
      </c>
      <c r="B13" s="1">
        <f t="shared" si="0"/>
        <v>11.783333333333299</v>
      </c>
      <c r="C13">
        <v>11</v>
      </c>
      <c r="D13" s="1">
        <v>202311061062</v>
      </c>
      <c r="E13">
        <v>0</v>
      </c>
      <c r="F13">
        <v>1</v>
      </c>
      <c r="G13">
        <v>0</v>
      </c>
      <c r="H13">
        <v>1</v>
      </c>
      <c r="I13">
        <v>1</v>
      </c>
      <c r="J13">
        <v>0</v>
      </c>
      <c r="K13">
        <v>1</v>
      </c>
      <c r="L13">
        <v>0</v>
      </c>
      <c r="M13">
        <v>1</v>
      </c>
      <c r="N13">
        <v>0</v>
      </c>
      <c r="O13">
        <v>0</v>
      </c>
      <c r="P13">
        <v>0</v>
      </c>
      <c r="Q13">
        <v>1</v>
      </c>
      <c r="R13">
        <v>1</v>
      </c>
      <c r="S13">
        <v>1</v>
      </c>
      <c r="T13">
        <v>0</v>
      </c>
      <c r="U13">
        <v>1</v>
      </c>
      <c r="V13">
        <v>1</v>
      </c>
      <c r="W13">
        <v>1</v>
      </c>
      <c r="X13">
        <v>0</v>
      </c>
      <c r="Y13">
        <v>0</v>
      </c>
    </row>
    <row r="14" spans="1:25">
      <c r="A14">
        <v>897</v>
      </c>
      <c r="B14" s="1">
        <f t="shared" si="0"/>
        <v>14.95</v>
      </c>
      <c r="C14">
        <v>11</v>
      </c>
      <c r="D14" s="1">
        <v>202311061006</v>
      </c>
      <c r="E14">
        <v>1</v>
      </c>
      <c r="F14">
        <v>1</v>
      </c>
      <c r="G14">
        <v>0</v>
      </c>
      <c r="H14">
        <v>1</v>
      </c>
      <c r="I14">
        <v>1</v>
      </c>
      <c r="J14">
        <v>1</v>
      </c>
      <c r="K14">
        <v>1</v>
      </c>
      <c r="L14">
        <v>1</v>
      </c>
      <c r="M14">
        <v>0</v>
      </c>
      <c r="N14">
        <v>1</v>
      </c>
      <c r="O14">
        <v>0</v>
      </c>
      <c r="P14">
        <v>0</v>
      </c>
      <c r="Q14">
        <v>1</v>
      </c>
      <c r="R14">
        <v>0</v>
      </c>
      <c r="S14">
        <v>1</v>
      </c>
      <c r="T14">
        <v>0</v>
      </c>
      <c r="U14">
        <v>1</v>
      </c>
      <c r="V14">
        <v>0</v>
      </c>
      <c r="W14">
        <v>0</v>
      </c>
      <c r="X14">
        <v>0</v>
      </c>
      <c r="Y14">
        <v>0</v>
      </c>
    </row>
    <row r="15" spans="1:25">
      <c r="A15">
        <v>1079</v>
      </c>
      <c r="B15" s="1">
        <f t="shared" si="0"/>
        <v>17.983333333333299</v>
      </c>
      <c r="C15">
        <v>11</v>
      </c>
      <c r="D15" s="1">
        <v>202311061063</v>
      </c>
      <c r="E15">
        <v>0</v>
      </c>
      <c r="F15">
        <v>1</v>
      </c>
      <c r="G15">
        <v>0</v>
      </c>
      <c r="H15">
        <v>0</v>
      </c>
      <c r="I15">
        <v>1</v>
      </c>
      <c r="J15">
        <v>0</v>
      </c>
      <c r="K15">
        <v>1</v>
      </c>
      <c r="L15">
        <v>0</v>
      </c>
      <c r="M15">
        <v>1</v>
      </c>
      <c r="N15">
        <v>1</v>
      </c>
      <c r="O15">
        <v>0</v>
      </c>
      <c r="P15">
        <v>1</v>
      </c>
      <c r="Q15">
        <v>0</v>
      </c>
      <c r="R15">
        <v>0</v>
      </c>
      <c r="S15">
        <v>1</v>
      </c>
      <c r="T15">
        <v>0</v>
      </c>
      <c r="U15">
        <v>0</v>
      </c>
      <c r="V15">
        <v>1</v>
      </c>
      <c r="W15">
        <v>1</v>
      </c>
      <c r="X15">
        <v>1</v>
      </c>
      <c r="Y15">
        <v>1</v>
      </c>
    </row>
    <row r="16" spans="1:25">
      <c r="A16">
        <v>1248</v>
      </c>
      <c r="B16" s="1">
        <f t="shared" si="0"/>
        <v>20.8</v>
      </c>
      <c r="C16">
        <v>11</v>
      </c>
      <c r="D16" s="1">
        <v>20231901007</v>
      </c>
      <c r="E16">
        <v>1</v>
      </c>
      <c r="F16">
        <v>0</v>
      </c>
      <c r="G16">
        <v>0</v>
      </c>
      <c r="H16">
        <v>1</v>
      </c>
      <c r="I16">
        <v>1</v>
      </c>
      <c r="J16">
        <v>1</v>
      </c>
      <c r="K16">
        <v>1</v>
      </c>
      <c r="L16">
        <v>0</v>
      </c>
      <c r="M16">
        <v>1</v>
      </c>
      <c r="N16">
        <v>1</v>
      </c>
      <c r="O16">
        <v>0</v>
      </c>
      <c r="P16">
        <v>0</v>
      </c>
      <c r="Q16">
        <v>1</v>
      </c>
      <c r="R16">
        <v>1</v>
      </c>
      <c r="S16">
        <v>0</v>
      </c>
      <c r="T16">
        <v>0</v>
      </c>
      <c r="U16">
        <v>0</v>
      </c>
      <c r="V16">
        <v>1</v>
      </c>
      <c r="W16">
        <v>0</v>
      </c>
      <c r="X16">
        <v>1</v>
      </c>
      <c r="Y16">
        <v>0</v>
      </c>
    </row>
    <row r="17" spans="1:25">
      <c r="A17">
        <v>1471</v>
      </c>
      <c r="B17" s="1">
        <f t="shared" si="0"/>
        <v>24.516666666666701</v>
      </c>
      <c r="C17">
        <v>11</v>
      </c>
      <c r="D17" s="1">
        <v>202311061090</v>
      </c>
      <c r="E17">
        <v>0</v>
      </c>
      <c r="F17">
        <v>0</v>
      </c>
      <c r="G17">
        <v>0</v>
      </c>
      <c r="H17">
        <v>1</v>
      </c>
      <c r="I17">
        <v>1</v>
      </c>
      <c r="J17">
        <v>1</v>
      </c>
      <c r="K17">
        <v>0</v>
      </c>
      <c r="L17">
        <v>0</v>
      </c>
      <c r="M17">
        <v>1</v>
      </c>
      <c r="N17">
        <v>1</v>
      </c>
      <c r="O17">
        <v>0</v>
      </c>
      <c r="P17">
        <v>1</v>
      </c>
      <c r="Q17">
        <v>1</v>
      </c>
      <c r="R17">
        <v>0</v>
      </c>
      <c r="S17">
        <v>0</v>
      </c>
      <c r="T17">
        <v>1</v>
      </c>
      <c r="U17">
        <v>1</v>
      </c>
      <c r="V17">
        <v>0</v>
      </c>
      <c r="W17">
        <v>0</v>
      </c>
      <c r="X17">
        <v>1</v>
      </c>
      <c r="Y17">
        <v>1</v>
      </c>
    </row>
    <row r="18" spans="1:25">
      <c r="A18">
        <v>1639</v>
      </c>
      <c r="B18" s="1">
        <f t="shared" si="0"/>
        <v>27.316666666666698</v>
      </c>
      <c r="C18">
        <v>11</v>
      </c>
      <c r="D18" s="1">
        <v>202211061029</v>
      </c>
      <c r="E18">
        <v>1</v>
      </c>
      <c r="F18">
        <v>1</v>
      </c>
      <c r="G18">
        <v>0</v>
      </c>
      <c r="H18">
        <v>1</v>
      </c>
      <c r="I18">
        <v>1</v>
      </c>
      <c r="J18">
        <v>1</v>
      </c>
      <c r="K18">
        <v>1</v>
      </c>
      <c r="L18">
        <v>1</v>
      </c>
      <c r="M18">
        <v>0</v>
      </c>
      <c r="N18">
        <v>1</v>
      </c>
      <c r="O18">
        <v>0</v>
      </c>
      <c r="P18">
        <v>0</v>
      </c>
      <c r="Q18">
        <v>1</v>
      </c>
      <c r="R18">
        <v>1</v>
      </c>
      <c r="S18">
        <v>0</v>
      </c>
      <c r="T18">
        <v>1</v>
      </c>
      <c r="U18">
        <v>0</v>
      </c>
      <c r="V18">
        <v>0</v>
      </c>
      <c r="W18">
        <v>0</v>
      </c>
      <c r="X18">
        <v>0</v>
      </c>
      <c r="Y18">
        <v>0</v>
      </c>
    </row>
    <row r="19" spans="1:25">
      <c r="A19">
        <v>596</v>
      </c>
      <c r="B19" s="1">
        <f t="shared" si="0"/>
        <v>9.93333333333333</v>
      </c>
      <c r="C19">
        <v>12</v>
      </c>
      <c r="D19" s="1">
        <v>202211998373</v>
      </c>
      <c r="E19">
        <v>1</v>
      </c>
      <c r="F19">
        <v>1</v>
      </c>
      <c r="G19">
        <v>1</v>
      </c>
      <c r="H19">
        <v>1</v>
      </c>
      <c r="I19">
        <v>1</v>
      </c>
      <c r="J19">
        <v>0</v>
      </c>
      <c r="K19">
        <v>1</v>
      </c>
      <c r="L19">
        <v>0</v>
      </c>
      <c r="M19">
        <v>1</v>
      </c>
      <c r="N19">
        <v>1</v>
      </c>
      <c r="O19">
        <v>0</v>
      </c>
      <c r="P19">
        <v>0</v>
      </c>
      <c r="Q19">
        <v>1</v>
      </c>
      <c r="R19">
        <v>1</v>
      </c>
      <c r="S19">
        <v>0</v>
      </c>
      <c r="T19">
        <v>1</v>
      </c>
      <c r="U19">
        <v>0</v>
      </c>
      <c r="V19">
        <v>0</v>
      </c>
      <c r="W19">
        <v>1</v>
      </c>
      <c r="X19">
        <v>0</v>
      </c>
      <c r="Y19">
        <v>0</v>
      </c>
    </row>
    <row r="20" spans="1:25">
      <c r="A20">
        <v>649</v>
      </c>
      <c r="B20" s="1">
        <f t="shared" si="0"/>
        <v>10.8166666666667</v>
      </c>
      <c r="C20">
        <v>12</v>
      </c>
      <c r="D20" s="1">
        <v>202211061001</v>
      </c>
      <c r="E20">
        <v>1</v>
      </c>
      <c r="F20">
        <v>1</v>
      </c>
      <c r="G20">
        <v>0</v>
      </c>
      <c r="H20">
        <v>1</v>
      </c>
      <c r="I20">
        <v>1</v>
      </c>
      <c r="J20">
        <v>1</v>
      </c>
      <c r="K20">
        <v>0</v>
      </c>
      <c r="L20">
        <v>1</v>
      </c>
      <c r="M20">
        <v>0</v>
      </c>
      <c r="N20">
        <v>0</v>
      </c>
      <c r="O20">
        <v>0</v>
      </c>
      <c r="P20">
        <v>1</v>
      </c>
      <c r="Q20">
        <v>1</v>
      </c>
      <c r="R20">
        <v>1</v>
      </c>
      <c r="S20">
        <v>1</v>
      </c>
      <c r="T20">
        <v>0</v>
      </c>
      <c r="U20">
        <v>0</v>
      </c>
      <c r="V20">
        <v>0</v>
      </c>
      <c r="W20">
        <v>1</v>
      </c>
      <c r="X20">
        <v>1</v>
      </c>
      <c r="Y20">
        <v>0</v>
      </c>
    </row>
    <row r="21" spans="1:25">
      <c r="A21">
        <v>774</v>
      </c>
      <c r="B21" s="1">
        <f t="shared" si="0"/>
        <v>12.9</v>
      </c>
      <c r="C21">
        <v>12</v>
      </c>
      <c r="D21" s="1">
        <v>202311998019</v>
      </c>
      <c r="E21">
        <v>0</v>
      </c>
      <c r="F21">
        <v>1</v>
      </c>
      <c r="G21">
        <v>0</v>
      </c>
      <c r="H21">
        <v>1</v>
      </c>
      <c r="I21">
        <v>1</v>
      </c>
      <c r="J21">
        <v>1</v>
      </c>
      <c r="K21">
        <v>1</v>
      </c>
      <c r="L21">
        <v>1</v>
      </c>
      <c r="M21">
        <v>1</v>
      </c>
      <c r="N21">
        <v>0</v>
      </c>
      <c r="O21">
        <v>0</v>
      </c>
      <c r="P21">
        <v>0</v>
      </c>
      <c r="Q21">
        <v>1</v>
      </c>
      <c r="R21">
        <v>1</v>
      </c>
      <c r="S21">
        <v>0</v>
      </c>
      <c r="T21">
        <v>1</v>
      </c>
      <c r="U21">
        <v>1</v>
      </c>
      <c r="V21">
        <v>1</v>
      </c>
      <c r="W21">
        <v>0</v>
      </c>
      <c r="X21">
        <v>0</v>
      </c>
      <c r="Y21">
        <v>0</v>
      </c>
    </row>
    <row r="22" spans="1:25">
      <c r="A22">
        <v>809</v>
      </c>
      <c r="B22" s="1">
        <f t="shared" si="0"/>
        <v>13.483333333333301</v>
      </c>
      <c r="C22">
        <v>12</v>
      </c>
      <c r="D22" s="1">
        <v>202311061034</v>
      </c>
      <c r="E22">
        <v>0</v>
      </c>
      <c r="F22">
        <v>0</v>
      </c>
      <c r="G22">
        <v>0</v>
      </c>
      <c r="H22">
        <v>1</v>
      </c>
      <c r="I22">
        <v>1</v>
      </c>
      <c r="J22">
        <v>1</v>
      </c>
      <c r="K22">
        <v>1</v>
      </c>
      <c r="L22">
        <v>0</v>
      </c>
      <c r="M22">
        <v>1</v>
      </c>
      <c r="N22">
        <v>1</v>
      </c>
      <c r="O22">
        <v>0</v>
      </c>
      <c r="P22">
        <v>0</v>
      </c>
      <c r="Q22">
        <v>1</v>
      </c>
      <c r="R22">
        <v>0</v>
      </c>
      <c r="S22">
        <v>0</v>
      </c>
      <c r="T22">
        <v>1</v>
      </c>
      <c r="U22">
        <v>1</v>
      </c>
      <c r="V22">
        <v>1</v>
      </c>
      <c r="W22">
        <v>0</v>
      </c>
      <c r="X22">
        <v>1</v>
      </c>
      <c r="Y22">
        <v>1</v>
      </c>
    </row>
    <row r="23" spans="1:25">
      <c r="A23">
        <v>847</v>
      </c>
      <c r="B23" s="1">
        <f t="shared" si="0"/>
        <v>14.116666666666699</v>
      </c>
      <c r="C23">
        <v>12</v>
      </c>
      <c r="D23" s="1">
        <v>202311998378</v>
      </c>
      <c r="E23">
        <v>1</v>
      </c>
      <c r="F23">
        <v>1</v>
      </c>
      <c r="G23">
        <v>1</v>
      </c>
      <c r="H23">
        <v>1</v>
      </c>
      <c r="I23">
        <v>1</v>
      </c>
      <c r="J23">
        <v>1</v>
      </c>
      <c r="K23">
        <v>1</v>
      </c>
      <c r="L23">
        <v>0</v>
      </c>
      <c r="M23">
        <v>0</v>
      </c>
      <c r="N23">
        <v>1</v>
      </c>
      <c r="O23">
        <v>0</v>
      </c>
      <c r="P23">
        <v>1</v>
      </c>
      <c r="Q23">
        <v>0</v>
      </c>
      <c r="R23">
        <v>1</v>
      </c>
      <c r="S23">
        <v>0</v>
      </c>
      <c r="T23">
        <v>0</v>
      </c>
      <c r="U23">
        <v>1</v>
      </c>
      <c r="V23">
        <v>0</v>
      </c>
      <c r="W23">
        <v>0</v>
      </c>
      <c r="X23">
        <v>1</v>
      </c>
      <c r="Y23">
        <v>0</v>
      </c>
    </row>
    <row r="24" spans="1:25">
      <c r="A24">
        <v>860</v>
      </c>
      <c r="B24" s="1">
        <f t="shared" si="0"/>
        <v>14.3333333333333</v>
      </c>
      <c r="C24">
        <v>12</v>
      </c>
      <c r="D24" s="1">
        <v>202319061005</v>
      </c>
      <c r="E24">
        <v>0</v>
      </c>
      <c r="F24">
        <v>0</v>
      </c>
      <c r="G24">
        <v>0</v>
      </c>
      <c r="H24">
        <v>1</v>
      </c>
      <c r="I24">
        <v>1</v>
      </c>
      <c r="J24">
        <v>1</v>
      </c>
      <c r="K24">
        <v>1</v>
      </c>
      <c r="L24">
        <v>1</v>
      </c>
      <c r="M24">
        <v>1</v>
      </c>
      <c r="N24">
        <v>0</v>
      </c>
      <c r="O24">
        <v>1</v>
      </c>
      <c r="P24">
        <v>0</v>
      </c>
      <c r="Q24">
        <v>1</v>
      </c>
      <c r="R24">
        <v>0</v>
      </c>
      <c r="S24">
        <v>0</v>
      </c>
      <c r="T24">
        <v>1</v>
      </c>
      <c r="U24">
        <v>0</v>
      </c>
      <c r="V24">
        <v>0</v>
      </c>
      <c r="W24">
        <v>1</v>
      </c>
      <c r="X24">
        <v>1</v>
      </c>
      <c r="Y24">
        <v>1</v>
      </c>
    </row>
    <row r="25" spans="1:25">
      <c r="A25">
        <v>919</v>
      </c>
      <c r="B25" s="1">
        <f t="shared" si="0"/>
        <v>15.3166666666667</v>
      </c>
      <c r="C25">
        <v>12</v>
      </c>
      <c r="D25" s="1">
        <v>202311061053</v>
      </c>
      <c r="E25">
        <v>0</v>
      </c>
      <c r="F25">
        <v>1</v>
      </c>
      <c r="G25">
        <v>0</v>
      </c>
      <c r="H25">
        <v>1</v>
      </c>
      <c r="I25">
        <v>1</v>
      </c>
      <c r="J25">
        <v>1</v>
      </c>
      <c r="K25">
        <v>1</v>
      </c>
      <c r="L25">
        <v>0</v>
      </c>
      <c r="M25">
        <v>1</v>
      </c>
      <c r="N25">
        <v>1</v>
      </c>
      <c r="O25">
        <v>1</v>
      </c>
      <c r="P25">
        <v>1</v>
      </c>
      <c r="Q25">
        <v>1</v>
      </c>
      <c r="R25">
        <v>1</v>
      </c>
      <c r="S25">
        <v>0</v>
      </c>
      <c r="T25">
        <v>0</v>
      </c>
      <c r="U25">
        <v>0</v>
      </c>
      <c r="V25">
        <v>0</v>
      </c>
      <c r="W25">
        <v>0</v>
      </c>
      <c r="X25">
        <v>1</v>
      </c>
      <c r="Y25">
        <v>0</v>
      </c>
    </row>
    <row r="26" spans="1:25">
      <c r="A26">
        <v>1033</v>
      </c>
      <c r="B26" s="1">
        <f t="shared" si="0"/>
        <v>17.216666666666701</v>
      </c>
      <c r="C26">
        <v>12</v>
      </c>
      <c r="D26" s="1">
        <v>202311061057</v>
      </c>
      <c r="E26">
        <v>1</v>
      </c>
      <c r="F26">
        <v>1</v>
      </c>
      <c r="G26">
        <v>0</v>
      </c>
      <c r="H26">
        <v>1</v>
      </c>
      <c r="I26">
        <v>1</v>
      </c>
      <c r="J26">
        <v>1</v>
      </c>
      <c r="K26">
        <v>1</v>
      </c>
      <c r="L26">
        <v>0</v>
      </c>
      <c r="M26">
        <v>1</v>
      </c>
      <c r="N26">
        <v>0</v>
      </c>
      <c r="O26">
        <v>0</v>
      </c>
      <c r="P26">
        <v>0</v>
      </c>
      <c r="Q26">
        <v>1</v>
      </c>
      <c r="R26">
        <v>1</v>
      </c>
      <c r="S26">
        <v>1</v>
      </c>
      <c r="T26">
        <v>1</v>
      </c>
      <c r="U26">
        <v>1</v>
      </c>
      <c r="V26">
        <v>0</v>
      </c>
      <c r="W26">
        <v>0</v>
      </c>
      <c r="X26">
        <v>0</v>
      </c>
      <c r="Y26">
        <v>0</v>
      </c>
    </row>
    <row r="27" spans="1:25">
      <c r="A27">
        <v>1197</v>
      </c>
      <c r="B27" s="1">
        <f t="shared" si="0"/>
        <v>19.95</v>
      </c>
      <c r="C27">
        <v>12</v>
      </c>
      <c r="D27" s="1">
        <v>202211998035</v>
      </c>
      <c r="E27">
        <v>0</v>
      </c>
      <c r="F27">
        <v>0</v>
      </c>
      <c r="G27">
        <v>0</v>
      </c>
      <c r="H27">
        <v>1</v>
      </c>
      <c r="I27">
        <v>1</v>
      </c>
      <c r="J27">
        <v>1</v>
      </c>
      <c r="K27">
        <v>1</v>
      </c>
      <c r="L27">
        <v>0</v>
      </c>
      <c r="M27">
        <v>0</v>
      </c>
      <c r="N27">
        <v>1</v>
      </c>
      <c r="O27">
        <v>1</v>
      </c>
      <c r="P27">
        <v>1</v>
      </c>
      <c r="Q27">
        <v>1</v>
      </c>
      <c r="R27">
        <v>1</v>
      </c>
      <c r="S27">
        <v>1</v>
      </c>
      <c r="T27">
        <v>1</v>
      </c>
      <c r="U27">
        <v>1</v>
      </c>
      <c r="V27">
        <v>0</v>
      </c>
      <c r="W27">
        <v>0</v>
      </c>
      <c r="X27">
        <v>0</v>
      </c>
      <c r="Y27">
        <v>0</v>
      </c>
    </row>
    <row r="28" spans="1:25">
      <c r="A28">
        <v>1246</v>
      </c>
      <c r="B28" s="1">
        <f t="shared" si="0"/>
        <v>20.766666666666701</v>
      </c>
      <c r="C28">
        <v>12</v>
      </c>
      <c r="D28" s="1">
        <v>202211061086</v>
      </c>
      <c r="E28">
        <v>0</v>
      </c>
      <c r="F28">
        <v>1</v>
      </c>
      <c r="G28">
        <v>1</v>
      </c>
      <c r="H28">
        <v>1</v>
      </c>
      <c r="I28">
        <v>1</v>
      </c>
      <c r="J28">
        <v>0</v>
      </c>
      <c r="K28">
        <v>1</v>
      </c>
      <c r="L28">
        <v>0</v>
      </c>
      <c r="M28">
        <v>1</v>
      </c>
      <c r="N28">
        <v>1</v>
      </c>
      <c r="O28">
        <v>0</v>
      </c>
      <c r="P28">
        <v>1</v>
      </c>
      <c r="Q28">
        <v>1</v>
      </c>
      <c r="R28">
        <v>1</v>
      </c>
      <c r="S28">
        <v>1</v>
      </c>
      <c r="T28">
        <v>0</v>
      </c>
      <c r="U28">
        <v>0</v>
      </c>
      <c r="V28">
        <v>0</v>
      </c>
      <c r="W28">
        <v>1</v>
      </c>
      <c r="X28">
        <v>0</v>
      </c>
      <c r="Y28">
        <v>0</v>
      </c>
    </row>
    <row r="29" spans="1:25">
      <c r="A29">
        <v>501</v>
      </c>
      <c r="B29" s="1">
        <f t="shared" si="0"/>
        <v>8.35</v>
      </c>
      <c r="C29">
        <v>13</v>
      </c>
      <c r="D29" s="1">
        <v>202211061091</v>
      </c>
      <c r="E29">
        <v>0</v>
      </c>
      <c r="F29">
        <v>1</v>
      </c>
      <c r="G29">
        <v>0</v>
      </c>
      <c r="H29">
        <v>1</v>
      </c>
      <c r="I29">
        <v>1</v>
      </c>
      <c r="J29">
        <v>1</v>
      </c>
      <c r="K29">
        <v>1</v>
      </c>
      <c r="L29">
        <v>1</v>
      </c>
      <c r="M29">
        <v>0</v>
      </c>
      <c r="N29">
        <v>1</v>
      </c>
      <c r="O29">
        <v>1</v>
      </c>
      <c r="P29">
        <v>1</v>
      </c>
      <c r="Q29">
        <v>1</v>
      </c>
      <c r="R29">
        <v>0</v>
      </c>
      <c r="S29">
        <v>1</v>
      </c>
      <c r="T29">
        <v>0</v>
      </c>
      <c r="U29">
        <v>1</v>
      </c>
      <c r="V29">
        <v>0</v>
      </c>
      <c r="W29">
        <v>0</v>
      </c>
      <c r="X29">
        <v>1</v>
      </c>
      <c r="Y29">
        <v>0</v>
      </c>
    </row>
    <row r="30" spans="1:25">
      <c r="A30">
        <v>557</v>
      </c>
      <c r="B30" s="1">
        <f t="shared" si="0"/>
        <v>9.2833333333333297</v>
      </c>
      <c r="C30">
        <v>13</v>
      </c>
      <c r="D30" s="1">
        <v>202211061048</v>
      </c>
      <c r="E30">
        <v>0</v>
      </c>
      <c r="F30">
        <v>1</v>
      </c>
      <c r="G30">
        <v>1</v>
      </c>
      <c r="H30">
        <v>1</v>
      </c>
      <c r="I30">
        <v>1</v>
      </c>
      <c r="J30">
        <v>1</v>
      </c>
      <c r="K30">
        <v>0</v>
      </c>
      <c r="L30">
        <v>1</v>
      </c>
      <c r="M30">
        <v>1</v>
      </c>
      <c r="N30">
        <v>0</v>
      </c>
      <c r="O30">
        <v>0</v>
      </c>
      <c r="P30">
        <v>0</v>
      </c>
      <c r="Q30">
        <v>0</v>
      </c>
      <c r="R30">
        <v>1</v>
      </c>
      <c r="S30">
        <v>1</v>
      </c>
      <c r="T30">
        <v>0</v>
      </c>
      <c r="U30">
        <v>1</v>
      </c>
      <c r="V30">
        <v>0</v>
      </c>
      <c r="W30">
        <v>1</v>
      </c>
      <c r="X30">
        <v>1</v>
      </c>
      <c r="Y30">
        <v>1</v>
      </c>
    </row>
    <row r="31" spans="1:25">
      <c r="A31">
        <v>594</v>
      </c>
      <c r="B31" s="1">
        <f t="shared" si="0"/>
        <v>9.9</v>
      </c>
      <c r="C31">
        <v>13</v>
      </c>
      <c r="D31" s="1">
        <v>202211061055</v>
      </c>
      <c r="E31">
        <v>1</v>
      </c>
      <c r="F31">
        <v>1</v>
      </c>
      <c r="G31">
        <v>0</v>
      </c>
      <c r="H31">
        <v>1</v>
      </c>
      <c r="I31">
        <v>1</v>
      </c>
      <c r="J31">
        <v>1</v>
      </c>
      <c r="K31">
        <v>1</v>
      </c>
      <c r="L31">
        <v>1</v>
      </c>
      <c r="M31">
        <v>1</v>
      </c>
      <c r="N31">
        <v>1</v>
      </c>
      <c r="O31">
        <v>1</v>
      </c>
      <c r="P31">
        <v>0</v>
      </c>
      <c r="Q31">
        <v>1</v>
      </c>
      <c r="R31">
        <v>1</v>
      </c>
      <c r="S31">
        <v>1</v>
      </c>
      <c r="T31">
        <v>0</v>
      </c>
      <c r="U31">
        <v>0</v>
      </c>
      <c r="V31">
        <v>0</v>
      </c>
      <c r="W31">
        <v>0</v>
      </c>
      <c r="X31">
        <v>0</v>
      </c>
      <c r="Y31">
        <v>0</v>
      </c>
    </row>
    <row r="32" spans="1:25">
      <c r="A32">
        <v>614</v>
      </c>
      <c r="B32" s="1">
        <f t="shared" si="0"/>
        <v>10.233333333333301</v>
      </c>
      <c r="C32">
        <v>13</v>
      </c>
      <c r="D32" s="1">
        <v>202211061061</v>
      </c>
      <c r="E32">
        <v>1</v>
      </c>
      <c r="F32">
        <v>1</v>
      </c>
      <c r="G32">
        <v>0</v>
      </c>
      <c r="H32">
        <v>1</v>
      </c>
      <c r="I32">
        <v>1</v>
      </c>
      <c r="J32">
        <v>1</v>
      </c>
      <c r="K32">
        <v>1</v>
      </c>
      <c r="L32">
        <v>1</v>
      </c>
      <c r="M32">
        <v>0</v>
      </c>
      <c r="N32">
        <v>1</v>
      </c>
      <c r="O32">
        <v>0</v>
      </c>
      <c r="P32">
        <v>1</v>
      </c>
      <c r="Q32">
        <v>1</v>
      </c>
      <c r="R32">
        <v>1</v>
      </c>
      <c r="S32">
        <v>1</v>
      </c>
      <c r="T32">
        <v>1</v>
      </c>
      <c r="U32">
        <v>0</v>
      </c>
      <c r="V32">
        <v>0</v>
      </c>
      <c r="W32">
        <v>0</v>
      </c>
      <c r="X32">
        <v>0</v>
      </c>
      <c r="Y32">
        <v>0</v>
      </c>
    </row>
    <row r="33" spans="1:25">
      <c r="A33">
        <v>770</v>
      </c>
      <c r="B33" s="1">
        <f t="shared" si="0"/>
        <v>12.8333333333333</v>
      </c>
      <c r="C33">
        <v>13</v>
      </c>
      <c r="D33" s="1">
        <v>202211061027</v>
      </c>
      <c r="E33">
        <v>0</v>
      </c>
      <c r="F33">
        <v>1</v>
      </c>
      <c r="G33">
        <v>0</v>
      </c>
      <c r="H33">
        <v>1</v>
      </c>
      <c r="I33">
        <v>1</v>
      </c>
      <c r="J33">
        <v>1</v>
      </c>
      <c r="K33">
        <v>1</v>
      </c>
      <c r="L33">
        <v>0</v>
      </c>
      <c r="M33">
        <v>0</v>
      </c>
      <c r="N33">
        <v>1</v>
      </c>
      <c r="O33">
        <v>0</v>
      </c>
      <c r="P33">
        <v>1</v>
      </c>
      <c r="Q33">
        <v>1</v>
      </c>
      <c r="R33">
        <v>1</v>
      </c>
      <c r="S33">
        <v>1</v>
      </c>
      <c r="T33">
        <v>0</v>
      </c>
      <c r="U33">
        <v>0</v>
      </c>
      <c r="V33">
        <v>0</v>
      </c>
      <c r="W33">
        <v>1</v>
      </c>
      <c r="X33">
        <v>1</v>
      </c>
      <c r="Y33">
        <v>1</v>
      </c>
    </row>
    <row r="34" spans="1:25">
      <c r="A34">
        <v>816</v>
      </c>
      <c r="B34" s="1">
        <f t="shared" si="0"/>
        <v>13.6</v>
      </c>
      <c r="C34">
        <v>13</v>
      </c>
      <c r="D34" s="1">
        <v>202211061020</v>
      </c>
      <c r="E34">
        <v>1</v>
      </c>
      <c r="F34">
        <v>1</v>
      </c>
      <c r="G34">
        <v>0</v>
      </c>
      <c r="H34">
        <v>1</v>
      </c>
      <c r="I34">
        <v>1</v>
      </c>
      <c r="J34">
        <v>1</v>
      </c>
      <c r="K34">
        <v>1</v>
      </c>
      <c r="L34">
        <v>0</v>
      </c>
      <c r="M34">
        <v>1</v>
      </c>
      <c r="N34">
        <v>1</v>
      </c>
      <c r="O34">
        <v>1</v>
      </c>
      <c r="P34">
        <v>0</v>
      </c>
      <c r="Q34">
        <v>1</v>
      </c>
      <c r="R34">
        <v>1</v>
      </c>
      <c r="S34">
        <v>1</v>
      </c>
      <c r="T34">
        <v>0</v>
      </c>
      <c r="U34">
        <v>0</v>
      </c>
      <c r="V34">
        <v>0</v>
      </c>
      <c r="W34">
        <v>1</v>
      </c>
      <c r="X34">
        <v>0</v>
      </c>
      <c r="Y34">
        <v>0</v>
      </c>
    </row>
    <row r="35" spans="1:25">
      <c r="A35">
        <v>851</v>
      </c>
      <c r="B35" s="1">
        <f t="shared" si="0"/>
        <v>14.1833333333333</v>
      </c>
      <c r="C35">
        <v>13</v>
      </c>
      <c r="D35" s="1">
        <v>202311061036</v>
      </c>
      <c r="E35">
        <v>0</v>
      </c>
      <c r="F35">
        <v>1</v>
      </c>
      <c r="G35">
        <v>0</v>
      </c>
      <c r="H35">
        <v>1</v>
      </c>
      <c r="I35">
        <v>1</v>
      </c>
      <c r="J35">
        <v>1</v>
      </c>
      <c r="K35">
        <v>0</v>
      </c>
      <c r="L35">
        <v>0</v>
      </c>
      <c r="M35">
        <v>1</v>
      </c>
      <c r="N35">
        <v>1</v>
      </c>
      <c r="O35">
        <v>1</v>
      </c>
      <c r="P35">
        <v>0</v>
      </c>
      <c r="Q35">
        <v>1</v>
      </c>
      <c r="R35">
        <v>1</v>
      </c>
      <c r="S35">
        <v>0</v>
      </c>
      <c r="T35">
        <v>1</v>
      </c>
      <c r="U35">
        <v>0</v>
      </c>
      <c r="V35">
        <v>1</v>
      </c>
      <c r="W35">
        <v>1</v>
      </c>
      <c r="X35">
        <v>1</v>
      </c>
      <c r="Y35">
        <v>0</v>
      </c>
    </row>
    <row r="36" spans="1:25">
      <c r="A36">
        <v>853</v>
      </c>
      <c r="B36" s="1">
        <f t="shared" si="0"/>
        <v>14.216666666666701</v>
      </c>
      <c r="C36">
        <v>13</v>
      </c>
      <c r="D36" s="1">
        <v>202311061031</v>
      </c>
      <c r="E36">
        <v>1</v>
      </c>
      <c r="F36">
        <v>1</v>
      </c>
      <c r="G36">
        <v>1</v>
      </c>
      <c r="H36">
        <v>1</v>
      </c>
      <c r="I36">
        <v>1</v>
      </c>
      <c r="J36">
        <v>0</v>
      </c>
      <c r="K36">
        <v>1</v>
      </c>
      <c r="L36">
        <v>0</v>
      </c>
      <c r="M36">
        <v>1</v>
      </c>
      <c r="N36">
        <v>1</v>
      </c>
      <c r="O36">
        <v>1</v>
      </c>
      <c r="P36">
        <v>1</v>
      </c>
      <c r="Q36">
        <v>1</v>
      </c>
      <c r="R36">
        <v>1</v>
      </c>
      <c r="S36">
        <v>1</v>
      </c>
      <c r="T36">
        <v>0</v>
      </c>
      <c r="U36">
        <v>0</v>
      </c>
      <c r="V36">
        <v>0</v>
      </c>
      <c r="W36">
        <v>0</v>
      </c>
      <c r="X36">
        <v>0</v>
      </c>
      <c r="Y36">
        <v>0</v>
      </c>
    </row>
    <row r="37" spans="1:25">
      <c r="A37">
        <v>854</v>
      </c>
      <c r="B37" s="1">
        <f t="shared" si="0"/>
        <v>14.233333333333301</v>
      </c>
      <c r="C37">
        <v>13</v>
      </c>
      <c r="D37" s="1">
        <v>202211061030</v>
      </c>
      <c r="E37">
        <v>0</v>
      </c>
      <c r="F37">
        <v>1</v>
      </c>
      <c r="G37">
        <v>0</v>
      </c>
      <c r="H37">
        <v>1</v>
      </c>
      <c r="I37">
        <v>1</v>
      </c>
      <c r="J37">
        <v>1</v>
      </c>
      <c r="K37">
        <v>1</v>
      </c>
      <c r="L37">
        <v>1</v>
      </c>
      <c r="M37">
        <v>1</v>
      </c>
      <c r="N37">
        <v>0</v>
      </c>
      <c r="O37">
        <v>1</v>
      </c>
      <c r="P37">
        <v>0</v>
      </c>
      <c r="Q37">
        <v>1</v>
      </c>
      <c r="R37">
        <v>1</v>
      </c>
      <c r="S37">
        <v>1</v>
      </c>
      <c r="T37">
        <v>1</v>
      </c>
      <c r="U37">
        <v>0</v>
      </c>
      <c r="V37">
        <v>0</v>
      </c>
      <c r="W37">
        <v>0</v>
      </c>
      <c r="X37">
        <v>1</v>
      </c>
      <c r="Y37">
        <v>0</v>
      </c>
    </row>
    <row r="38" spans="1:25">
      <c r="A38">
        <v>962</v>
      </c>
      <c r="B38" s="1">
        <f t="shared" si="0"/>
        <v>16.033333333333299</v>
      </c>
      <c r="C38">
        <v>13</v>
      </c>
      <c r="D38" s="1">
        <v>202311061024</v>
      </c>
      <c r="E38">
        <v>1</v>
      </c>
      <c r="F38">
        <v>1</v>
      </c>
      <c r="G38">
        <v>0</v>
      </c>
      <c r="H38">
        <v>1</v>
      </c>
      <c r="I38">
        <v>1</v>
      </c>
      <c r="J38">
        <v>1</v>
      </c>
      <c r="K38">
        <v>1</v>
      </c>
      <c r="L38">
        <v>0</v>
      </c>
      <c r="M38">
        <v>0</v>
      </c>
      <c r="N38">
        <v>1</v>
      </c>
      <c r="O38">
        <v>0</v>
      </c>
      <c r="P38">
        <v>0</v>
      </c>
      <c r="Q38">
        <v>1</v>
      </c>
      <c r="R38">
        <v>1</v>
      </c>
      <c r="S38">
        <v>1</v>
      </c>
      <c r="T38">
        <v>1</v>
      </c>
      <c r="U38">
        <v>0</v>
      </c>
      <c r="V38">
        <v>0</v>
      </c>
      <c r="W38">
        <v>1</v>
      </c>
      <c r="X38">
        <v>0</v>
      </c>
      <c r="Y38">
        <v>1</v>
      </c>
    </row>
    <row r="39" spans="1:25">
      <c r="A39">
        <v>1068</v>
      </c>
      <c r="B39" s="1">
        <f t="shared" si="0"/>
        <v>17.8</v>
      </c>
      <c r="C39">
        <v>13</v>
      </c>
      <c r="D39" s="1">
        <v>202211061080</v>
      </c>
      <c r="E39">
        <v>0</v>
      </c>
      <c r="F39">
        <v>1</v>
      </c>
      <c r="G39">
        <v>0</v>
      </c>
      <c r="H39">
        <v>1</v>
      </c>
      <c r="I39">
        <v>1</v>
      </c>
      <c r="J39">
        <v>1</v>
      </c>
      <c r="K39">
        <v>1</v>
      </c>
      <c r="L39">
        <v>0</v>
      </c>
      <c r="M39">
        <v>0</v>
      </c>
      <c r="N39">
        <v>1</v>
      </c>
      <c r="O39">
        <v>1</v>
      </c>
      <c r="P39">
        <v>1</v>
      </c>
      <c r="Q39">
        <v>0</v>
      </c>
      <c r="R39">
        <v>1</v>
      </c>
      <c r="S39">
        <v>1</v>
      </c>
      <c r="T39">
        <v>1</v>
      </c>
      <c r="U39">
        <v>1</v>
      </c>
      <c r="V39">
        <v>0</v>
      </c>
      <c r="W39">
        <v>1</v>
      </c>
      <c r="X39">
        <v>0</v>
      </c>
      <c r="Y39">
        <v>0</v>
      </c>
    </row>
    <row r="40" spans="1:25">
      <c r="A40">
        <v>1185</v>
      </c>
      <c r="B40" s="1">
        <f t="shared" si="0"/>
        <v>19.75</v>
      </c>
      <c r="C40">
        <v>13</v>
      </c>
      <c r="D40" s="1">
        <v>202311061056</v>
      </c>
      <c r="E40">
        <v>1</v>
      </c>
      <c r="F40">
        <v>0</v>
      </c>
      <c r="G40">
        <v>1</v>
      </c>
      <c r="H40">
        <v>1</v>
      </c>
      <c r="I40">
        <v>1</v>
      </c>
      <c r="J40">
        <v>1</v>
      </c>
      <c r="K40">
        <v>0</v>
      </c>
      <c r="L40">
        <v>1</v>
      </c>
      <c r="M40">
        <v>1</v>
      </c>
      <c r="N40">
        <v>1</v>
      </c>
      <c r="O40">
        <v>0</v>
      </c>
      <c r="P40">
        <v>0</v>
      </c>
      <c r="Q40">
        <v>1</v>
      </c>
      <c r="R40">
        <v>1</v>
      </c>
      <c r="S40">
        <v>1</v>
      </c>
      <c r="T40">
        <v>1</v>
      </c>
      <c r="U40">
        <v>0</v>
      </c>
      <c r="V40">
        <v>1</v>
      </c>
      <c r="W40">
        <v>0</v>
      </c>
      <c r="X40">
        <v>0</v>
      </c>
      <c r="Y40">
        <v>0</v>
      </c>
    </row>
    <row r="41" spans="1:25">
      <c r="A41">
        <v>1241</v>
      </c>
      <c r="B41" s="1">
        <f t="shared" si="0"/>
        <v>20.683333333333302</v>
      </c>
      <c r="C41">
        <v>13</v>
      </c>
      <c r="D41" s="1">
        <v>202211061032</v>
      </c>
      <c r="E41">
        <v>1</v>
      </c>
      <c r="F41">
        <v>1</v>
      </c>
      <c r="G41">
        <v>0</v>
      </c>
      <c r="H41">
        <v>1</v>
      </c>
      <c r="I41">
        <v>1</v>
      </c>
      <c r="J41">
        <v>1</v>
      </c>
      <c r="K41">
        <v>1</v>
      </c>
      <c r="L41">
        <v>1</v>
      </c>
      <c r="M41">
        <v>0</v>
      </c>
      <c r="N41">
        <v>0</v>
      </c>
      <c r="O41">
        <v>1</v>
      </c>
      <c r="P41">
        <v>1</v>
      </c>
      <c r="Q41">
        <v>1</v>
      </c>
      <c r="R41">
        <v>1</v>
      </c>
      <c r="S41">
        <v>0</v>
      </c>
      <c r="T41">
        <v>0</v>
      </c>
      <c r="U41">
        <v>0</v>
      </c>
      <c r="V41">
        <v>0</v>
      </c>
      <c r="W41">
        <v>1</v>
      </c>
      <c r="X41">
        <v>0</v>
      </c>
      <c r="Y41">
        <v>1</v>
      </c>
    </row>
    <row r="42" spans="1:25">
      <c r="A42">
        <v>1319</v>
      </c>
      <c r="B42" s="1">
        <f t="shared" si="0"/>
        <v>21.983333333333299</v>
      </c>
      <c r="C42">
        <v>13</v>
      </c>
      <c r="D42" s="1">
        <v>202211061100</v>
      </c>
      <c r="E42">
        <v>0</v>
      </c>
      <c r="F42">
        <v>1</v>
      </c>
      <c r="G42">
        <v>0</v>
      </c>
      <c r="H42">
        <v>1</v>
      </c>
      <c r="I42">
        <v>1</v>
      </c>
      <c r="J42">
        <v>1</v>
      </c>
      <c r="K42">
        <v>1</v>
      </c>
      <c r="L42">
        <v>0</v>
      </c>
      <c r="M42">
        <v>1</v>
      </c>
      <c r="N42">
        <v>0</v>
      </c>
      <c r="O42">
        <v>0</v>
      </c>
      <c r="P42">
        <v>1</v>
      </c>
      <c r="Q42">
        <v>1</v>
      </c>
      <c r="R42">
        <v>1</v>
      </c>
      <c r="S42">
        <v>0</v>
      </c>
      <c r="T42">
        <v>0</v>
      </c>
      <c r="U42">
        <v>1</v>
      </c>
      <c r="V42">
        <v>0</v>
      </c>
      <c r="W42">
        <v>1</v>
      </c>
      <c r="X42">
        <v>1</v>
      </c>
      <c r="Y42">
        <v>1</v>
      </c>
    </row>
    <row r="43" spans="1:25">
      <c r="A43">
        <v>523</v>
      </c>
      <c r="B43" s="1">
        <f t="shared" si="0"/>
        <v>8.7166666666666703</v>
      </c>
      <c r="C43">
        <v>14</v>
      </c>
      <c r="D43" s="1">
        <v>202311061002</v>
      </c>
      <c r="E43">
        <v>1</v>
      </c>
      <c r="F43">
        <v>1</v>
      </c>
      <c r="G43">
        <v>1</v>
      </c>
      <c r="H43">
        <v>0</v>
      </c>
      <c r="I43">
        <v>1</v>
      </c>
      <c r="J43">
        <v>1</v>
      </c>
      <c r="K43">
        <v>1</v>
      </c>
      <c r="L43">
        <v>1</v>
      </c>
      <c r="M43">
        <v>1</v>
      </c>
      <c r="N43">
        <v>1</v>
      </c>
      <c r="O43">
        <v>0</v>
      </c>
      <c r="P43">
        <v>0</v>
      </c>
      <c r="Q43">
        <v>1</v>
      </c>
      <c r="R43">
        <v>1</v>
      </c>
      <c r="S43">
        <v>1</v>
      </c>
      <c r="T43">
        <v>0</v>
      </c>
      <c r="U43">
        <v>1</v>
      </c>
      <c r="V43">
        <v>1</v>
      </c>
      <c r="W43">
        <v>0</v>
      </c>
      <c r="X43">
        <v>0</v>
      </c>
      <c r="Y43">
        <v>0</v>
      </c>
    </row>
    <row r="44" spans="1:25">
      <c r="A44">
        <v>602</v>
      </c>
      <c r="B44" s="1">
        <f t="shared" si="0"/>
        <v>10.033333333333299</v>
      </c>
      <c r="C44">
        <v>14</v>
      </c>
      <c r="D44" s="1">
        <v>202211061044</v>
      </c>
      <c r="E44">
        <v>0</v>
      </c>
      <c r="F44">
        <v>0</v>
      </c>
      <c r="G44">
        <v>0</v>
      </c>
      <c r="H44">
        <v>0</v>
      </c>
      <c r="I44">
        <v>1</v>
      </c>
      <c r="J44">
        <v>1</v>
      </c>
      <c r="K44">
        <v>1</v>
      </c>
      <c r="L44">
        <v>1</v>
      </c>
      <c r="M44">
        <v>1</v>
      </c>
      <c r="N44">
        <v>1</v>
      </c>
      <c r="O44">
        <v>1</v>
      </c>
      <c r="P44">
        <v>1</v>
      </c>
      <c r="Q44">
        <v>1</v>
      </c>
      <c r="R44">
        <v>1</v>
      </c>
      <c r="S44">
        <v>0</v>
      </c>
      <c r="T44">
        <v>1</v>
      </c>
      <c r="U44">
        <v>1</v>
      </c>
      <c r="V44">
        <v>0</v>
      </c>
      <c r="W44">
        <v>0</v>
      </c>
      <c r="X44">
        <v>1</v>
      </c>
      <c r="Y44">
        <v>1</v>
      </c>
    </row>
    <row r="45" spans="1:25">
      <c r="A45">
        <v>712</v>
      </c>
      <c r="B45" s="1">
        <f t="shared" si="0"/>
        <v>11.866666666666699</v>
      </c>
      <c r="C45">
        <v>14</v>
      </c>
      <c r="D45" s="1">
        <v>202311061025</v>
      </c>
      <c r="E45">
        <v>1</v>
      </c>
      <c r="F45">
        <v>1</v>
      </c>
      <c r="G45">
        <v>0</v>
      </c>
      <c r="H45">
        <v>1</v>
      </c>
      <c r="I45">
        <v>1</v>
      </c>
      <c r="J45">
        <v>1</v>
      </c>
      <c r="K45">
        <v>1</v>
      </c>
      <c r="L45">
        <v>0</v>
      </c>
      <c r="M45">
        <v>1</v>
      </c>
      <c r="N45">
        <v>1</v>
      </c>
      <c r="O45">
        <v>0</v>
      </c>
      <c r="P45">
        <v>0</v>
      </c>
      <c r="Q45">
        <v>1</v>
      </c>
      <c r="R45">
        <v>1</v>
      </c>
      <c r="S45">
        <v>1</v>
      </c>
      <c r="T45">
        <v>1</v>
      </c>
      <c r="U45">
        <v>0</v>
      </c>
      <c r="V45">
        <v>1</v>
      </c>
      <c r="W45">
        <v>0</v>
      </c>
      <c r="X45">
        <v>1</v>
      </c>
      <c r="Y45">
        <v>0</v>
      </c>
    </row>
    <row r="46" spans="1:25">
      <c r="A46">
        <v>717</v>
      </c>
      <c r="B46" s="1">
        <f t="shared" si="0"/>
        <v>11.95</v>
      </c>
      <c r="C46">
        <v>14</v>
      </c>
      <c r="D46" s="1">
        <v>202311061012</v>
      </c>
      <c r="E46">
        <v>1</v>
      </c>
      <c r="F46">
        <v>1</v>
      </c>
      <c r="G46">
        <v>1</v>
      </c>
      <c r="H46">
        <v>1</v>
      </c>
      <c r="I46">
        <v>1</v>
      </c>
      <c r="J46">
        <v>1</v>
      </c>
      <c r="K46">
        <v>1</v>
      </c>
      <c r="L46">
        <v>0</v>
      </c>
      <c r="M46">
        <v>0</v>
      </c>
      <c r="N46">
        <v>1</v>
      </c>
      <c r="O46">
        <v>1</v>
      </c>
      <c r="P46">
        <v>0</v>
      </c>
      <c r="Q46">
        <v>1</v>
      </c>
      <c r="R46">
        <v>1</v>
      </c>
      <c r="S46">
        <v>1</v>
      </c>
      <c r="T46">
        <v>0</v>
      </c>
      <c r="U46">
        <v>0</v>
      </c>
      <c r="V46">
        <v>0</v>
      </c>
      <c r="W46">
        <v>1</v>
      </c>
      <c r="X46">
        <v>1</v>
      </c>
      <c r="Y46">
        <v>0</v>
      </c>
    </row>
    <row r="47" spans="1:25">
      <c r="A47">
        <v>770</v>
      </c>
      <c r="B47" s="1">
        <f t="shared" si="0"/>
        <v>12.8333333333333</v>
      </c>
      <c r="C47">
        <v>14</v>
      </c>
      <c r="D47" s="1">
        <v>202211061089</v>
      </c>
      <c r="E47">
        <v>0</v>
      </c>
      <c r="F47">
        <v>0</v>
      </c>
      <c r="G47">
        <v>0</v>
      </c>
      <c r="H47">
        <v>1</v>
      </c>
      <c r="I47">
        <v>1</v>
      </c>
      <c r="J47">
        <v>0</v>
      </c>
      <c r="K47">
        <v>1</v>
      </c>
      <c r="L47">
        <v>1</v>
      </c>
      <c r="M47">
        <v>1</v>
      </c>
      <c r="N47">
        <v>0</v>
      </c>
      <c r="O47">
        <v>1</v>
      </c>
      <c r="P47">
        <v>0</v>
      </c>
      <c r="Q47">
        <v>1</v>
      </c>
      <c r="R47">
        <v>1</v>
      </c>
      <c r="S47">
        <v>1</v>
      </c>
      <c r="T47">
        <v>1</v>
      </c>
      <c r="U47">
        <v>1</v>
      </c>
      <c r="V47">
        <v>1</v>
      </c>
      <c r="W47">
        <v>1</v>
      </c>
      <c r="X47">
        <v>1</v>
      </c>
      <c r="Y47">
        <v>0</v>
      </c>
    </row>
    <row r="48" spans="1:25">
      <c r="A48">
        <v>790</v>
      </c>
      <c r="B48" s="1">
        <f t="shared" si="0"/>
        <v>13.1666666666667</v>
      </c>
      <c r="C48">
        <v>14</v>
      </c>
      <c r="D48" s="1">
        <v>202311061016</v>
      </c>
      <c r="E48">
        <v>1</v>
      </c>
      <c r="F48">
        <v>1</v>
      </c>
      <c r="G48">
        <v>0</v>
      </c>
      <c r="H48">
        <v>1</v>
      </c>
      <c r="I48">
        <v>1</v>
      </c>
      <c r="J48">
        <v>1</v>
      </c>
      <c r="K48">
        <v>1</v>
      </c>
      <c r="L48">
        <v>0</v>
      </c>
      <c r="M48">
        <v>1</v>
      </c>
      <c r="N48">
        <v>1</v>
      </c>
      <c r="O48">
        <v>0</v>
      </c>
      <c r="P48">
        <v>0</v>
      </c>
      <c r="Q48">
        <v>1</v>
      </c>
      <c r="R48">
        <v>0</v>
      </c>
      <c r="S48">
        <v>1</v>
      </c>
      <c r="T48">
        <v>0</v>
      </c>
      <c r="U48">
        <v>1</v>
      </c>
      <c r="V48">
        <v>0</v>
      </c>
      <c r="W48">
        <v>1</v>
      </c>
      <c r="X48">
        <v>1</v>
      </c>
      <c r="Y48">
        <v>1</v>
      </c>
    </row>
    <row r="49" spans="1:25">
      <c r="A49">
        <v>864</v>
      </c>
      <c r="B49" s="1">
        <f t="shared" si="0"/>
        <v>14.4</v>
      </c>
      <c r="C49">
        <v>14</v>
      </c>
      <c r="D49" s="1">
        <v>20231106175</v>
      </c>
      <c r="E49">
        <v>1</v>
      </c>
      <c r="F49">
        <v>1</v>
      </c>
      <c r="G49">
        <v>0</v>
      </c>
      <c r="H49">
        <v>1</v>
      </c>
      <c r="I49">
        <v>1</v>
      </c>
      <c r="J49">
        <v>0</v>
      </c>
      <c r="K49">
        <v>1</v>
      </c>
      <c r="L49">
        <v>0</v>
      </c>
      <c r="M49">
        <v>0</v>
      </c>
      <c r="N49">
        <v>1</v>
      </c>
      <c r="O49">
        <v>1</v>
      </c>
      <c r="P49">
        <v>0</v>
      </c>
      <c r="Q49">
        <v>1</v>
      </c>
      <c r="R49">
        <v>1</v>
      </c>
      <c r="S49">
        <v>1</v>
      </c>
      <c r="T49">
        <v>1</v>
      </c>
      <c r="U49">
        <v>0</v>
      </c>
      <c r="V49">
        <v>1</v>
      </c>
      <c r="W49">
        <v>0</v>
      </c>
      <c r="X49">
        <v>1</v>
      </c>
      <c r="Y49">
        <v>1</v>
      </c>
    </row>
    <row r="50" spans="1:25">
      <c r="A50">
        <v>962</v>
      </c>
      <c r="B50" s="1">
        <f t="shared" si="0"/>
        <v>16.033333333333299</v>
      </c>
      <c r="C50">
        <v>14</v>
      </c>
      <c r="D50" s="1">
        <v>202311061005</v>
      </c>
      <c r="E50">
        <v>1</v>
      </c>
      <c r="F50">
        <v>1</v>
      </c>
      <c r="G50">
        <v>0</v>
      </c>
      <c r="H50">
        <v>1</v>
      </c>
      <c r="I50">
        <v>1</v>
      </c>
      <c r="J50">
        <v>1</v>
      </c>
      <c r="K50">
        <v>1</v>
      </c>
      <c r="L50">
        <v>0</v>
      </c>
      <c r="M50">
        <v>1</v>
      </c>
      <c r="N50">
        <v>1</v>
      </c>
      <c r="O50">
        <v>1</v>
      </c>
      <c r="P50">
        <v>0</v>
      </c>
      <c r="Q50">
        <v>1</v>
      </c>
      <c r="R50">
        <v>1</v>
      </c>
      <c r="S50">
        <v>0</v>
      </c>
      <c r="T50">
        <v>1</v>
      </c>
      <c r="U50">
        <v>0</v>
      </c>
      <c r="V50">
        <v>1</v>
      </c>
      <c r="W50">
        <v>0</v>
      </c>
      <c r="X50">
        <v>0</v>
      </c>
      <c r="Y50">
        <v>1</v>
      </c>
    </row>
    <row r="51" spans="1:25">
      <c r="A51">
        <v>998</v>
      </c>
      <c r="B51" s="1">
        <f t="shared" si="0"/>
        <v>16.633333333333301</v>
      </c>
      <c r="C51">
        <v>14</v>
      </c>
      <c r="D51" s="1">
        <v>202311061018</v>
      </c>
      <c r="E51">
        <v>1</v>
      </c>
      <c r="F51">
        <v>1</v>
      </c>
      <c r="G51">
        <v>0</v>
      </c>
      <c r="H51">
        <v>1</v>
      </c>
      <c r="I51">
        <v>1</v>
      </c>
      <c r="J51">
        <v>1</v>
      </c>
      <c r="K51">
        <v>1</v>
      </c>
      <c r="L51">
        <v>0</v>
      </c>
      <c r="M51">
        <v>1</v>
      </c>
      <c r="N51">
        <v>0</v>
      </c>
      <c r="O51">
        <v>1</v>
      </c>
      <c r="P51">
        <v>1</v>
      </c>
      <c r="Q51">
        <v>1</v>
      </c>
      <c r="R51">
        <v>1</v>
      </c>
      <c r="S51">
        <v>1</v>
      </c>
      <c r="T51">
        <v>1</v>
      </c>
      <c r="U51">
        <v>1</v>
      </c>
      <c r="V51">
        <v>0</v>
      </c>
      <c r="W51">
        <v>0</v>
      </c>
      <c r="X51">
        <v>0</v>
      </c>
      <c r="Y51">
        <v>0</v>
      </c>
    </row>
    <row r="52" spans="1:25">
      <c r="A52">
        <v>1006</v>
      </c>
      <c r="B52" s="1">
        <f t="shared" si="0"/>
        <v>16.766666666666701</v>
      </c>
      <c r="C52">
        <v>14</v>
      </c>
      <c r="D52" s="1">
        <v>202211061069</v>
      </c>
      <c r="E52">
        <v>0</v>
      </c>
      <c r="F52">
        <v>1</v>
      </c>
      <c r="G52">
        <v>1</v>
      </c>
      <c r="H52">
        <v>1</v>
      </c>
      <c r="I52">
        <v>1</v>
      </c>
      <c r="J52">
        <v>1</v>
      </c>
      <c r="K52">
        <v>1</v>
      </c>
      <c r="L52">
        <v>0</v>
      </c>
      <c r="M52">
        <v>0</v>
      </c>
      <c r="N52">
        <v>1</v>
      </c>
      <c r="O52">
        <v>1</v>
      </c>
      <c r="P52">
        <v>1</v>
      </c>
      <c r="Q52">
        <v>1</v>
      </c>
      <c r="R52">
        <v>0</v>
      </c>
      <c r="S52">
        <v>1</v>
      </c>
      <c r="T52">
        <v>0</v>
      </c>
      <c r="U52">
        <v>1</v>
      </c>
      <c r="V52">
        <v>1</v>
      </c>
      <c r="W52">
        <v>1</v>
      </c>
      <c r="X52">
        <v>0</v>
      </c>
      <c r="Y52">
        <v>0</v>
      </c>
    </row>
    <row r="53" spans="1:25">
      <c r="A53">
        <v>1072</v>
      </c>
      <c r="B53" s="1">
        <f t="shared" si="0"/>
        <v>17.866666666666699</v>
      </c>
      <c r="C53">
        <v>14</v>
      </c>
      <c r="D53" s="1">
        <v>202311998377</v>
      </c>
      <c r="E53">
        <v>1</v>
      </c>
      <c r="F53">
        <v>1</v>
      </c>
      <c r="G53">
        <v>0</v>
      </c>
      <c r="H53">
        <v>1</v>
      </c>
      <c r="I53">
        <v>1</v>
      </c>
      <c r="J53">
        <v>1</v>
      </c>
      <c r="K53">
        <v>1</v>
      </c>
      <c r="L53">
        <v>1</v>
      </c>
      <c r="M53">
        <v>1</v>
      </c>
      <c r="N53">
        <v>1</v>
      </c>
      <c r="O53">
        <v>0</v>
      </c>
      <c r="P53">
        <v>1</v>
      </c>
      <c r="Q53">
        <v>1</v>
      </c>
      <c r="R53">
        <v>1</v>
      </c>
      <c r="S53">
        <v>0</v>
      </c>
      <c r="T53">
        <v>1</v>
      </c>
      <c r="U53">
        <v>0</v>
      </c>
      <c r="V53">
        <v>0</v>
      </c>
      <c r="W53">
        <v>1</v>
      </c>
      <c r="X53">
        <v>0</v>
      </c>
      <c r="Y53">
        <v>0</v>
      </c>
    </row>
    <row r="54" spans="1:25">
      <c r="A54">
        <v>1080</v>
      </c>
      <c r="B54" s="1">
        <f t="shared" si="0"/>
        <v>18</v>
      </c>
      <c r="C54">
        <v>14</v>
      </c>
      <c r="D54" s="1">
        <v>202311061046</v>
      </c>
      <c r="E54">
        <v>1</v>
      </c>
      <c r="F54">
        <v>0</v>
      </c>
      <c r="G54">
        <v>0</v>
      </c>
      <c r="H54">
        <v>1</v>
      </c>
      <c r="I54">
        <v>1</v>
      </c>
      <c r="J54">
        <v>1</v>
      </c>
      <c r="K54">
        <v>1</v>
      </c>
      <c r="L54">
        <v>1</v>
      </c>
      <c r="M54">
        <v>0</v>
      </c>
      <c r="N54">
        <v>1</v>
      </c>
      <c r="O54">
        <v>0</v>
      </c>
      <c r="P54">
        <v>1</v>
      </c>
      <c r="Q54">
        <v>1</v>
      </c>
      <c r="R54">
        <v>1</v>
      </c>
      <c r="S54">
        <v>0</v>
      </c>
      <c r="T54">
        <v>0</v>
      </c>
      <c r="U54">
        <v>1</v>
      </c>
      <c r="V54">
        <v>1</v>
      </c>
      <c r="W54">
        <v>0</v>
      </c>
      <c r="X54">
        <v>1</v>
      </c>
      <c r="Y54">
        <v>1</v>
      </c>
    </row>
    <row r="55" spans="1:25">
      <c r="A55">
        <v>1121</v>
      </c>
      <c r="B55" s="1">
        <f t="shared" si="0"/>
        <v>18.683333333333302</v>
      </c>
      <c r="C55">
        <v>14</v>
      </c>
      <c r="D55" s="1">
        <v>202311061083</v>
      </c>
      <c r="E55">
        <v>1</v>
      </c>
      <c r="F55">
        <v>0</v>
      </c>
      <c r="G55">
        <v>0</v>
      </c>
      <c r="H55">
        <v>1</v>
      </c>
      <c r="I55">
        <v>1</v>
      </c>
      <c r="J55">
        <v>1</v>
      </c>
      <c r="K55">
        <v>0</v>
      </c>
      <c r="L55">
        <v>1</v>
      </c>
      <c r="M55">
        <v>1</v>
      </c>
      <c r="N55">
        <v>1</v>
      </c>
      <c r="O55">
        <v>1</v>
      </c>
      <c r="P55">
        <v>0</v>
      </c>
      <c r="Q55">
        <v>1</v>
      </c>
      <c r="R55">
        <v>1</v>
      </c>
      <c r="S55">
        <v>1</v>
      </c>
      <c r="T55">
        <v>1</v>
      </c>
      <c r="U55">
        <v>1</v>
      </c>
      <c r="V55">
        <v>0</v>
      </c>
      <c r="W55">
        <v>1</v>
      </c>
      <c r="X55">
        <v>0</v>
      </c>
      <c r="Y55">
        <v>0</v>
      </c>
    </row>
    <row r="56" spans="1:25">
      <c r="A56">
        <v>1224</v>
      </c>
      <c r="B56" s="1">
        <f t="shared" si="0"/>
        <v>20.399999999999999</v>
      </c>
      <c r="C56">
        <v>14</v>
      </c>
      <c r="D56" s="1">
        <v>202211061010</v>
      </c>
      <c r="E56">
        <v>1</v>
      </c>
      <c r="F56">
        <v>1</v>
      </c>
      <c r="G56">
        <v>0</v>
      </c>
      <c r="H56">
        <v>1</v>
      </c>
      <c r="I56">
        <v>1</v>
      </c>
      <c r="J56">
        <v>1</v>
      </c>
      <c r="K56">
        <v>1</v>
      </c>
      <c r="L56">
        <v>1</v>
      </c>
      <c r="M56">
        <v>1</v>
      </c>
      <c r="N56">
        <v>1</v>
      </c>
      <c r="O56">
        <v>1</v>
      </c>
      <c r="P56">
        <v>1</v>
      </c>
      <c r="Q56">
        <v>0</v>
      </c>
      <c r="R56">
        <v>0</v>
      </c>
      <c r="S56">
        <v>1</v>
      </c>
      <c r="T56">
        <v>0</v>
      </c>
      <c r="U56">
        <v>1</v>
      </c>
      <c r="V56">
        <v>1</v>
      </c>
      <c r="W56">
        <v>0</v>
      </c>
      <c r="X56">
        <v>0</v>
      </c>
      <c r="Y56">
        <v>0</v>
      </c>
    </row>
    <row r="57" spans="1:25">
      <c r="A57">
        <v>1237</v>
      </c>
      <c r="B57" s="1">
        <f t="shared" si="0"/>
        <v>20.616666666666699</v>
      </c>
      <c r="C57">
        <v>14</v>
      </c>
      <c r="D57" s="1">
        <v>202211180003</v>
      </c>
      <c r="E57">
        <v>0</v>
      </c>
      <c r="F57">
        <v>1</v>
      </c>
      <c r="G57">
        <v>0</v>
      </c>
      <c r="H57">
        <v>1</v>
      </c>
      <c r="I57">
        <v>1</v>
      </c>
      <c r="J57">
        <v>0</v>
      </c>
      <c r="K57">
        <v>1</v>
      </c>
      <c r="L57">
        <v>1</v>
      </c>
      <c r="M57">
        <v>0</v>
      </c>
      <c r="N57">
        <v>1</v>
      </c>
      <c r="O57">
        <v>1</v>
      </c>
      <c r="P57">
        <v>0</v>
      </c>
      <c r="Q57">
        <v>1</v>
      </c>
      <c r="R57">
        <v>1</v>
      </c>
      <c r="S57">
        <v>1</v>
      </c>
      <c r="T57">
        <v>1</v>
      </c>
      <c r="U57">
        <v>1</v>
      </c>
      <c r="V57">
        <v>0</v>
      </c>
      <c r="W57">
        <v>1</v>
      </c>
      <c r="X57">
        <v>0</v>
      </c>
      <c r="Y57">
        <v>1</v>
      </c>
    </row>
    <row r="58" spans="1:25">
      <c r="A58">
        <v>1294</v>
      </c>
      <c r="B58" s="1">
        <f t="shared" si="0"/>
        <v>21.566666666666698</v>
      </c>
      <c r="C58">
        <v>14</v>
      </c>
      <c r="D58" s="1">
        <v>202311998177</v>
      </c>
      <c r="E58">
        <v>0</v>
      </c>
      <c r="F58">
        <v>0</v>
      </c>
      <c r="G58">
        <v>0</v>
      </c>
      <c r="H58">
        <v>1</v>
      </c>
      <c r="I58">
        <v>1</v>
      </c>
      <c r="J58">
        <v>1</v>
      </c>
      <c r="K58">
        <v>1</v>
      </c>
      <c r="L58">
        <v>0</v>
      </c>
      <c r="M58">
        <v>1</v>
      </c>
      <c r="N58">
        <v>1</v>
      </c>
      <c r="O58">
        <v>1</v>
      </c>
      <c r="P58">
        <v>1</v>
      </c>
      <c r="Q58">
        <v>1</v>
      </c>
      <c r="R58">
        <v>1</v>
      </c>
      <c r="S58">
        <v>0</v>
      </c>
      <c r="T58">
        <v>1</v>
      </c>
      <c r="U58">
        <v>1</v>
      </c>
      <c r="V58">
        <v>0</v>
      </c>
      <c r="W58">
        <v>1</v>
      </c>
      <c r="X58">
        <v>0</v>
      </c>
      <c r="Y58">
        <v>1</v>
      </c>
    </row>
    <row r="59" spans="1:25">
      <c r="A59">
        <v>1338</v>
      </c>
      <c r="B59" s="1">
        <f t="shared" si="0"/>
        <v>22.3</v>
      </c>
      <c r="C59">
        <v>14</v>
      </c>
      <c r="D59" s="1">
        <v>202311061077</v>
      </c>
      <c r="E59">
        <v>1</v>
      </c>
      <c r="F59">
        <v>1</v>
      </c>
      <c r="G59">
        <v>0</v>
      </c>
      <c r="H59">
        <v>1</v>
      </c>
      <c r="I59">
        <v>1</v>
      </c>
      <c r="J59">
        <v>1</v>
      </c>
      <c r="K59">
        <v>1</v>
      </c>
      <c r="L59">
        <v>0</v>
      </c>
      <c r="M59">
        <v>0</v>
      </c>
      <c r="N59">
        <v>1</v>
      </c>
      <c r="O59">
        <v>1</v>
      </c>
      <c r="P59">
        <v>1</v>
      </c>
      <c r="Q59">
        <v>1</v>
      </c>
      <c r="R59">
        <v>1</v>
      </c>
      <c r="S59">
        <v>1</v>
      </c>
      <c r="T59">
        <v>1</v>
      </c>
      <c r="U59">
        <v>1</v>
      </c>
      <c r="V59">
        <v>0</v>
      </c>
      <c r="W59">
        <v>0</v>
      </c>
      <c r="X59">
        <v>0</v>
      </c>
      <c r="Y59">
        <v>0</v>
      </c>
    </row>
    <row r="60" spans="1:25">
      <c r="A60">
        <v>4017</v>
      </c>
      <c r="B60" s="1">
        <f t="shared" si="0"/>
        <v>66.95</v>
      </c>
      <c r="C60">
        <v>14</v>
      </c>
      <c r="D60" s="1">
        <v>202311061022</v>
      </c>
      <c r="E60">
        <v>1</v>
      </c>
      <c r="F60">
        <v>1</v>
      </c>
      <c r="G60">
        <v>1</v>
      </c>
      <c r="H60">
        <v>1</v>
      </c>
      <c r="I60">
        <v>1</v>
      </c>
      <c r="J60">
        <v>1</v>
      </c>
      <c r="K60">
        <v>1</v>
      </c>
      <c r="L60">
        <v>1</v>
      </c>
      <c r="M60">
        <v>0</v>
      </c>
      <c r="N60">
        <v>1</v>
      </c>
      <c r="O60">
        <v>0</v>
      </c>
      <c r="P60">
        <v>1</v>
      </c>
      <c r="Q60">
        <v>1</v>
      </c>
      <c r="R60">
        <v>1</v>
      </c>
      <c r="S60">
        <v>0</v>
      </c>
      <c r="T60">
        <v>0</v>
      </c>
      <c r="U60">
        <v>0</v>
      </c>
      <c r="V60">
        <v>0</v>
      </c>
      <c r="W60">
        <v>1</v>
      </c>
      <c r="X60">
        <v>1</v>
      </c>
      <c r="Y60">
        <v>0</v>
      </c>
    </row>
    <row r="61" spans="1:25">
      <c r="A61">
        <v>715</v>
      </c>
      <c r="B61" s="1">
        <f t="shared" si="0"/>
        <v>11.9166666666667</v>
      </c>
      <c r="C61">
        <v>15</v>
      </c>
      <c r="D61" s="1">
        <v>202311061001</v>
      </c>
      <c r="E61">
        <v>1</v>
      </c>
      <c r="F61">
        <v>1</v>
      </c>
      <c r="G61">
        <v>0</v>
      </c>
      <c r="H61">
        <v>1</v>
      </c>
      <c r="I61">
        <v>1</v>
      </c>
      <c r="J61">
        <v>1</v>
      </c>
      <c r="K61">
        <v>1</v>
      </c>
      <c r="L61">
        <v>0</v>
      </c>
      <c r="M61">
        <v>0</v>
      </c>
      <c r="N61">
        <v>1</v>
      </c>
      <c r="O61">
        <v>0</v>
      </c>
      <c r="P61">
        <v>0</v>
      </c>
      <c r="Q61">
        <v>1</v>
      </c>
      <c r="R61">
        <v>1</v>
      </c>
      <c r="S61">
        <v>1</v>
      </c>
      <c r="T61">
        <v>1</v>
      </c>
      <c r="U61">
        <v>1</v>
      </c>
      <c r="V61">
        <v>1</v>
      </c>
      <c r="W61">
        <v>1</v>
      </c>
      <c r="X61">
        <v>0</v>
      </c>
      <c r="Y61">
        <v>1</v>
      </c>
    </row>
    <row r="62" spans="1:25">
      <c r="A62">
        <v>718</v>
      </c>
      <c r="B62" s="1">
        <f t="shared" si="0"/>
        <v>11.966666666666701</v>
      </c>
      <c r="C62">
        <v>15</v>
      </c>
      <c r="D62" s="1">
        <v>202211061026</v>
      </c>
      <c r="E62">
        <v>1</v>
      </c>
      <c r="F62">
        <v>1</v>
      </c>
      <c r="G62">
        <v>0</v>
      </c>
      <c r="H62">
        <v>1</v>
      </c>
      <c r="I62">
        <v>1</v>
      </c>
      <c r="J62">
        <v>1</v>
      </c>
      <c r="K62">
        <v>1</v>
      </c>
      <c r="L62">
        <v>0</v>
      </c>
      <c r="M62">
        <v>0</v>
      </c>
      <c r="N62">
        <v>1</v>
      </c>
      <c r="O62">
        <v>0</v>
      </c>
      <c r="P62">
        <v>1</v>
      </c>
      <c r="Q62">
        <v>1</v>
      </c>
      <c r="R62">
        <v>1</v>
      </c>
      <c r="S62">
        <v>1</v>
      </c>
      <c r="T62">
        <v>1</v>
      </c>
      <c r="U62">
        <v>0</v>
      </c>
      <c r="V62">
        <v>1</v>
      </c>
      <c r="W62">
        <v>1</v>
      </c>
      <c r="X62">
        <v>0</v>
      </c>
      <c r="Y62">
        <v>1</v>
      </c>
    </row>
    <row r="63" spans="1:25">
      <c r="A63">
        <v>767</v>
      </c>
      <c r="B63" s="1">
        <f t="shared" si="0"/>
        <v>12.783333333333299</v>
      </c>
      <c r="C63">
        <v>15</v>
      </c>
      <c r="D63" s="1">
        <v>202311061029</v>
      </c>
      <c r="E63">
        <v>1</v>
      </c>
      <c r="F63">
        <v>1</v>
      </c>
      <c r="G63">
        <v>0</v>
      </c>
      <c r="H63">
        <v>1</v>
      </c>
      <c r="I63">
        <v>1</v>
      </c>
      <c r="J63">
        <v>1</v>
      </c>
      <c r="K63">
        <v>1</v>
      </c>
      <c r="L63">
        <v>1</v>
      </c>
      <c r="M63">
        <v>1</v>
      </c>
      <c r="N63">
        <v>1</v>
      </c>
      <c r="O63">
        <v>0</v>
      </c>
      <c r="P63">
        <v>0</v>
      </c>
      <c r="Q63">
        <v>1</v>
      </c>
      <c r="R63">
        <v>0</v>
      </c>
      <c r="S63">
        <v>1</v>
      </c>
      <c r="T63">
        <v>1</v>
      </c>
      <c r="U63">
        <v>1</v>
      </c>
      <c r="V63">
        <v>1</v>
      </c>
      <c r="W63">
        <v>0</v>
      </c>
      <c r="X63">
        <v>0</v>
      </c>
      <c r="Y63">
        <v>1</v>
      </c>
    </row>
    <row r="64" spans="1:25">
      <c r="A64">
        <v>825</v>
      </c>
      <c r="B64" s="1">
        <f t="shared" si="0"/>
        <v>13.75</v>
      </c>
      <c r="C64">
        <v>15</v>
      </c>
      <c r="D64" s="1">
        <v>202311998041</v>
      </c>
      <c r="E64">
        <v>0</v>
      </c>
      <c r="F64">
        <v>1</v>
      </c>
      <c r="G64">
        <v>0</v>
      </c>
      <c r="H64">
        <v>1</v>
      </c>
      <c r="I64">
        <v>1</v>
      </c>
      <c r="J64">
        <v>1</v>
      </c>
      <c r="K64">
        <v>1</v>
      </c>
      <c r="L64">
        <v>1</v>
      </c>
      <c r="M64">
        <v>1</v>
      </c>
      <c r="N64">
        <v>0</v>
      </c>
      <c r="O64">
        <v>1</v>
      </c>
      <c r="P64">
        <v>1</v>
      </c>
      <c r="Q64">
        <v>1</v>
      </c>
      <c r="R64">
        <v>0</v>
      </c>
      <c r="S64">
        <v>1</v>
      </c>
      <c r="T64">
        <v>1</v>
      </c>
      <c r="U64">
        <v>1</v>
      </c>
      <c r="V64">
        <v>1</v>
      </c>
      <c r="W64">
        <v>1</v>
      </c>
      <c r="X64">
        <v>0</v>
      </c>
      <c r="Y64">
        <v>0</v>
      </c>
    </row>
    <row r="65" spans="1:25">
      <c r="A65">
        <v>916</v>
      </c>
      <c r="B65" s="1">
        <f>A65/60</f>
        <v>15.266666666666699</v>
      </c>
      <c r="C65">
        <v>15</v>
      </c>
      <c r="D65" s="1">
        <v>202211998184</v>
      </c>
      <c r="E65">
        <v>1</v>
      </c>
      <c r="F65">
        <v>1</v>
      </c>
      <c r="G65">
        <v>0</v>
      </c>
      <c r="H65">
        <v>1</v>
      </c>
      <c r="I65">
        <v>1</v>
      </c>
      <c r="J65">
        <v>1</v>
      </c>
      <c r="K65">
        <v>1</v>
      </c>
      <c r="L65">
        <v>0</v>
      </c>
      <c r="M65">
        <v>1</v>
      </c>
      <c r="N65">
        <v>1</v>
      </c>
      <c r="O65">
        <v>0</v>
      </c>
      <c r="P65">
        <v>1</v>
      </c>
      <c r="Q65">
        <v>1</v>
      </c>
      <c r="R65">
        <v>1</v>
      </c>
      <c r="S65">
        <v>0</v>
      </c>
      <c r="T65">
        <v>1</v>
      </c>
      <c r="U65">
        <v>0</v>
      </c>
      <c r="V65">
        <v>1</v>
      </c>
      <c r="W65">
        <v>0</v>
      </c>
      <c r="X65">
        <v>1</v>
      </c>
      <c r="Y65">
        <v>1</v>
      </c>
    </row>
    <row r="66" spans="1:25">
      <c r="A66">
        <v>916</v>
      </c>
      <c r="B66" s="1">
        <f>A66/60</f>
        <v>15.266666666666699</v>
      </c>
      <c r="C66">
        <v>15</v>
      </c>
      <c r="D66" s="1">
        <v>202211998075</v>
      </c>
      <c r="E66">
        <v>1</v>
      </c>
      <c r="F66">
        <v>1</v>
      </c>
      <c r="G66">
        <v>0</v>
      </c>
      <c r="H66">
        <v>1</v>
      </c>
      <c r="I66">
        <v>1</v>
      </c>
      <c r="J66">
        <v>1</v>
      </c>
      <c r="K66">
        <v>1</v>
      </c>
      <c r="L66">
        <v>1</v>
      </c>
      <c r="M66">
        <v>1</v>
      </c>
      <c r="N66">
        <v>1</v>
      </c>
      <c r="O66">
        <v>1</v>
      </c>
      <c r="P66">
        <v>0</v>
      </c>
      <c r="Q66">
        <v>1</v>
      </c>
      <c r="R66">
        <v>0</v>
      </c>
      <c r="S66">
        <v>0</v>
      </c>
      <c r="T66">
        <v>1</v>
      </c>
      <c r="U66">
        <v>0</v>
      </c>
      <c r="V66">
        <v>1</v>
      </c>
      <c r="W66">
        <v>1</v>
      </c>
      <c r="X66">
        <v>0</v>
      </c>
      <c r="Y66">
        <v>1</v>
      </c>
    </row>
    <row r="67" spans="1:25">
      <c r="A67">
        <v>956</v>
      </c>
      <c r="B67" s="1">
        <f t="shared" ref="B67:B127" si="1">A67/60</f>
        <v>15.9333333333333</v>
      </c>
      <c r="C67">
        <v>15</v>
      </c>
      <c r="D67" s="1">
        <v>202211061066</v>
      </c>
      <c r="E67">
        <v>1</v>
      </c>
      <c r="F67">
        <v>1</v>
      </c>
      <c r="G67">
        <v>1</v>
      </c>
      <c r="H67">
        <v>1</v>
      </c>
      <c r="I67">
        <v>1</v>
      </c>
      <c r="J67">
        <v>1</v>
      </c>
      <c r="K67">
        <v>1</v>
      </c>
      <c r="L67">
        <v>1</v>
      </c>
      <c r="M67">
        <v>0</v>
      </c>
      <c r="N67">
        <v>1</v>
      </c>
      <c r="O67">
        <v>1</v>
      </c>
      <c r="P67">
        <v>0</v>
      </c>
      <c r="Q67">
        <v>1</v>
      </c>
      <c r="R67">
        <v>1</v>
      </c>
      <c r="S67">
        <v>1</v>
      </c>
      <c r="T67">
        <v>0</v>
      </c>
      <c r="U67">
        <v>0</v>
      </c>
      <c r="V67">
        <v>0</v>
      </c>
      <c r="W67">
        <v>1</v>
      </c>
      <c r="X67">
        <v>0</v>
      </c>
      <c r="Y67">
        <v>1</v>
      </c>
    </row>
    <row r="68" spans="1:25">
      <c r="A68">
        <v>961</v>
      </c>
      <c r="B68" s="1">
        <f t="shared" si="1"/>
        <v>16.016666666666701</v>
      </c>
      <c r="C68">
        <v>15</v>
      </c>
      <c r="D68" s="1">
        <v>202311061019</v>
      </c>
      <c r="E68">
        <v>1</v>
      </c>
      <c r="F68">
        <v>1</v>
      </c>
      <c r="G68">
        <v>0</v>
      </c>
      <c r="H68">
        <v>1</v>
      </c>
      <c r="I68">
        <v>1</v>
      </c>
      <c r="J68">
        <v>1</v>
      </c>
      <c r="K68">
        <v>1</v>
      </c>
      <c r="L68">
        <v>1</v>
      </c>
      <c r="M68">
        <v>0</v>
      </c>
      <c r="N68">
        <v>1</v>
      </c>
      <c r="O68">
        <v>1</v>
      </c>
      <c r="P68">
        <v>1</v>
      </c>
      <c r="Q68">
        <v>1</v>
      </c>
      <c r="R68">
        <v>1</v>
      </c>
      <c r="S68">
        <v>0</v>
      </c>
      <c r="T68">
        <v>1</v>
      </c>
      <c r="U68">
        <v>1</v>
      </c>
      <c r="V68">
        <v>0</v>
      </c>
      <c r="W68">
        <v>0</v>
      </c>
      <c r="X68">
        <v>1</v>
      </c>
      <c r="Y68">
        <v>0</v>
      </c>
    </row>
    <row r="69" spans="1:25">
      <c r="A69">
        <v>1037</v>
      </c>
      <c r="B69" s="1">
        <f t="shared" si="1"/>
        <v>17.283333333333299</v>
      </c>
      <c r="C69">
        <v>15</v>
      </c>
      <c r="D69" s="1">
        <v>202211061071</v>
      </c>
      <c r="E69">
        <v>0</v>
      </c>
      <c r="F69">
        <v>1</v>
      </c>
      <c r="G69">
        <v>0</v>
      </c>
      <c r="H69">
        <v>1</v>
      </c>
      <c r="I69">
        <v>1</v>
      </c>
      <c r="J69">
        <v>1</v>
      </c>
      <c r="K69">
        <v>1</v>
      </c>
      <c r="L69">
        <v>1</v>
      </c>
      <c r="M69">
        <v>0</v>
      </c>
      <c r="N69">
        <v>1</v>
      </c>
      <c r="O69">
        <v>0</v>
      </c>
      <c r="P69">
        <v>1</v>
      </c>
      <c r="Q69">
        <v>1</v>
      </c>
      <c r="R69">
        <v>1</v>
      </c>
      <c r="S69">
        <v>1</v>
      </c>
      <c r="T69">
        <v>1</v>
      </c>
      <c r="U69">
        <v>1</v>
      </c>
      <c r="V69">
        <v>1</v>
      </c>
      <c r="W69">
        <v>1</v>
      </c>
      <c r="X69">
        <v>0</v>
      </c>
      <c r="Y69">
        <v>0</v>
      </c>
    </row>
    <row r="70" spans="1:25">
      <c r="A70">
        <v>1057</v>
      </c>
      <c r="B70" s="1">
        <f t="shared" si="1"/>
        <v>17.616666666666699</v>
      </c>
      <c r="C70">
        <v>15</v>
      </c>
      <c r="D70" s="1">
        <v>202211998139</v>
      </c>
      <c r="E70">
        <v>1</v>
      </c>
      <c r="F70">
        <v>0</v>
      </c>
      <c r="G70">
        <v>0</v>
      </c>
      <c r="H70">
        <v>1</v>
      </c>
      <c r="I70">
        <v>1</v>
      </c>
      <c r="J70">
        <v>1</v>
      </c>
      <c r="K70">
        <v>1</v>
      </c>
      <c r="L70">
        <v>0</v>
      </c>
      <c r="M70">
        <v>1</v>
      </c>
      <c r="N70">
        <v>1</v>
      </c>
      <c r="O70">
        <v>1</v>
      </c>
      <c r="P70">
        <v>0</v>
      </c>
      <c r="Q70">
        <v>1</v>
      </c>
      <c r="R70">
        <v>1</v>
      </c>
      <c r="S70">
        <v>1</v>
      </c>
      <c r="T70">
        <v>1</v>
      </c>
      <c r="U70">
        <v>0</v>
      </c>
      <c r="V70">
        <v>1</v>
      </c>
      <c r="W70">
        <v>1</v>
      </c>
      <c r="X70">
        <v>0</v>
      </c>
      <c r="Y70">
        <v>1</v>
      </c>
    </row>
    <row r="71" spans="1:25">
      <c r="A71">
        <v>1098</v>
      </c>
      <c r="B71" s="1">
        <f t="shared" si="1"/>
        <v>18.3</v>
      </c>
      <c r="C71">
        <v>15</v>
      </c>
      <c r="D71" s="1">
        <v>202311998302</v>
      </c>
      <c r="E71">
        <v>1</v>
      </c>
      <c r="F71">
        <v>1</v>
      </c>
      <c r="G71">
        <v>1</v>
      </c>
      <c r="H71">
        <v>0</v>
      </c>
      <c r="I71">
        <v>1</v>
      </c>
      <c r="J71">
        <v>1</v>
      </c>
      <c r="K71">
        <v>1</v>
      </c>
      <c r="L71">
        <v>1</v>
      </c>
      <c r="M71">
        <v>1</v>
      </c>
      <c r="N71">
        <v>1</v>
      </c>
      <c r="O71">
        <v>1</v>
      </c>
      <c r="P71">
        <v>0</v>
      </c>
      <c r="Q71">
        <v>0</v>
      </c>
      <c r="R71">
        <v>1</v>
      </c>
      <c r="S71">
        <v>1</v>
      </c>
      <c r="T71">
        <v>0</v>
      </c>
      <c r="U71">
        <v>1</v>
      </c>
      <c r="V71">
        <v>0</v>
      </c>
      <c r="W71">
        <v>1</v>
      </c>
      <c r="X71">
        <v>1</v>
      </c>
      <c r="Y71">
        <v>0</v>
      </c>
    </row>
    <row r="72" spans="1:25">
      <c r="A72">
        <v>1106</v>
      </c>
      <c r="B72" s="1">
        <f t="shared" si="1"/>
        <v>18.433333333333302</v>
      </c>
      <c r="C72">
        <v>15</v>
      </c>
      <c r="D72" s="1">
        <v>202311061042</v>
      </c>
      <c r="E72">
        <v>1</v>
      </c>
      <c r="F72">
        <v>1</v>
      </c>
      <c r="G72">
        <v>1</v>
      </c>
      <c r="H72">
        <v>1</v>
      </c>
      <c r="I72">
        <v>1</v>
      </c>
      <c r="J72">
        <v>1</v>
      </c>
      <c r="K72">
        <v>1</v>
      </c>
      <c r="L72">
        <v>1</v>
      </c>
      <c r="M72">
        <v>0</v>
      </c>
      <c r="N72">
        <v>1</v>
      </c>
      <c r="O72">
        <v>1</v>
      </c>
      <c r="P72">
        <v>1</v>
      </c>
      <c r="Q72">
        <v>1</v>
      </c>
      <c r="R72">
        <v>1</v>
      </c>
      <c r="S72">
        <v>0</v>
      </c>
      <c r="T72">
        <v>0</v>
      </c>
      <c r="U72">
        <v>1</v>
      </c>
      <c r="V72">
        <v>1</v>
      </c>
      <c r="W72">
        <v>0</v>
      </c>
      <c r="X72">
        <v>0</v>
      </c>
      <c r="Y72">
        <v>0</v>
      </c>
    </row>
    <row r="73" spans="1:25">
      <c r="A73">
        <v>1275</v>
      </c>
      <c r="B73" s="1">
        <f t="shared" si="1"/>
        <v>21.25</v>
      </c>
      <c r="C73">
        <v>15</v>
      </c>
      <c r="D73" s="1">
        <v>202311061074</v>
      </c>
      <c r="E73">
        <v>1</v>
      </c>
      <c r="F73">
        <v>1</v>
      </c>
      <c r="G73">
        <v>1</v>
      </c>
      <c r="H73">
        <v>1</v>
      </c>
      <c r="I73">
        <v>1</v>
      </c>
      <c r="J73">
        <v>1</v>
      </c>
      <c r="K73">
        <v>1</v>
      </c>
      <c r="L73">
        <v>0</v>
      </c>
      <c r="M73">
        <v>1</v>
      </c>
      <c r="N73">
        <v>1</v>
      </c>
      <c r="O73">
        <v>1</v>
      </c>
      <c r="P73">
        <v>1</v>
      </c>
      <c r="Q73">
        <v>1</v>
      </c>
      <c r="R73">
        <v>1</v>
      </c>
      <c r="S73">
        <v>1</v>
      </c>
      <c r="T73">
        <v>0</v>
      </c>
      <c r="U73">
        <v>0</v>
      </c>
      <c r="V73">
        <v>0</v>
      </c>
      <c r="W73">
        <v>1</v>
      </c>
      <c r="X73">
        <v>0</v>
      </c>
      <c r="Y73">
        <v>0</v>
      </c>
    </row>
    <row r="74" spans="1:25">
      <c r="A74">
        <v>1375</v>
      </c>
      <c r="B74" s="1">
        <f t="shared" si="1"/>
        <v>22.9166666666667</v>
      </c>
      <c r="C74">
        <v>15</v>
      </c>
      <c r="D74" s="1">
        <v>202211061097</v>
      </c>
      <c r="E74">
        <v>1</v>
      </c>
      <c r="F74">
        <v>1</v>
      </c>
      <c r="G74">
        <v>0</v>
      </c>
      <c r="H74">
        <v>1</v>
      </c>
      <c r="I74">
        <v>1</v>
      </c>
      <c r="J74">
        <v>1</v>
      </c>
      <c r="K74">
        <v>1</v>
      </c>
      <c r="L74">
        <v>1</v>
      </c>
      <c r="M74">
        <v>1</v>
      </c>
      <c r="N74">
        <v>1</v>
      </c>
      <c r="O74">
        <v>1</v>
      </c>
      <c r="P74">
        <v>1</v>
      </c>
      <c r="Q74">
        <v>1</v>
      </c>
      <c r="R74">
        <v>1</v>
      </c>
      <c r="S74">
        <v>0</v>
      </c>
      <c r="T74">
        <v>1</v>
      </c>
      <c r="U74">
        <v>1</v>
      </c>
      <c r="V74">
        <v>0</v>
      </c>
      <c r="W74">
        <v>0</v>
      </c>
      <c r="X74">
        <v>0</v>
      </c>
      <c r="Y74">
        <v>0</v>
      </c>
    </row>
    <row r="75" spans="1:25">
      <c r="A75">
        <v>1697</v>
      </c>
      <c r="B75" s="1">
        <f t="shared" si="1"/>
        <v>28.283333333333299</v>
      </c>
      <c r="C75">
        <v>15</v>
      </c>
      <c r="D75" s="1">
        <v>202311061017</v>
      </c>
      <c r="E75">
        <v>0</v>
      </c>
      <c r="F75">
        <v>1</v>
      </c>
      <c r="G75">
        <v>0</v>
      </c>
      <c r="H75">
        <v>1</v>
      </c>
      <c r="I75">
        <v>1</v>
      </c>
      <c r="J75">
        <v>1</v>
      </c>
      <c r="K75">
        <v>1</v>
      </c>
      <c r="L75">
        <v>1</v>
      </c>
      <c r="M75">
        <v>1</v>
      </c>
      <c r="N75">
        <v>0</v>
      </c>
      <c r="O75">
        <v>0</v>
      </c>
      <c r="P75">
        <v>0</v>
      </c>
      <c r="Q75">
        <v>1</v>
      </c>
      <c r="R75">
        <v>1</v>
      </c>
      <c r="S75">
        <v>0</v>
      </c>
      <c r="T75">
        <v>1</v>
      </c>
      <c r="U75">
        <v>1</v>
      </c>
      <c r="V75">
        <v>1</v>
      </c>
      <c r="W75">
        <v>1</v>
      </c>
      <c r="X75">
        <v>1</v>
      </c>
      <c r="Y75">
        <v>1</v>
      </c>
    </row>
    <row r="76" spans="1:25">
      <c r="A76">
        <v>722</v>
      </c>
      <c r="B76" s="1">
        <f t="shared" si="1"/>
        <v>12.033333333333299</v>
      </c>
      <c r="C76">
        <v>16</v>
      </c>
      <c r="D76" s="1">
        <v>202211998282</v>
      </c>
      <c r="E76">
        <v>1</v>
      </c>
      <c r="F76">
        <v>1</v>
      </c>
      <c r="G76">
        <v>0</v>
      </c>
      <c r="H76">
        <v>1</v>
      </c>
      <c r="I76">
        <v>1</v>
      </c>
      <c r="J76">
        <v>1</v>
      </c>
      <c r="K76">
        <v>1</v>
      </c>
      <c r="L76">
        <v>1</v>
      </c>
      <c r="M76">
        <v>1</v>
      </c>
      <c r="N76">
        <v>1</v>
      </c>
      <c r="O76">
        <v>1</v>
      </c>
      <c r="P76">
        <v>1</v>
      </c>
      <c r="Q76">
        <v>1</v>
      </c>
      <c r="R76">
        <v>1</v>
      </c>
      <c r="S76">
        <v>1</v>
      </c>
      <c r="T76">
        <v>1</v>
      </c>
      <c r="U76">
        <v>0</v>
      </c>
      <c r="V76">
        <v>0</v>
      </c>
      <c r="W76">
        <v>1</v>
      </c>
      <c r="X76">
        <v>0</v>
      </c>
      <c r="Y76">
        <v>0</v>
      </c>
    </row>
    <row r="77" spans="1:25">
      <c r="A77">
        <v>725</v>
      </c>
      <c r="B77" s="1">
        <f t="shared" si="1"/>
        <v>12.0833333333333</v>
      </c>
      <c r="C77">
        <v>16</v>
      </c>
      <c r="D77" s="1">
        <v>202211031019</v>
      </c>
      <c r="E77">
        <v>1</v>
      </c>
      <c r="F77">
        <v>1</v>
      </c>
      <c r="G77">
        <v>1</v>
      </c>
      <c r="H77">
        <v>1</v>
      </c>
      <c r="I77">
        <v>1</v>
      </c>
      <c r="J77">
        <v>1</v>
      </c>
      <c r="K77">
        <v>1</v>
      </c>
      <c r="L77">
        <v>1</v>
      </c>
      <c r="M77">
        <v>1</v>
      </c>
      <c r="N77">
        <v>1</v>
      </c>
      <c r="O77">
        <v>1</v>
      </c>
      <c r="P77">
        <v>0</v>
      </c>
      <c r="Q77">
        <v>1</v>
      </c>
      <c r="R77">
        <v>0</v>
      </c>
      <c r="S77">
        <v>1</v>
      </c>
      <c r="T77">
        <v>1</v>
      </c>
      <c r="U77">
        <v>1</v>
      </c>
      <c r="V77">
        <v>1</v>
      </c>
      <c r="W77">
        <v>0</v>
      </c>
      <c r="X77">
        <v>0</v>
      </c>
      <c r="Y77">
        <v>0</v>
      </c>
    </row>
    <row r="78" spans="1:25">
      <c r="A78">
        <v>809</v>
      </c>
      <c r="B78" s="1">
        <f t="shared" si="1"/>
        <v>13.483333333333301</v>
      </c>
      <c r="C78">
        <v>16</v>
      </c>
      <c r="D78" s="1">
        <v>202211061058</v>
      </c>
      <c r="E78">
        <v>1</v>
      </c>
      <c r="F78">
        <v>1</v>
      </c>
      <c r="G78">
        <v>1</v>
      </c>
      <c r="H78">
        <v>1</v>
      </c>
      <c r="I78">
        <v>1</v>
      </c>
      <c r="J78">
        <v>1</v>
      </c>
      <c r="K78">
        <v>1</v>
      </c>
      <c r="L78">
        <v>0</v>
      </c>
      <c r="M78">
        <v>1</v>
      </c>
      <c r="N78">
        <v>1</v>
      </c>
      <c r="O78">
        <v>1</v>
      </c>
      <c r="P78">
        <v>0</v>
      </c>
      <c r="Q78">
        <v>1</v>
      </c>
      <c r="R78">
        <v>1</v>
      </c>
      <c r="S78">
        <v>1</v>
      </c>
      <c r="T78">
        <v>1</v>
      </c>
      <c r="U78">
        <v>1</v>
      </c>
      <c r="V78">
        <v>0</v>
      </c>
      <c r="W78">
        <v>1</v>
      </c>
      <c r="X78">
        <v>0</v>
      </c>
      <c r="Y78">
        <v>0</v>
      </c>
    </row>
    <row r="79" spans="1:25">
      <c r="A79">
        <v>849</v>
      </c>
      <c r="B79" s="1">
        <f t="shared" si="1"/>
        <v>14.15</v>
      </c>
      <c r="C79">
        <v>16</v>
      </c>
      <c r="D79" s="1">
        <v>202311061040</v>
      </c>
      <c r="E79">
        <v>0</v>
      </c>
      <c r="F79">
        <v>1</v>
      </c>
      <c r="G79">
        <v>0</v>
      </c>
      <c r="H79">
        <v>1</v>
      </c>
      <c r="I79">
        <v>1</v>
      </c>
      <c r="J79">
        <v>1</v>
      </c>
      <c r="K79">
        <v>1</v>
      </c>
      <c r="L79">
        <v>1</v>
      </c>
      <c r="M79">
        <v>0</v>
      </c>
      <c r="N79">
        <v>1</v>
      </c>
      <c r="O79">
        <v>1</v>
      </c>
      <c r="P79">
        <v>1</v>
      </c>
      <c r="Q79">
        <v>1</v>
      </c>
      <c r="R79">
        <v>1</v>
      </c>
      <c r="S79">
        <v>1</v>
      </c>
      <c r="T79">
        <v>1</v>
      </c>
      <c r="U79">
        <v>0</v>
      </c>
      <c r="V79">
        <v>0</v>
      </c>
      <c r="W79">
        <v>1</v>
      </c>
      <c r="X79">
        <v>1</v>
      </c>
      <c r="Y79">
        <v>1</v>
      </c>
    </row>
    <row r="80" spans="1:25">
      <c r="A80">
        <v>859</v>
      </c>
      <c r="B80" s="1">
        <f t="shared" si="1"/>
        <v>14.3166666666667</v>
      </c>
      <c r="C80">
        <v>16</v>
      </c>
      <c r="D80" s="1">
        <v>202211061079</v>
      </c>
      <c r="E80">
        <v>1</v>
      </c>
      <c r="F80">
        <v>1</v>
      </c>
      <c r="G80">
        <v>0</v>
      </c>
      <c r="H80">
        <v>1</v>
      </c>
      <c r="I80">
        <v>1</v>
      </c>
      <c r="J80">
        <v>1</v>
      </c>
      <c r="K80">
        <v>1</v>
      </c>
      <c r="L80">
        <v>1</v>
      </c>
      <c r="M80">
        <v>0</v>
      </c>
      <c r="N80">
        <v>1</v>
      </c>
      <c r="O80">
        <v>1</v>
      </c>
      <c r="P80">
        <v>1</v>
      </c>
      <c r="Q80">
        <v>1</v>
      </c>
      <c r="R80">
        <v>1</v>
      </c>
      <c r="S80">
        <v>1</v>
      </c>
      <c r="T80">
        <v>0</v>
      </c>
      <c r="U80">
        <v>1</v>
      </c>
      <c r="V80">
        <v>0</v>
      </c>
      <c r="W80">
        <v>1</v>
      </c>
      <c r="X80">
        <v>1</v>
      </c>
      <c r="Y80">
        <v>0</v>
      </c>
    </row>
    <row r="81" spans="1:25">
      <c r="A81">
        <v>897</v>
      </c>
      <c r="B81" s="1">
        <f t="shared" si="1"/>
        <v>14.95</v>
      </c>
      <c r="C81">
        <v>16</v>
      </c>
      <c r="D81" s="1">
        <v>202211061076</v>
      </c>
      <c r="E81">
        <v>1</v>
      </c>
      <c r="F81">
        <v>1</v>
      </c>
      <c r="G81">
        <v>0</v>
      </c>
      <c r="H81">
        <v>1</v>
      </c>
      <c r="I81">
        <v>1</v>
      </c>
      <c r="J81">
        <v>1</v>
      </c>
      <c r="K81">
        <v>1</v>
      </c>
      <c r="L81">
        <v>1</v>
      </c>
      <c r="M81">
        <v>1</v>
      </c>
      <c r="N81">
        <v>1</v>
      </c>
      <c r="O81">
        <v>1</v>
      </c>
      <c r="P81">
        <v>0</v>
      </c>
      <c r="Q81">
        <v>1</v>
      </c>
      <c r="R81">
        <v>1</v>
      </c>
      <c r="S81">
        <v>0</v>
      </c>
      <c r="T81">
        <v>1</v>
      </c>
      <c r="U81">
        <v>0</v>
      </c>
      <c r="V81">
        <v>0</v>
      </c>
      <c r="W81">
        <v>1</v>
      </c>
      <c r="X81">
        <v>1</v>
      </c>
      <c r="Y81">
        <v>1</v>
      </c>
    </row>
    <row r="82" spans="1:25">
      <c r="A82">
        <v>934</v>
      </c>
      <c r="B82" s="1">
        <f t="shared" si="1"/>
        <v>15.5666666666667</v>
      </c>
      <c r="C82">
        <v>16</v>
      </c>
      <c r="D82" s="1">
        <v>202211061085</v>
      </c>
      <c r="E82">
        <v>1</v>
      </c>
      <c r="F82">
        <v>1</v>
      </c>
      <c r="G82">
        <v>1</v>
      </c>
      <c r="H82">
        <v>1</v>
      </c>
      <c r="I82">
        <v>1</v>
      </c>
      <c r="J82">
        <v>1</v>
      </c>
      <c r="K82">
        <v>1</v>
      </c>
      <c r="L82">
        <v>1</v>
      </c>
      <c r="M82">
        <v>0</v>
      </c>
      <c r="N82">
        <v>1</v>
      </c>
      <c r="O82">
        <v>1</v>
      </c>
      <c r="P82">
        <v>1</v>
      </c>
      <c r="Q82">
        <v>1</v>
      </c>
      <c r="R82">
        <v>1</v>
      </c>
      <c r="S82">
        <v>0</v>
      </c>
      <c r="T82">
        <v>1</v>
      </c>
      <c r="U82">
        <v>1</v>
      </c>
      <c r="V82">
        <v>1</v>
      </c>
      <c r="W82">
        <v>0</v>
      </c>
      <c r="X82">
        <v>0</v>
      </c>
      <c r="Y82">
        <v>0</v>
      </c>
    </row>
    <row r="83" spans="1:25">
      <c r="A83">
        <v>951</v>
      </c>
      <c r="B83" s="1">
        <f t="shared" si="1"/>
        <v>15.85</v>
      </c>
      <c r="C83">
        <v>16</v>
      </c>
      <c r="D83" s="1">
        <v>202211061062</v>
      </c>
      <c r="E83">
        <v>1</v>
      </c>
      <c r="F83">
        <v>1</v>
      </c>
      <c r="G83">
        <v>0</v>
      </c>
      <c r="H83">
        <v>0</v>
      </c>
      <c r="I83">
        <v>1</v>
      </c>
      <c r="J83">
        <v>1</v>
      </c>
      <c r="K83">
        <v>1</v>
      </c>
      <c r="L83">
        <v>1</v>
      </c>
      <c r="M83">
        <v>1</v>
      </c>
      <c r="N83">
        <v>1</v>
      </c>
      <c r="O83">
        <v>1</v>
      </c>
      <c r="P83">
        <v>1</v>
      </c>
      <c r="Q83">
        <v>1</v>
      </c>
      <c r="R83">
        <v>1</v>
      </c>
      <c r="S83">
        <v>0</v>
      </c>
      <c r="T83">
        <v>1</v>
      </c>
      <c r="U83">
        <v>0</v>
      </c>
      <c r="V83">
        <v>0</v>
      </c>
      <c r="W83">
        <v>1</v>
      </c>
      <c r="X83">
        <v>1</v>
      </c>
      <c r="Y83">
        <v>1</v>
      </c>
    </row>
    <row r="84" spans="1:25">
      <c r="A84">
        <v>997</v>
      </c>
      <c r="B84" s="1">
        <f t="shared" si="1"/>
        <v>16.616666666666699</v>
      </c>
      <c r="C84">
        <v>16</v>
      </c>
      <c r="D84" s="1">
        <v>202311061081</v>
      </c>
      <c r="E84">
        <v>1</v>
      </c>
      <c r="F84">
        <v>1</v>
      </c>
      <c r="G84">
        <v>1</v>
      </c>
      <c r="H84">
        <v>1</v>
      </c>
      <c r="I84">
        <v>1</v>
      </c>
      <c r="J84">
        <v>1</v>
      </c>
      <c r="K84">
        <v>1</v>
      </c>
      <c r="L84">
        <v>1</v>
      </c>
      <c r="M84">
        <v>0</v>
      </c>
      <c r="N84">
        <v>1</v>
      </c>
      <c r="O84">
        <v>0</v>
      </c>
      <c r="P84">
        <v>0</v>
      </c>
      <c r="Q84">
        <v>1</v>
      </c>
      <c r="R84">
        <v>1</v>
      </c>
      <c r="S84">
        <v>1</v>
      </c>
      <c r="T84">
        <v>1</v>
      </c>
      <c r="U84">
        <v>0</v>
      </c>
      <c r="V84">
        <v>1</v>
      </c>
      <c r="W84">
        <v>0</v>
      </c>
      <c r="X84">
        <v>1</v>
      </c>
      <c r="Y84">
        <v>1</v>
      </c>
    </row>
    <row r="85" spans="1:25">
      <c r="A85">
        <v>1035</v>
      </c>
      <c r="B85" s="1">
        <f t="shared" si="1"/>
        <v>17.25</v>
      </c>
      <c r="C85">
        <v>16</v>
      </c>
      <c r="D85" s="1">
        <v>202311998185</v>
      </c>
      <c r="E85">
        <v>0</v>
      </c>
      <c r="F85">
        <v>1</v>
      </c>
      <c r="G85">
        <v>0</v>
      </c>
      <c r="H85">
        <v>1</v>
      </c>
      <c r="I85">
        <v>1</v>
      </c>
      <c r="J85">
        <v>1</v>
      </c>
      <c r="K85">
        <v>1</v>
      </c>
      <c r="L85">
        <v>0</v>
      </c>
      <c r="M85">
        <v>0</v>
      </c>
      <c r="N85">
        <v>1</v>
      </c>
      <c r="O85">
        <v>0</v>
      </c>
      <c r="P85">
        <v>1</v>
      </c>
      <c r="Q85">
        <v>1</v>
      </c>
      <c r="R85">
        <v>1</v>
      </c>
      <c r="S85">
        <v>1</v>
      </c>
      <c r="T85">
        <v>1</v>
      </c>
      <c r="U85">
        <v>1</v>
      </c>
      <c r="V85">
        <v>1</v>
      </c>
      <c r="W85">
        <v>1</v>
      </c>
      <c r="X85">
        <v>1</v>
      </c>
      <c r="Y85">
        <v>1</v>
      </c>
    </row>
    <row r="86" spans="1:25">
      <c r="A86">
        <v>1042</v>
      </c>
      <c r="B86" s="1">
        <f t="shared" si="1"/>
        <v>17.366666666666699</v>
      </c>
      <c r="C86">
        <v>16</v>
      </c>
      <c r="D86" s="1">
        <v>202211061075</v>
      </c>
      <c r="E86">
        <v>1</v>
      </c>
      <c r="F86">
        <v>1</v>
      </c>
      <c r="G86">
        <v>0</v>
      </c>
      <c r="H86">
        <v>1</v>
      </c>
      <c r="I86">
        <v>1</v>
      </c>
      <c r="J86">
        <v>1</v>
      </c>
      <c r="K86">
        <v>1</v>
      </c>
      <c r="L86">
        <v>1</v>
      </c>
      <c r="M86">
        <v>1</v>
      </c>
      <c r="N86">
        <v>0</v>
      </c>
      <c r="O86">
        <v>0</v>
      </c>
      <c r="P86">
        <v>1</v>
      </c>
      <c r="Q86">
        <v>1</v>
      </c>
      <c r="R86">
        <v>1</v>
      </c>
      <c r="S86">
        <v>0</v>
      </c>
      <c r="T86">
        <v>1</v>
      </c>
      <c r="U86">
        <v>1</v>
      </c>
      <c r="V86">
        <v>1</v>
      </c>
      <c r="W86">
        <v>1</v>
      </c>
      <c r="X86">
        <v>0</v>
      </c>
      <c r="Y86">
        <v>1</v>
      </c>
    </row>
    <row r="87" spans="1:25">
      <c r="A87">
        <v>1043</v>
      </c>
      <c r="B87" s="1">
        <f t="shared" si="1"/>
        <v>17.383333333333301</v>
      </c>
      <c r="C87">
        <v>16</v>
      </c>
      <c r="D87" s="1">
        <v>202311998374</v>
      </c>
      <c r="E87">
        <v>1</v>
      </c>
      <c r="F87">
        <v>1</v>
      </c>
      <c r="G87">
        <v>0</v>
      </c>
      <c r="H87">
        <v>1</v>
      </c>
      <c r="I87">
        <v>1</v>
      </c>
      <c r="J87">
        <v>1</v>
      </c>
      <c r="K87">
        <v>1</v>
      </c>
      <c r="L87">
        <v>1</v>
      </c>
      <c r="M87">
        <v>1</v>
      </c>
      <c r="N87">
        <v>1</v>
      </c>
      <c r="O87">
        <v>1</v>
      </c>
      <c r="P87">
        <v>1</v>
      </c>
      <c r="Q87">
        <v>1</v>
      </c>
      <c r="R87">
        <v>1</v>
      </c>
      <c r="S87">
        <v>0</v>
      </c>
      <c r="T87">
        <v>1</v>
      </c>
      <c r="U87">
        <v>1</v>
      </c>
      <c r="V87">
        <v>1</v>
      </c>
      <c r="W87">
        <v>0</v>
      </c>
      <c r="X87">
        <v>0</v>
      </c>
      <c r="Y87">
        <v>0</v>
      </c>
    </row>
    <row r="88" spans="1:25">
      <c r="A88">
        <v>1062</v>
      </c>
      <c r="B88" s="1">
        <f t="shared" si="1"/>
        <v>17.7</v>
      </c>
      <c r="C88">
        <v>16</v>
      </c>
      <c r="D88" s="1">
        <v>202311061055</v>
      </c>
      <c r="E88">
        <v>1</v>
      </c>
      <c r="F88">
        <v>1</v>
      </c>
      <c r="G88">
        <v>1</v>
      </c>
      <c r="H88">
        <v>1</v>
      </c>
      <c r="I88">
        <v>1</v>
      </c>
      <c r="J88">
        <v>1</v>
      </c>
      <c r="K88">
        <v>1</v>
      </c>
      <c r="L88">
        <v>1</v>
      </c>
      <c r="M88">
        <v>0</v>
      </c>
      <c r="N88">
        <v>1</v>
      </c>
      <c r="O88">
        <v>1</v>
      </c>
      <c r="P88">
        <v>1</v>
      </c>
      <c r="Q88">
        <v>1</v>
      </c>
      <c r="R88">
        <v>1</v>
      </c>
      <c r="S88">
        <v>0</v>
      </c>
      <c r="T88">
        <v>1</v>
      </c>
      <c r="U88">
        <v>0</v>
      </c>
      <c r="V88">
        <v>1</v>
      </c>
      <c r="W88">
        <v>0</v>
      </c>
      <c r="X88">
        <v>0</v>
      </c>
      <c r="Y88">
        <v>1</v>
      </c>
    </row>
    <row r="89" spans="1:25">
      <c r="A89">
        <v>1144</v>
      </c>
      <c r="B89" s="1">
        <f t="shared" si="1"/>
        <v>19.066666666666698</v>
      </c>
      <c r="C89">
        <v>16</v>
      </c>
      <c r="D89" s="1">
        <v>202211061022</v>
      </c>
      <c r="E89">
        <v>1</v>
      </c>
      <c r="F89">
        <v>1</v>
      </c>
      <c r="G89">
        <v>0</v>
      </c>
      <c r="H89">
        <v>1</v>
      </c>
      <c r="I89">
        <v>1</v>
      </c>
      <c r="J89">
        <v>1</v>
      </c>
      <c r="K89">
        <v>1</v>
      </c>
      <c r="L89">
        <v>0</v>
      </c>
      <c r="M89">
        <v>1</v>
      </c>
      <c r="N89">
        <v>0</v>
      </c>
      <c r="O89">
        <v>1</v>
      </c>
      <c r="P89">
        <v>1</v>
      </c>
      <c r="Q89">
        <v>1</v>
      </c>
      <c r="R89">
        <v>1</v>
      </c>
      <c r="S89">
        <v>1</v>
      </c>
      <c r="T89">
        <v>1</v>
      </c>
      <c r="U89">
        <v>1</v>
      </c>
      <c r="V89">
        <v>1</v>
      </c>
      <c r="W89">
        <v>0</v>
      </c>
      <c r="X89">
        <v>1</v>
      </c>
      <c r="Y89">
        <v>0</v>
      </c>
    </row>
    <row r="90" spans="1:25">
      <c r="A90">
        <v>1176</v>
      </c>
      <c r="B90" s="1">
        <f t="shared" si="1"/>
        <v>19.600000000000001</v>
      </c>
      <c r="C90">
        <v>16</v>
      </c>
      <c r="D90" s="1">
        <v>202211061050</v>
      </c>
      <c r="E90">
        <v>1</v>
      </c>
      <c r="F90">
        <v>1</v>
      </c>
      <c r="G90">
        <v>0</v>
      </c>
      <c r="H90">
        <v>1</v>
      </c>
      <c r="I90">
        <v>1</v>
      </c>
      <c r="J90">
        <v>1</v>
      </c>
      <c r="K90">
        <v>1</v>
      </c>
      <c r="L90">
        <v>1</v>
      </c>
      <c r="M90">
        <v>0</v>
      </c>
      <c r="N90">
        <v>0</v>
      </c>
      <c r="O90">
        <v>0</v>
      </c>
      <c r="P90">
        <v>1</v>
      </c>
      <c r="Q90">
        <v>1</v>
      </c>
      <c r="R90">
        <v>1</v>
      </c>
      <c r="S90">
        <v>1</v>
      </c>
      <c r="T90">
        <v>1</v>
      </c>
      <c r="U90">
        <v>1</v>
      </c>
      <c r="V90">
        <v>1</v>
      </c>
      <c r="W90">
        <v>1</v>
      </c>
      <c r="X90">
        <v>1</v>
      </c>
      <c r="Y90">
        <v>0</v>
      </c>
    </row>
    <row r="91" spans="1:25">
      <c r="A91">
        <v>1206</v>
      </c>
      <c r="B91" s="1">
        <f t="shared" si="1"/>
        <v>20.100000000000001</v>
      </c>
      <c r="C91">
        <v>16</v>
      </c>
      <c r="D91" s="1">
        <v>202211998120</v>
      </c>
      <c r="E91">
        <v>1</v>
      </c>
      <c r="F91">
        <v>1</v>
      </c>
      <c r="G91">
        <v>0</v>
      </c>
      <c r="H91">
        <v>1</v>
      </c>
      <c r="I91">
        <v>1</v>
      </c>
      <c r="J91">
        <v>1</v>
      </c>
      <c r="K91">
        <v>1</v>
      </c>
      <c r="L91">
        <v>0</v>
      </c>
      <c r="M91">
        <v>1</v>
      </c>
      <c r="N91">
        <v>1</v>
      </c>
      <c r="O91">
        <v>1</v>
      </c>
      <c r="P91">
        <v>1</v>
      </c>
      <c r="Q91">
        <v>1</v>
      </c>
      <c r="R91">
        <v>1</v>
      </c>
      <c r="S91">
        <v>1</v>
      </c>
      <c r="T91">
        <v>0</v>
      </c>
      <c r="U91">
        <v>1</v>
      </c>
      <c r="V91">
        <v>1</v>
      </c>
      <c r="W91">
        <v>1</v>
      </c>
      <c r="X91">
        <v>0</v>
      </c>
      <c r="Y91">
        <v>0</v>
      </c>
    </row>
    <row r="92" spans="1:25">
      <c r="A92">
        <v>1223</v>
      </c>
      <c r="B92" s="1">
        <f t="shared" si="1"/>
        <v>20.383333333333301</v>
      </c>
      <c r="C92">
        <v>16</v>
      </c>
      <c r="D92" s="1">
        <v>202311998336</v>
      </c>
      <c r="E92">
        <v>1</v>
      </c>
      <c r="F92">
        <v>1</v>
      </c>
      <c r="G92">
        <v>1</v>
      </c>
      <c r="H92">
        <v>1</v>
      </c>
      <c r="I92">
        <v>1</v>
      </c>
      <c r="J92">
        <v>1</v>
      </c>
      <c r="K92">
        <v>1</v>
      </c>
      <c r="L92">
        <v>1</v>
      </c>
      <c r="M92">
        <v>0</v>
      </c>
      <c r="N92">
        <v>1</v>
      </c>
      <c r="O92">
        <v>0</v>
      </c>
      <c r="P92">
        <v>1</v>
      </c>
      <c r="Q92">
        <v>1</v>
      </c>
      <c r="R92">
        <v>1</v>
      </c>
      <c r="S92">
        <v>1</v>
      </c>
      <c r="T92">
        <v>1</v>
      </c>
      <c r="U92">
        <v>1</v>
      </c>
      <c r="V92">
        <v>0</v>
      </c>
      <c r="W92">
        <v>0</v>
      </c>
      <c r="X92">
        <v>1</v>
      </c>
      <c r="Y92">
        <v>0</v>
      </c>
    </row>
    <row r="93" spans="1:25">
      <c r="A93">
        <v>1437</v>
      </c>
      <c r="B93" s="1">
        <f t="shared" si="1"/>
        <v>23.95</v>
      </c>
      <c r="C93">
        <v>16</v>
      </c>
      <c r="D93" s="1">
        <v>202211061016</v>
      </c>
      <c r="E93">
        <v>1</v>
      </c>
      <c r="F93">
        <v>1</v>
      </c>
      <c r="G93">
        <v>0</v>
      </c>
      <c r="H93">
        <v>1</v>
      </c>
      <c r="I93">
        <v>1</v>
      </c>
      <c r="J93">
        <v>1</v>
      </c>
      <c r="K93">
        <v>1</v>
      </c>
      <c r="L93">
        <v>1</v>
      </c>
      <c r="M93">
        <v>0</v>
      </c>
      <c r="N93">
        <v>1</v>
      </c>
      <c r="O93">
        <v>1</v>
      </c>
      <c r="P93">
        <v>0</v>
      </c>
      <c r="Q93">
        <v>1</v>
      </c>
      <c r="R93">
        <v>1</v>
      </c>
      <c r="S93">
        <v>1</v>
      </c>
      <c r="T93">
        <v>0</v>
      </c>
      <c r="U93">
        <v>1</v>
      </c>
      <c r="V93">
        <v>0</v>
      </c>
      <c r="W93">
        <v>1</v>
      </c>
      <c r="X93">
        <v>1</v>
      </c>
      <c r="Y93">
        <v>1</v>
      </c>
    </row>
    <row r="94" spans="1:25">
      <c r="A94">
        <v>1517</v>
      </c>
      <c r="B94" s="1">
        <f t="shared" si="1"/>
        <v>25.283333333333299</v>
      </c>
      <c r="C94">
        <v>16</v>
      </c>
      <c r="D94" s="1">
        <v>202211998122</v>
      </c>
      <c r="E94">
        <v>1</v>
      </c>
      <c r="F94">
        <v>1</v>
      </c>
      <c r="G94">
        <v>0</v>
      </c>
      <c r="H94">
        <v>1</v>
      </c>
      <c r="I94">
        <v>1</v>
      </c>
      <c r="J94">
        <v>1</v>
      </c>
      <c r="K94">
        <v>1</v>
      </c>
      <c r="L94">
        <v>1</v>
      </c>
      <c r="M94">
        <v>0</v>
      </c>
      <c r="N94">
        <v>1</v>
      </c>
      <c r="O94">
        <v>1</v>
      </c>
      <c r="P94">
        <v>1</v>
      </c>
      <c r="Q94">
        <v>1</v>
      </c>
      <c r="R94">
        <v>1</v>
      </c>
      <c r="S94">
        <v>1</v>
      </c>
      <c r="T94">
        <v>1</v>
      </c>
      <c r="U94">
        <v>1</v>
      </c>
      <c r="V94">
        <v>1</v>
      </c>
      <c r="W94">
        <v>0</v>
      </c>
      <c r="X94">
        <v>0</v>
      </c>
      <c r="Y94">
        <v>0</v>
      </c>
    </row>
    <row r="95" spans="1:25">
      <c r="A95">
        <v>755</v>
      </c>
      <c r="B95" s="1">
        <f t="shared" si="1"/>
        <v>12.5833333333333</v>
      </c>
      <c r="C95">
        <v>17</v>
      </c>
      <c r="D95" s="1">
        <v>202211061063</v>
      </c>
      <c r="E95">
        <v>1</v>
      </c>
      <c r="F95">
        <v>1</v>
      </c>
      <c r="G95">
        <v>0</v>
      </c>
      <c r="H95">
        <v>1</v>
      </c>
      <c r="I95">
        <v>1</v>
      </c>
      <c r="J95">
        <v>1</v>
      </c>
      <c r="K95">
        <v>1</v>
      </c>
      <c r="L95">
        <v>1</v>
      </c>
      <c r="M95">
        <v>1</v>
      </c>
      <c r="N95">
        <v>1</v>
      </c>
      <c r="O95">
        <v>1</v>
      </c>
      <c r="P95">
        <v>0</v>
      </c>
      <c r="Q95">
        <v>1</v>
      </c>
      <c r="R95">
        <v>1</v>
      </c>
      <c r="S95">
        <v>1</v>
      </c>
      <c r="T95">
        <v>0</v>
      </c>
      <c r="U95">
        <v>1</v>
      </c>
      <c r="V95">
        <v>0</v>
      </c>
      <c r="W95">
        <v>1</v>
      </c>
      <c r="X95">
        <v>1</v>
      </c>
      <c r="Y95">
        <v>1</v>
      </c>
    </row>
    <row r="96" spans="1:25">
      <c r="A96">
        <v>758</v>
      </c>
      <c r="B96" s="1">
        <f t="shared" si="1"/>
        <v>12.633333333333301</v>
      </c>
      <c r="C96">
        <v>17</v>
      </c>
      <c r="D96" s="1">
        <v>202211061024</v>
      </c>
      <c r="E96">
        <v>1</v>
      </c>
      <c r="F96">
        <v>1</v>
      </c>
      <c r="G96">
        <v>1</v>
      </c>
      <c r="H96">
        <v>1</v>
      </c>
      <c r="I96">
        <v>1</v>
      </c>
      <c r="J96">
        <v>1</v>
      </c>
      <c r="K96">
        <v>1</v>
      </c>
      <c r="L96">
        <v>1</v>
      </c>
      <c r="M96">
        <v>1</v>
      </c>
      <c r="N96">
        <v>1</v>
      </c>
      <c r="O96">
        <v>1</v>
      </c>
      <c r="P96">
        <v>0</v>
      </c>
      <c r="Q96">
        <v>1</v>
      </c>
      <c r="R96">
        <v>1</v>
      </c>
      <c r="S96">
        <v>0</v>
      </c>
      <c r="T96">
        <v>1</v>
      </c>
      <c r="U96">
        <v>0</v>
      </c>
      <c r="V96">
        <v>1</v>
      </c>
      <c r="W96">
        <v>1</v>
      </c>
      <c r="X96">
        <v>1</v>
      </c>
      <c r="Y96">
        <v>0</v>
      </c>
    </row>
    <row r="97" spans="1:25">
      <c r="A97">
        <v>770</v>
      </c>
      <c r="B97" s="1">
        <f t="shared" si="1"/>
        <v>12.8333333333333</v>
      </c>
      <c r="C97">
        <v>17</v>
      </c>
      <c r="D97" s="1">
        <v>202311061009</v>
      </c>
      <c r="E97">
        <v>1</v>
      </c>
      <c r="F97">
        <v>1</v>
      </c>
      <c r="G97">
        <v>0</v>
      </c>
      <c r="H97">
        <v>1</v>
      </c>
      <c r="I97">
        <v>1</v>
      </c>
      <c r="J97">
        <v>1</v>
      </c>
      <c r="K97">
        <v>1</v>
      </c>
      <c r="L97">
        <v>1</v>
      </c>
      <c r="M97">
        <v>1</v>
      </c>
      <c r="N97">
        <v>1</v>
      </c>
      <c r="O97">
        <v>1</v>
      </c>
      <c r="P97">
        <v>0</v>
      </c>
      <c r="Q97">
        <v>1</v>
      </c>
      <c r="R97">
        <v>1</v>
      </c>
      <c r="S97">
        <v>1</v>
      </c>
      <c r="T97">
        <v>1</v>
      </c>
      <c r="U97">
        <v>1</v>
      </c>
      <c r="V97">
        <v>0</v>
      </c>
      <c r="W97">
        <v>1</v>
      </c>
      <c r="X97">
        <v>0</v>
      </c>
      <c r="Y97">
        <v>1</v>
      </c>
    </row>
    <row r="98" spans="1:25">
      <c r="A98">
        <v>857</v>
      </c>
      <c r="B98" s="1">
        <f t="shared" si="1"/>
        <v>14.283333333333299</v>
      </c>
      <c r="C98">
        <v>17</v>
      </c>
      <c r="D98" s="1">
        <v>202311061048</v>
      </c>
      <c r="E98">
        <v>1</v>
      </c>
      <c r="F98">
        <v>1</v>
      </c>
      <c r="G98">
        <v>1</v>
      </c>
      <c r="H98">
        <v>1</v>
      </c>
      <c r="I98">
        <v>1</v>
      </c>
      <c r="J98">
        <v>1</v>
      </c>
      <c r="K98">
        <v>1</v>
      </c>
      <c r="L98">
        <v>1</v>
      </c>
      <c r="M98">
        <v>1</v>
      </c>
      <c r="N98">
        <v>1</v>
      </c>
      <c r="O98">
        <v>1</v>
      </c>
      <c r="P98">
        <v>0</v>
      </c>
      <c r="Q98">
        <v>1</v>
      </c>
      <c r="R98">
        <v>1</v>
      </c>
      <c r="S98">
        <v>1</v>
      </c>
      <c r="T98">
        <v>1</v>
      </c>
      <c r="U98">
        <v>1</v>
      </c>
      <c r="V98">
        <v>0</v>
      </c>
      <c r="W98">
        <v>1</v>
      </c>
      <c r="X98">
        <v>0</v>
      </c>
      <c r="Y98">
        <v>0</v>
      </c>
    </row>
    <row r="99" spans="1:25">
      <c r="A99">
        <v>933</v>
      </c>
      <c r="B99" s="1">
        <f t="shared" si="1"/>
        <v>15.55</v>
      </c>
      <c r="C99">
        <v>17</v>
      </c>
      <c r="D99" s="1">
        <v>202311998056</v>
      </c>
      <c r="E99">
        <v>1</v>
      </c>
      <c r="F99">
        <v>1</v>
      </c>
      <c r="G99">
        <v>0</v>
      </c>
      <c r="H99">
        <v>1</v>
      </c>
      <c r="I99">
        <v>1</v>
      </c>
      <c r="J99">
        <v>1</v>
      </c>
      <c r="K99">
        <v>1</v>
      </c>
      <c r="L99">
        <v>1</v>
      </c>
      <c r="M99">
        <v>0</v>
      </c>
      <c r="N99">
        <v>1</v>
      </c>
      <c r="O99">
        <v>1</v>
      </c>
      <c r="P99">
        <v>1</v>
      </c>
      <c r="Q99">
        <v>1</v>
      </c>
      <c r="R99">
        <v>1</v>
      </c>
      <c r="S99">
        <v>1</v>
      </c>
      <c r="T99">
        <v>1</v>
      </c>
      <c r="U99">
        <v>1</v>
      </c>
      <c r="V99">
        <v>0</v>
      </c>
      <c r="W99">
        <v>1</v>
      </c>
      <c r="X99">
        <v>1</v>
      </c>
      <c r="Y99">
        <v>0</v>
      </c>
    </row>
    <row r="100" spans="1:25">
      <c r="A100">
        <v>981</v>
      </c>
      <c r="B100" s="1">
        <f t="shared" si="1"/>
        <v>16.350000000000001</v>
      </c>
      <c r="C100">
        <v>17</v>
      </c>
      <c r="D100" s="1">
        <v>202311061008</v>
      </c>
      <c r="E100">
        <v>1</v>
      </c>
      <c r="F100">
        <v>1</v>
      </c>
      <c r="G100">
        <v>1</v>
      </c>
      <c r="H100">
        <v>1</v>
      </c>
      <c r="I100">
        <v>1</v>
      </c>
      <c r="J100">
        <v>0</v>
      </c>
      <c r="K100">
        <v>1</v>
      </c>
      <c r="L100">
        <v>1</v>
      </c>
      <c r="M100">
        <v>1</v>
      </c>
      <c r="N100">
        <v>1</v>
      </c>
      <c r="O100">
        <v>1</v>
      </c>
      <c r="P100">
        <v>1</v>
      </c>
      <c r="Q100">
        <v>1</v>
      </c>
      <c r="R100">
        <v>1</v>
      </c>
      <c r="S100">
        <v>1</v>
      </c>
      <c r="T100">
        <v>0</v>
      </c>
      <c r="U100">
        <v>1</v>
      </c>
      <c r="V100">
        <v>1</v>
      </c>
      <c r="W100">
        <v>1</v>
      </c>
      <c r="X100">
        <v>0</v>
      </c>
      <c r="Y100">
        <v>0</v>
      </c>
    </row>
    <row r="101" spans="1:25">
      <c r="A101">
        <v>1031</v>
      </c>
      <c r="B101" s="1">
        <f t="shared" si="1"/>
        <v>17.183333333333302</v>
      </c>
      <c r="C101">
        <v>17</v>
      </c>
      <c r="D101" s="1">
        <v>202211998097</v>
      </c>
      <c r="E101">
        <v>1</v>
      </c>
      <c r="F101">
        <v>1</v>
      </c>
      <c r="G101">
        <v>1</v>
      </c>
      <c r="H101">
        <v>1</v>
      </c>
      <c r="I101">
        <v>1</v>
      </c>
      <c r="J101">
        <v>1</v>
      </c>
      <c r="K101">
        <v>1</v>
      </c>
      <c r="L101">
        <v>1</v>
      </c>
      <c r="M101">
        <v>0</v>
      </c>
      <c r="N101">
        <v>1</v>
      </c>
      <c r="O101">
        <v>1</v>
      </c>
      <c r="P101">
        <v>1</v>
      </c>
      <c r="Q101">
        <v>1</v>
      </c>
      <c r="R101">
        <v>1</v>
      </c>
      <c r="S101">
        <v>1</v>
      </c>
      <c r="T101">
        <v>0</v>
      </c>
      <c r="U101">
        <v>1</v>
      </c>
      <c r="V101">
        <v>1</v>
      </c>
      <c r="W101">
        <v>1</v>
      </c>
      <c r="X101">
        <v>0</v>
      </c>
      <c r="Y101">
        <v>0</v>
      </c>
    </row>
    <row r="102" spans="1:25">
      <c r="A102">
        <v>1088</v>
      </c>
      <c r="B102" s="1">
        <f t="shared" si="1"/>
        <v>18.133333333333301</v>
      </c>
      <c r="C102">
        <v>17</v>
      </c>
      <c r="D102" s="1">
        <v>202211061053</v>
      </c>
      <c r="E102">
        <v>1</v>
      </c>
      <c r="F102">
        <v>1</v>
      </c>
      <c r="G102">
        <v>0</v>
      </c>
      <c r="H102">
        <v>1</v>
      </c>
      <c r="I102">
        <v>1</v>
      </c>
      <c r="J102">
        <v>1</v>
      </c>
      <c r="K102">
        <v>1</v>
      </c>
      <c r="L102">
        <v>1</v>
      </c>
      <c r="M102">
        <v>0</v>
      </c>
      <c r="N102">
        <v>1</v>
      </c>
      <c r="O102">
        <v>1</v>
      </c>
      <c r="P102">
        <v>1</v>
      </c>
      <c r="Q102">
        <v>1</v>
      </c>
      <c r="R102">
        <v>1</v>
      </c>
      <c r="S102">
        <v>0</v>
      </c>
      <c r="T102">
        <v>1</v>
      </c>
      <c r="U102">
        <v>1</v>
      </c>
      <c r="V102">
        <v>1</v>
      </c>
      <c r="W102">
        <v>0</v>
      </c>
      <c r="X102">
        <v>1</v>
      </c>
      <c r="Y102">
        <v>1</v>
      </c>
    </row>
    <row r="103" spans="1:25">
      <c r="A103">
        <v>1102</v>
      </c>
      <c r="B103" s="1">
        <f t="shared" si="1"/>
        <v>18.366666666666699</v>
      </c>
      <c r="C103">
        <v>17</v>
      </c>
      <c r="D103" s="1">
        <v>202211061093</v>
      </c>
      <c r="E103">
        <v>1</v>
      </c>
      <c r="F103">
        <v>1</v>
      </c>
      <c r="G103">
        <v>1</v>
      </c>
      <c r="H103">
        <v>1</v>
      </c>
      <c r="I103">
        <v>1</v>
      </c>
      <c r="J103">
        <v>1</v>
      </c>
      <c r="K103">
        <v>1</v>
      </c>
      <c r="L103">
        <v>1</v>
      </c>
      <c r="M103">
        <v>1</v>
      </c>
      <c r="N103">
        <v>1</v>
      </c>
      <c r="O103">
        <v>1</v>
      </c>
      <c r="P103">
        <v>1</v>
      </c>
      <c r="Q103">
        <v>1</v>
      </c>
      <c r="R103">
        <v>1</v>
      </c>
      <c r="S103">
        <v>1</v>
      </c>
      <c r="T103">
        <v>0</v>
      </c>
      <c r="U103">
        <v>1</v>
      </c>
      <c r="V103">
        <v>0</v>
      </c>
      <c r="W103">
        <v>0</v>
      </c>
      <c r="X103">
        <v>0</v>
      </c>
      <c r="Y103">
        <v>1</v>
      </c>
    </row>
    <row r="104" spans="1:25">
      <c r="A104">
        <v>1214</v>
      </c>
      <c r="B104" s="1">
        <f t="shared" si="1"/>
        <v>20.233333333333299</v>
      </c>
      <c r="C104">
        <v>17</v>
      </c>
      <c r="D104" s="1">
        <v>202211061078</v>
      </c>
      <c r="E104">
        <v>1</v>
      </c>
      <c r="F104">
        <v>1</v>
      </c>
      <c r="G104">
        <v>1</v>
      </c>
      <c r="H104">
        <v>1</v>
      </c>
      <c r="I104">
        <v>1</v>
      </c>
      <c r="J104">
        <v>1</v>
      </c>
      <c r="K104">
        <v>1</v>
      </c>
      <c r="L104">
        <v>1</v>
      </c>
      <c r="M104">
        <v>0</v>
      </c>
      <c r="N104">
        <v>1</v>
      </c>
      <c r="O104">
        <v>0</v>
      </c>
      <c r="P104">
        <v>1</v>
      </c>
      <c r="Q104">
        <v>1</v>
      </c>
      <c r="R104">
        <v>1</v>
      </c>
      <c r="S104">
        <v>1</v>
      </c>
      <c r="T104">
        <v>1</v>
      </c>
      <c r="U104">
        <v>1</v>
      </c>
      <c r="V104">
        <v>1</v>
      </c>
      <c r="W104">
        <v>0</v>
      </c>
      <c r="X104">
        <v>0</v>
      </c>
      <c r="Y104">
        <v>1</v>
      </c>
    </row>
    <row r="105" spans="1:25">
      <c r="A105">
        <v>1225</v>
      </c>
      <c r="B105" s="1">
        <f t="shared" si="1"/>
        <v>20.4166666666667</v>
      </c>
      <c r="C105">
        <v>17</v>
      </c>
      <c r="D105" s="1">
        <v>202311061039</v>
      </c>
      <c r="E105">
        <v>1</v>
      </c>
      <c r="F105">
        <v>1</v>
      </c>
      <c r="G105">
        <v>1</v>
      </c>
      <c r="H105">
        <v>1</v>
      </c>
      <c r="I105">
        <v>1</v>
      </c>
      <c r="J105">
        <v>0</v>
      </c>
      <c r="K105">
        <v>1</v>
      </c>
      <c r="L105">
        <v>1</v>
      </c>
      <c r="M105">
        <v>1</v>
      </c>
      <c r="N105">
        <v>1</v>
      </c>
      <c r="O105">
        <v>1</v>
      </c>
      <c r="P105">
        <v>1</v>
      </c>
      <c r="Q105">
        <v>1</v>
      </c>
      <c r="R105">
        <v>1</v>
      </c>
      <c r="S105">
        <v>1</v>
      </c>
      <c r="T105">
        <v>0</v>
      </c>
      <c r="U105">
        <v>1</v>
      </c>
      <c r="V105">
        <v>1</v>
      </c>
      <c r="W105">
        <v>1</v>
      </c>
      <c r="X105">
        <v>0</v>
      </c>
      <c r="Y105">
        <v>0</v>
      </c>
    </row>
    <row r="106" spans="1:25">
      <c r="A106">
        <v>1256</v>
      </c>
      <c r="B106" s="1">
        <f t="shared" si="1"/>
        <v>20.933333333333302</v>
      </c>
      <c r="C106">
        <v>17</v>
      </c>
      <c r="D106" s="1">
        <v>202211061082</v>
      </c>
      <c r="E106">
        <v>1</v>
      </c>
      <c r="F106">
        <v>1</v>
      </c>
      <c r="G106">
        <v>0</v>
      </c>
      <c r="H106">
        <v>1</v>
      </c>
      <c r="I106">
        <v>1</v>
      </c>
      <c r="J106">
        <v>1</v>
      </c>
      <c r="K106">
        <v>1</v>
      </c>
      <c r="L106">
        <v>0</v>
      </c>
      <c r="M106">
        <v>1</v>
      </c>
      <c r="N106">
        <v>1</v>
      </c>
      <c r="O106">
        <v>1</v>
      </c>
      <c r="P106">
        <v>1</v>
      </c>
      <c r="Q106">
        <v>1</v>
      </c>
      <c r="R106">
        <v>1</v>
      </c>
      <c r="S106">
        <v>0</v>
      </c>
      <c r="T106">
        <v>1</v>
      </c>
      <c r="U106">
        <v>1</v>
      </c>
      <c r="V106">
        <v>1</v>
      </c>
      <c r="W106">
        <v>0</v>
      </c>
      <c r="X106">
        <v>1</v>
      </c>
      <c r="Y106">
        <v>1</v>
      </c>
    </row>
    <row r="107" spans="1:25">
      <c r="A107">
        <v>1261</v>
      </c>
      <c r="B107" s="1">
        <f t="shared" si="1"/>
        <v>21.016666666666701</v>
      </c>
      <c r="C107">
        <v>17</v>
      </c>
      <c r="D107" s="1">
        <v>202311061082</v>
      </c>
      <c r="E107">
        <v>1</v>
      </c>
      <c r="F107">
        <v>1</v>
      </c>
      <c r="G107">
        <v>0</v>
      </c>
      <c r="H107">
        <v>1</v>
      </c>
      <c r="I107">
        <v>1</v>
      </c>
      <c r="J107">
        <v>1</v>
      </c>
      <c r="K107">
        <v>1</v>
      </c>
      <c r="L107">
        <v>0</v>
      </c>
      <c r="M107">
        <v>0</v>
      </c>
      <c r="N107">
        <v>1</v>
      </c>
      <c r="O107">
        <v>1</v>
      </c>
      <c r="P107">
        <v>0</v>
      </c>
      <c r="Q107">
        <v>1</v>
      </c>
      <c r="R107">
        <v>1</v>
      </c>
      <c r="S107">
        <v>1</v>
      </c>
      <c r="T107">
        <v>1</v>
      </c>
      <c r="U107">
        <v>1</v>
      </c>
      <c r="V107">
        <v>1</v>
      </c>
      <c r="W107">
        <v>1</v>
      </c>
      <c r="X107">
        <v>1</v>
      </c>
      <c r="Y107">
        <v>1</v>
      </c>
    </row>
    <row r="108" spans="1:25">
      <c r="A108">
        <v>1269</v>
      </c>
      <c r="B108" s="1">
        <f t="shared" si="1"/>
        <v>21.15</v>
      </c>
      <c r="C108">
        <v>17</v>
      </c>
      <c r="D108" s="1">
        <v>202211061008</v>
      </c>
      <c r="E108">
        <v>1</v>
      </c>
      <c r="F108">
        <v>1</v>
      </c>
      <c r="G108">
        <v>0</v>
      </c>
      <c r="H108">
        <v>1</v>
      </c>
      <c r="I108">
        <v>1</v>
      </c>
      <c r="J108">
        <v>1</v>
      </c>
      <c r="K108">
        <v>1</v>
      </c>
      <c r="L108">
        <v>1</v>
      </c>
      <c r="M108">
        <v>1</v>
      </c>
      <c r="N108">
        <v>1</v>
      </c>
      <c r="O108">
        <v>1</v>
      </c>
      <c r="P108">
        <v>1</v>
      </c>
      <c r="Q108">
        <v>1</v>
      </c>
      <c r="R108">
        <v>1</v>
      </c>
      <c r="S108">
        <v>1</v>
      </c>
      <c r="T108">
        <v>1</v>
      </c>
      <c r="U108">
        <v>1</v>
      </c>
      <c r="V108">
        <v>0</v>
      </c>
      <c r="W108">
        <v>1</v>
      </c>
      <c r="X108">
        <v>0</v>
      </c>
      <c r="Y108">
        <v>0</v>
      </c>
    </row>
    <row r="109" spans="1:25">
      <c r="A109">
        <v>577</v>
      </c>
      <c r="B109" s="1">
        <f t="shared" si="1"/>
        <v>9.6166666666666707</v>
      </c>
      <c r="C109">
        <v>18</v>
      </c>
      <c r="D109" s="1">
        <v>202211061081</v>
      </c>
      <c r="E109">
        <v>1</v>
      </c>
      <c r="F109">
        <v>1</v>
      </c>
      <c r="G109">
        <v>0</v>
      </c>
      <c r="H109">
        <v>1</v>
      </c>
      <c r="I109">
        <v>1</v>
      </c>
      <c r="J109">
        <v>1</v>
      </c>
      <c r="K109">
        <v>1</v>
      </c>
      <c r="L109">
        <v>1</v>
      </c>
      <c r="M109">
        <v>1</v>
      </c>
      <c r="N109">
        <v>1</v>
      </c>
      <c r="O109">
        <v>0</v>
      </c>
      <c r="P109">
        <v>1</v>
      </c>
      <c r="Q109">
        <v>1</v>
      </c>
      <c r="R109">
        <v>1</v>
      </c>
      <c r="S109">
        <v>1</v>
      </c>
      <c r="T109">
        <v>1</v>
      </c>
      <c r="U109">
        <v>1</v>
      </c>
      <c r="V109">
        <v>1</v>
      </c>
      <c r="W109">
        <v>1</v>
      </c>
      <c r="X109">
        <v>1</v>
      </c>
      <c r="Y109">
        <v>0</v>
      </c>
    </row>
    <row r="110" spans="1:25">
      <c r="A110">
        <v>759</v>
      </c>
      <c r="B110" s="1">
        <f t="shared" si="1"/>
        <v>12.65</v>
      </c>
      <c r="C110">
        <v>18</v>
      </c>
      <c r="D110" s="1">
        <v>202211998311</v>
      </c>
      <c r="E110">
        <v>1</v>
      </c>
      <c r="F110">
        <v>1</v>
      </c>
      <c r="G110">
        <v>0</v>
      </c>
      <c r="H110">
        <v>1</v>
      </c>
      <c r="I110">
        <v>1</v>
      </c>
      <c r="J110">
        <v>1</v>
      </c>
      <c r="K110">
        <v>1</v>
      </c>
      <c r="L110">
        <v>1</v>
      </c>
      <c r="M110">
        <v>1</v>
      </c>
      <c r="N110">
        <v>1</v>
      </c>
      <c r="O110">
        <v>1</v>
      </c>
      <c r="P110">
        <v>1</v>
      </c>
      <c r="Q110">
        <v>1</v>
      </c>
      <c r="R110">
        <v>1</v>
      </c>
      <c r="S110">
        <v>1</v>
      </c>
      <c r="T110">
        <v>1</v>
      </c>
      <c r="U110">
        <v>1</v>
      </c>
      <c r="V110">
        <v>0</v>
      </c>
      <c r="W110">
        <v>1</v>
      </c>
      <c r="X110">
        <v>1</v>
      </c>
      <c r="Y110">
        <v>0</v>
      </c>
    </row>
    <row r="111" spans="1:25">
      <c r="A111">
        <v>820</v>
      </c>
      <c r="B111" s="1">
        <f t="shared" si="1"/>
        <v>13.6666666666667</v>
      </c>
      <c r="C111">
        <v>18</v>
      </c>
      <c r="D111" s="1">
        <v>202211061059</v>
      </c>
      <c r="E111">
        <v>1</v>
      </c>
      <c r="F111">
        <v>1</v>
      </c>
      <c r="G111">
        <v>0</v>
      </c>
      <c r="H111">
        <v>1</v>
      </c>
      <c r="I111">
        <v>1</v>
      </c>
      <c r="J111">
        <v>1</v>
      </c>
      <c r="K111">
        <v>1</v>
      </c>
      <c r="L111">
        <v>1</v>
      </c>
      <c r="M111">
        <v>1</v>
      </c>
      <c r="N111">
        <v>1</v>
      </c>
      <c r="O111">
        <v>1</v>
      </c>
      <c r="P111">
        <v>1</v>
      </c>
      <c r="Q111">
        <v>1</v>
      </c>
      <c r="R111">
        <v>1</v>
      </c>
      <c r="S111">
        <v>1</v>
      </c>
      <c r="T111">
        <v>1</v>
      </c>
      <c r="U111">
        <v>1</v>
      </c>
      <c r="V111">
        <v>1</v>
      </c>
      <c r="W111">
        <v>0</v>
      </c>
      <c r="X111">
        <v>0</v>
      </c>
      <c r="Y111">
        <v>1</v>
      </c>
    </row>
    <row r="112" spans="1:25">
      <c r="A112">
        <v>828</v>
      </c>
      <c r="B112" s="1">
        <f t="shared" si="1"/>
        <v>13.8</v>
      </c>
      <c r="C112">
        <v>18</v>
      </c>
      <c r="D112" s="1">
        <v>202211998010</v>
      </c>
      <c r="E112">
        <v>1</v>
      </c>
      <c r="F112">
        <v>0</v>
      </c>
      <c r="G112">
        <v>1</v>
      </c>
      <c r="H112">
        <v>1</v>
      </c>
      <c r="I112">
        <v>1</v>
      </c>
      <c r="J112">
        <v>1</v>
      </c>
      <c r="K112">
        <v>1</v>
      </c>
      <c r="L112">
        <v>1</v>
      </c>
      <c r="M112">
        <v>0</v>
      </c>
      <c r="N112">
        <v>1</v>
      </c>
      <c r="O112">
        <v>1</v>
      </c>
      <c r="P112">
        <v>1</v>
      </c>
      <c r="Q112">
        <v>1</v>
      </c>
      <c r="R112">
        <v>1</v>
      </c>
      <c r="S112">
        <v>1</v>
      </c>
      <c r="T112">
        <v>1</v>
      </c>
      <c r="U112">
        <v>1</v>
      </c>
      <c r="V112">
        <v>0</v>
      </c>
      <c r="W112">
        <v>1</v>
      </c>
      <c r="X112">
        <v>1</v>
      </c>
      <c r="Y112">
        <v>1</v>
      </c>
    </row>
    <row r="113" spans="1:25">
      <c r="A113">
        <v>830</v>
      </c>
      <c r="B113" s="1">
        <f t="shared" si="1"/>
        <v>13.8333333333333</v>
      </c>
      <c r="C113">
        <v>18</v>
      </c>
      <c r="D113" s="1">
        <v>202311061026</v>
      </c>
      <c r="E113">
        <v>1</v>
      </c>
      <c r="F113">
        <v>1</v>
      </c>
      <c r="G113">
        <v>0</v>
      </c>
      <c r="H113">
        <v>1</v>
      </c>
      <c r="I113">
        <v>1</v>
      </c>
      <c r="J113">
        <v>1</v>
      </c>
      <c r="K113">
        <v>1</v>
      </c>
      <c r="L113">
        <v>1</v>
      </c>
      <c r="M113">
        <v>0</v>
      </c>
      <c r="N113">
        <v>1</v>
      </c>
      <c r="O113">
        <v>1</v>
      </c>
      <c r="P113">
        <v>1</v>
      </c>
      <c r="Q113">
        <v>1</v>
      </c>
      <c r="R113">
        <v>1</v>
      </c>
      <c r="S113">
        <v>1</v>
      </c>
      <c r="T113">
        <v>1</v>
      </c>
      <c r="U113">
        <v>1</v>
      </c>
      <c r="V113">
        <v>1</v>
      </c>
      <c r="W113">
        <v>1</v>
      </c>
      <c r="X113">
        <v>0</v>
      </c>
      <c r="Y113">
        <v>1</v>
      </c>
    </row>
    <row r="114" spans="1:25">
      <c r="A114">
        <v>850</v>
      </c>
      <c r="B114" s="1">
        <f t="shared" si="1"/>
        <v>14.1666666666667</v>
      </c>
      <c r="C114">
        <v>18</v>
      </c>
      <c r="D114" s="1">
        <v>202211061049</v>
      </c>
      <c r="E114">
        <v>1</v>
      </c>
      <c r="F114">
        <v>1</v>
      </c>
      <c r="G114">
        <v>1</v>
      </c>
      <c r="H114">
        <v>1</v>
      </c>
      <c r="I114">
        <v>1</v>
      </c>
      <c r="J114">
        <v>1</v>
      </c>
      <c r="K114">
        <v>1</v>
      </c>
      <c r="L114">
        <v>1</v>
      </c>
      <c r="M114">
        <v>1</v>
      </c>
      <c r="N114">
        <v>1</v>
      </c>
      <c r="O114">
        <v>1</v>
      </c>
      <c r="P114">
        <v>1</v>
      </c>
      <c r="Q114">
        <v>1</v>
      </c>
      <c r="R114">
        <v>1</v>
      </c>
      <c r="S114">
        <v>0</v>
      </c>
      <c r="T114">
        <v>1</v>
      </c>
      <c r="U114">
        <v>1</v>
      </c>
      <c r="V114">
        <v>1</v>
      </c>
      <c r="W114">
        <v>1</v>
      </c>
      <c r="X114">
        <v>0</v>
      </c>
      <c r="Y114">
        <v>0</v>
      </c>
    </row>
    <row r="115" spans="1:25">
      <c r="A115">
        <v>882</v>
      </c>
      <c r="B115" s="1">
        <f t="shared" si="1"/>
        <v>14.7</v>
      </c>
      <c r="C115">
        <v>18</v>
      </c>
      <c r="D115" s="1">
        <v>202311061080</v>
      </c>
      <c r="E115">
        <v>1</v>
      </c>
      <c r="F115">
        <v>1</v>
      </c>
      <c r="G115">
        <v>0</v>
      </c>
      <c r="H115">
        <v>1</v>
      </c>
      <c r="I115">
        <v>1</v>
      </c>
      <c r="J115">
        <v>1</v>
      </c>
      <c r="K115">
        <v>1</v>
      </c>
      <c r="L115">
        <v>1</v>
      </c>
      <c r="M115">
        <v>1</v>
      </c>
      <c r="N115">
        <v>1</v>
      </c>
      <c r="O115">
        <v>0</v>
      </c>
      <c r="P115">
        <v>0</v>
      </c>
      <c r="Q115">
        <v>1</v>
      </c>
      <c r="R115">
        <v>1</v>
      </c>
      <c r="S115">
        <v>1</v>
      </c>
      <c r="T115">
        <v>1</v>
      </c>
      <c r="U115">
        <v>1</v>
      </c>
      <c r="V115">
        <v>1</v>
      </c>
      <c r="W115">
        <v>1</v>
      </c>
      <c r="X115">
        <v>1</v>
      </c>
      <c r="Y115">
        <v>1</v>
      </c>
    </row>
    <row r="116" spans="1:25">
      <c r="A116">
        <v>935</v>
      </c>
      <c r="B116" s="1">
        <f t="shared" si="1"/>
        <v>15.5833333333333</v>
      </c>
      <c r="C116">
        <v>18</v>
      </c>
      <c r="D116" s="1">
        <v>202311998180</v>
      </c>
      <c r="E116">
        <v>1</v>
      </c>
      <c r="F116">
        <v>1</v>
      </c>
      <c r="G116">
        <v>0</v>
      </c>
      <c r="H116">
        <v>1</v>
      </c>
      <c r="I116">
        <v>1</v>
      </c>
      <c r="J116">
        <v>1</v>
      </c>
      <c r="K116">
        <v>1</v>
      </c>
      <c r="L116">
        <v>1</v>
      </c>
      <c r="M116">
        <v>0</v>
      </c>
      <c r="N116">
        <v>1</v>
      </c>
      <c r="O116">
        <v>1</v>
      </c>
      <c r="P116">
        <v>1</v>
      </c>
      <c r="Q116">
        <v>1</v>
      </c>
      <c r="R116">
        <v>1</v>
      </c>
      <c r="S116">
        <v>1</v>
      </c>
      <c r="T116">
        <v>1</v>
      </c>
      <c r="U116">
        <v>1</v>
      </c>
      <c r="V116">
        <v>0</v>
      </c>
      <c r="W116">
        <v>1</v>
      </c>
      <c r="X116">
        <v>1</v>
      </c>
      <c r="Y116">
        <v>1</v>
      </c>
    </row>
    <row r="117" spans="1:25">
      <c r="A117">
        <v>954</v>
      </c>
      <c r="B117" s="1">
        <f t="shared" si="1"/>
        <v>15.9</v>
      </c>
      <c r="C117">
        <v>18</v>
      </c>
      <c r="D117" s="1">
        <v>202211998200</v>
      </c>
      <c r="E117">
        <v>1</v>
      </c>
      <c r="F117">
        <v>1</v>
      </c>
      <c r="G117">
        <v>1</v>
      </c>
      <c r="H117">
        <v>1</v>
      </c>
      <c r="I117">
        <v>1</v>
      </c>
      <c r="J117">
        <v>1</v>
      </c>
      <c r="K117">
        <v>1</v>
      </c>
      <c r="L117">
        <v>1</v>
      </c>
      <c r="M117">
        <v>0</v>
      </c>
      <c r="N117">
        <v>1</v>
      </c>
      <c r="O117">
        <v>1</v>
      </c>
      <c r="P117">
        <v>1</v>
      </c>
      <c r="Q117">
        <v>1</v>
      </c>
      <c r="R117">
        <v>1</v>
      </c>
      <c r="S117">
        <v>1</v>
      </c>
      <c r="T117">
        <v>0</v>
      </c>
      <c r="U117">
        <v>1</v>
      </c>
      <c r="V117">
        <v>1</v>
      </c>
      <c r="W117">
        <v>1</v>
      </c>
      <c r="X117">
        <v>0</v>
      </c>
      <c r="Y117">
        <v>1</v>
      </c>
    </row>
    <row r="118" spans="1:25">
      <c r="A118">
        <v>963</v>
      </c>
      <c r="B118" s="1">
        <f t="shared" si="1"/>
        <v>16.05</v>
      </c>
      <c r="C118">
        <v>18</v>
      </c>
      <c r="D118" s="1">
        <v>202311061011</v>
      </c>
      <c r="E118">
        <v>1</v>
      </c>
      <c r="F118">
        <v>1</v>
      </c>
      <c r="G118">
        <v>0</v>
      </c>
      <c r="H118">
        <v>1</v>
      </c>
      <c r="I118">
        <v>1</v>
      </c>
      <c r="J118">
        <v>1</v>
      </c>
      <c r="K118">
        <v>1</v>
      </c>
      <c r="L118">
        <v>1</v>
      </c>
      <c r="M118">
        <v>1</v>
      </c>
      <c r="N118">
        <v>1</v>
      </c>
      <c r="O118">
        <v>1</v>
      </c>
      <c r="P118">
        <v>1</v>
      </c>
      <c r="Q118">
        <v>1</v>
      </c>
      <c r="R118">
        <v>1</v>
      </c>
      <c r="S118">
        <v>1</v>
      </c>
      <c r="T118">
        <v>1</v>
      </c>
      <c r="U118">
        <v>0</v>
      </c>
      <c r="V118">
        <v>1</v>
      </c>
      <c r="W118">
        <v>1</v>
      </c>
      <c r="X118">
        <v>1</v>
      </c>
      <c r="Y118">
        <v>0</v>
      </c>
    </row>
    <row r="119" spans="1:25">
      <c r="A119">
        <v>979</v>
      </c>
      <c r="B119" s="1">
        <f t="shared" si="1"/>
        <v>16.316666666666698</v>
      </c>
      <c r="C119">
        <v>18</v>
      </c>
      <c r="D119" s="1">
        <v>202311061070</v>
      </c>
      <c r="E119">
        <v>1</v>
      </c>
      <c r="F119">
        <v>1</v>
      </c>
      <c r="G119">
        <v>1</v>
      </c>
      <c r="H119">
        <v>1</v>
      </c>
      <c r="I119">
        <v>1</v>
      </c>
      <c r="J119">
        <v>1</v>
      </c>
      <c r="K119">
        <v>1</v>
      </c>
      <c r="L119">
        <v>1</v>
      </c>
      <c r="M119">
        <v>0</v>
      </c>
      <c r="N119">
        <v>1</v>
      </c>
      <c r="O119">
        <v>1</v>
      </c>
      <c r="P119">
        <v>1</v>
      </c>
      <c r="Q119">
        <v>1</v>
      </c>
      <c r="R119">
        <v>1</v>
      </c>
      <c r="S119">
        <v>1</v>
      </c>
      <c r="T119">
        <v>0</v>
      </c>
      <c r="U119">
        <v>1</v>
      </c>
      <c r="V119">
        <v>1</v>
      </c>
      <c r="W119">
        <v>1</v>
      </c>
      <c r="X119">
        <v>1</v>
      </c>
      <c r="Y119">
        <v>0</v>
      </c>
    </row>
    <row r="120" spans="1:25">
      <c r="A120">
        <v>1000</v>
      </c>
      <c r="B120" s="1">
        <f t="shared" si="1"/>
        <v>16.6666666666667</v>
      </c>
      <c r="C120">
        <v>18</v>
      </c>
      <c r="D120" s="1">
        <v>202211061004</v>
      </c>
      <c r="E120">
        <v>1</v>
      </c>
      <c r="F120">
        <v>1</v>
      </c>
      <c r="G120">
        <v>0</v>
      </c>
      <c r="H120">
        <v>1</v>
      </c>
      <c r="I120">
        <v>1</v>
      </c>
      <c r="J120">
        <v>1</v>
      </c>
      <c r="K120">
        <v>1</v>
      </c>
      <c r="L120">
        <v>1</v>
      </c>
      <c r="M120">
        <v>1</v>
      </c>
      <c r="N120">
        <v>1</v>
      </c>
      <c r="O120">
        <v>1</v>
      </c>
      <c r="P120">
        <v>1</v>
      </c>
      <c r="Q120">
        <v>1</v>
      </c>
      <c r="R120">
        <v>1</v>
      </c>
      <c r="S120">
        <v>1</v>
      </c>
      <c r="T120">
        <v>1</v>
      </c>
      <c r="U120">
        <v>1</v>
      </c>
      <c r="V120">
        <v>0</v>
      </c>
      <c r="W120">
        <v>1</v>
      </c>
      <c r="X120">
        <v>0</v>
      </c>
      <c r="Y120">
        <v>1</v>
      </c>
    </row>
    <row r="121" spans="1:25">
      <c r="A121">
        <v>1009</v>
      </c>
      <c r="B121" s="1">
        <f t="shared" si="1"/>
        <v>16.816666666666698</v>
      </c>
      <c r="C121">
        <v>18</v>
      </c>
      <c r="D121" s="1">
        <v>202211061047</v>
      </c>
      <c r="E121">
        <v>1</v>
      </c>
      <c r="F121">
        <v>1</v>
      </c>
      <c r="G121">
        <v>1</v>
      </c>
      <c r="H121">
        <v>0</v>
      </c>
      <c r="I121">
        <v>1</v>
      </c>
      <c r="J121">
        <v>1</v>
      </c>
      <c r="K121">
        <v>1</v>
      </c>
      <c r="L121">
        <v>1</v>
      </c>
      <c r="M121">
        <v>0</v>
      </c>
      <c r="N121">
        <v>1</v>
      </c>
      <c r="O121">
        <v>1</v>
      </c>
      <c r="P121">
        <v>0</v>
      </c>
      <c r="Q121">
        <v>1</v>
      </c>
      <c r="R121">
        <v>1</v>
      </c>
      <c r="S121">
        <v>1</v>
      </c>
      <c r="T121">
        <v>1</v>
      </c>
      <c r="U121">
        <v>1</v>
      </c>
      <c r="V121">
        <v>1</v>
      </c>
      <c r="W121">
        <v>1</v>
      </c>
      <c r="X121">
        <v>1</v>
      </c>
      <c r="Y121">
        <v>1</v>
      </c>
    </row>
    <row r="122" spans="1:25">
      <c r="A122">
        <v>1034</v>
      </c>
      <c r="B122" s="1">
        <f t="shared" si="1"/>
        <v>17.233333333333299</v>
      </c>
      <c r="C122">
        <v>18</v>
      </c>
      <c r="D122" s="1">
        <v>202311061035</v>
      </c>
      <c r="E122">
        <v>1</v>
      </c>
      <c r="F122">
        <v>1</v>
      </c>
      <c r="G122">
        <v>1</v>
      </c>
      <c r="H122">
        <v>1</v>
      </c>
      <c r="I122">
        <v>1</v>
      </c>
      <c r="J122">
        <v>1</v>
      </c>
      <c r="K122">
        <v>1</v>
      </c>
      <c r="L122">
        <v>1</v>
      </c>
      <c r="M122">
        <v>1</v>
      </c>
      <c r="N122">
        <v>1</v>
      </c>
      <c r="O122">
        <v>1</v>
      </c>
      <c r="P122">
        <v>1</v>
      </c>
      <c r="Q122">
        <v>1</v>
      </c>
      <c r="R122">
        <v>1</v>
      </c>
      <c r="S122">
        <v>0</v>
      </c>
      <c r="T122">
        <v>1</v>
      </c>
      <c r="U122">
        <v>1</v>
      </c>
      <c r="V122">
        <v>1</v>
      </c>
      <c r="W122">
        <v>1</v>
      </c>
      <c r="X122">
        <v>0</v>
      </c>
      <c r="Y122">
        <v>0</v>
      </c>
    </row>
    <row r="123" spans="1:25">
      <c r="A123">
        <v>1050</v>
      </c>
      <c r="B123" s="1">
        <f t="shared" si="1"/>
        <v>17.5</v>
      </c>
      <c r="C123">
        <v>18</v>
      </c>
      <c r="D123" s="1">
        <v>202211998109</v>
      </c>
      <c r="E123">
        <v>1</v>
      </c>
      <c r="F123">
        <v>1</v>
      </c>
      <c r="G123">
        <v>0</v>
      </c>
      <c r="H123">
        <v>1</v>
      </c>
      <c r="I123">
        <v>1</v>
      </c>
      <c r="J123">
        <v>1</v>
      </c>
      <c r="K123">
        <v>1</v>
      </c>
      <c r="L123">
        <v>1</v>
      </c>
      <c r="M123">
        <v>0</v>
      </c>
      <c r="N123">
        <v>1</v>
      </c>
      <c r="O123">
        <v>1</v>
      </c>
      <c r="P123">
        <v>1</v>
      </c>
      <c r="Q123">
        <v>1</v>
      </c>
      <c r="R123">
        <v>1</v>
      </c>
      <c r="S123">
        <v>1</v>
      </c>
      <c r="T123">
        <v>1</v>
      </c>
      <c r="U123">
        <v>1</v>
      </c>
      <c r="V123">
        <v>1</v>
      </c>
      <c r="W123">
        <v>0</v>
      </c>
      <c r="X123">
        <v>1</v>
      </c>
      <c r="Y123">
        <v>1</v>
      </c>
    </row>
    <row r="124" spans="1:25">
      <c r="A124">
        <v>1085</v>
      </c>
      <c r="B124" s="1">
        <f t="shared" si="1"/>
        <v>18.0833333333333</v>
      </c>
      <c r="C124">
        <v>18</v>
      </c>
      <c r="D124" s="1">
        <v>202211061087</v>
      </c>
      <c r="E124">
        <v>1</v>
      </c>
      <c r="F124">
        <v>1</v>
      </c>
      <c r="G124">
        <v>1</v>
      </c>
      <c r="H124">
        <v>1</v>
      </c>
      <c r="I124">
        <v>1</v>
      </c>
      <c r="J124">
        <v>1</v>
      </c>
      <c r="K124">
        <v>0</v>
      </c>
      <c r="L124">
        <v>1</v>
      </c>
      <c r="M124">
        <v>1</v>
      </c>
      <c r="N124">
        <v>1</v>
      </c>
      <c r="O124">
        <v>1</v>
      </c>
      <c r="P124">
        <v>1</v>
      </c>
      <c r="Q124">
        <v>1</v>
      </c>
      <c r="R124">
        <v>1</v>
      </c>
      <c r="S124">
        <v>1</v>
      </c>
      <c r="T124">
        <v>1</v>
      </c>
      <c r="U124">
        <v>1</v>
      </c>
      <c r="V124">
        <v>1</v>
      </c>
      <c r="W124">
        <v>0</v>
      </c>
      <c r="X124">
        <v>0</v>
      </c>
      <c r="Y124">
        <v>1</v>
      </c>
    </row>
    <row r="125" spans="1:25">
      <c r="A125">
        <v>1092</v>
      </c>
      <c r="B125" s="1">
        <f t="shared" si="1"/>
        <v>18.2</v>
      </c>
      <c r="C125">
        <v>18</v>
      </c>
      <c r="D125" s="1">
        <v>202211061090</v>
      </c>
      <c r="E125">
        <v>1</v>
      </c>
      <c r="F125">
        <v>1</v>
      </c>
      <c r="G125">
        <v>1</v>
      </c>
      <c r="H125">
        <v>1</v>
      </c>
      <c r="I125">
        <v>1</v>
      </c>
      <c r="J125">
        <v>1</v>
      </c>
      <c r="K125">
        <v>1</v>
      </c>
      <c r="L125">
        <v>1</v>
      </c>
      <c r="M125">
        <v>0</v>
      </c>
      <c r="N125">
        <v>1</v>
      </c>
      <c r="O125">
        <v>1</v>
      </c>
      <c r="P125">
        <v>1</v>
      </c>
      <c r="Q125">
        <v>1</v>
      </c>
      <c r="R125">
        <v>1</v>
      </c>
      <c r="S125">
        <v>1</v>
      </c>
      <c r="T125">
        <v>1</v>
      </c>
      <c r="U125">
        <v>1</v>
      </c>
      <c r="V125">
        <v>1</v>
      </c>
      <c r="W125">
        <v>0</v>
      </c>
      <c r="X125">
        <v>0</v>
      </c>
      <c r="Y125">
        <v>1</v>
      </c>
    </row>
    <row r="126" spans="1:25">
      <c r="A126">
        <v>1100</v>
      </c>
      <c r="B126" s="1">
        <f t="shared" si="1"/>
        <v>18.3333333333333</v>
      </c>
      <c r="C126">
        <v>18</v>
      </c>
      <c r="D126" s="1">
        <v>202211061028</v>
      </c>
      <c r="E126">
        <v>1</v>
      </c>
      <c r="F126">
        <v>1</v>
      </c>
      <c r="G126">
        <v>1</v>
      </c>
      <c r="H126">
        <v>1</v>
      </c>
      <c r="I126">
        <v>1</v>
      </c>
      <c r="J126">
        <v>1</v>
      </c>
      <c r="K126">
        <v>1</v>
      </c>
      <c r="L126">
        <v>0</v>
      </c>
      <c r="M126">
        <v>0</v>
      </c>
      <c r="N126">
        <v>1</v>
      </c>
      <c r="O126">
        <v>1</v>
      </c>
      <c r="P126">
        <v>1</v>
      </c>
      <c r="Q126">
        <v>1</v>
      </c>
      <c r="R126">
        <v>1</v>
      </c>
      <c r="S126">
        <v>1</v>
      </c>
      <c r="T126">
        <v>1</v>
      </c>
      <c r="U126">
        <v>1</v>
      </c>
      <c r="V126">
        <v>1</v>
      </c>
      <c r="W126">
        <v>1</v>
      </c>
      <c r="X126">
        <v>0</v>
      </c>
      <c r="Y126">
        <v>1</v>
      </c>
    </row>
    <row r="127" spans="1:25">
      <c r="A127">
        <v>1156</v>
      </c>
      <c r="B127" s="1">
        <f t="shared" si="1"/>
        <v>19.266666666666701</v>
      </c>
      <c r="C127">
        <v>18</v>
      </c>
      <c r="D127" s="1">
        <v>202211998310</v>
      </c>
      <c r="E127">
        <v>1</v>
      </c>
      <c r="F127">
        <v>1</v>
      </c>
      <c r="G127">
        <v>1</v>
      </c>
      <c r="H127">
        <v>0</v>
      </c>
      <c r="I127">
        <v>1</v>
      </c>
      <c r="J127">
        <v>1</v>
      </c>
      <c r="K127">
        <v>1</v>
      </c>
      <c r="L127">
        <v>1</v>
      </c>
      <c r="M127">
        <v>0</v>
      </c>
      <c r="N127">
        <v>1</v>
      </c>
      <c r="O127">
        <v>1</v>
      </c>
      <c r="P127">
        <v>1</v>
      </c>
      <c r="Q127">
        <v>1</v>
      </c>
      <c r="R127">
        <v>1</v>
      </c>
      <c r="S127">
        <v>1</v>
      </c>
      <c r="T127">
        <v>1</v>
      </c>
      <c r="U127">
        <v>1</v>
      </c>
      <c r="V127">
        <v>0</v>
      </c>
      <c r="W127">
        <v>1</v>
      </c>
      <c r="X127">
        <v>1</v>
      </c>
      <c r="Y127">
        <v>1</v>
      </c>
    </row>
    <row r="128" spans="1:25">
      <c r="A128">
        <v>1163</v>
      </c>
      <c r="B128" s="1">
        <f t="shared" ref="B128:B141" si="2">A128/60</f>
        <v>19.383333333333301</v>
      </c>
      <c r="C128">
        <v>18</v>
      </c>
      <c r="D128" s="1">
        <v>202311998034</v>
      </c>
      <c r="E128">
        <v>1</v>
      </c>
      <c r="F128">
        <v>1</v>
      </c>
      <c r="G128">
        <v>0</v>
      </c>
      <c r="H128">
        <v>1</v>
      </c>
      <c r="I128">
        <v>1</v>
      </c>
      <c r="J128">
        <v>1</v>
      </c>
      <c r="K128">
        <v>1</v>
      </c>
      <c r="L128">
        <v>1</v>
      </c>
      <c r="M128">
        <v>0</v>
      </c>
      <c r="N128">
        <v>1</v>
      </c>
      <c r="O128">
        <v>1</v>
      </c>
      <c r="P128">
        <v>1</v>
      </c>
      <c r="Q128">
        <v>1</v>
      </c>
      <c r="R128">
        <v>1</v>
      </c>
      <c r="S128">
        <v>1</v>
      </c>
      <c r="T128">
        <v>1</v>
      </c>
      <c r="U128">
        <v>1</v>
      </c>
      <c r="V128">
        <v>1</v>
      </c>
      <c r="W128">
        <v>1</v>
      </c>
      <c r="X128">
        <v>1</v>
      </c>
      <c r="Y128">
        <v>0</v>
      </c>
    </row>
    <row r="129" spans="1:25">
      <c r="A129">
        <v>1192</v>
      </c>
      <c r="B129" s="1">
        <f t="shared" si="2"/>
        <v>19.866666666666699</v>
      </c>
      <c r="C129">
        <v>18</v>
      </c>
      <c r="D129" s="1">
        <v>202311998036</v>
      </c>
      <c r="E129">
        <v>1</v>
      </c>
      <c r="F129">
        <v>1</v>
      </c>
      <c r="G129">
        <v>0</v>
      </c>
      <c r="H129">
        <v>1</v>
      </c>
      <c r="I129">
        <v>1</v>
      </c>
      <c r="J129">
        <v>1</v>
      </c>
      <c r="K129">
        <v>1</v>
      </c>
      <c r="L129">
        <v>1</v>
      </c>
      <c r="M129">
        <v>1</v>
      </c>
      <c r="N129">
        <v>1</v>
      </c>
      <c r="O129">
        <v>1</v>
      </c>
      <c r="P129">
        <v>1</v>
      </c>
      <c r="Q129">
        <v>1</v>
      </c>
      <c r="R129">
        <v>1</v>
      </c>
      <c r="S129">
        <v>1</v>
      </c>
      <c r="T129">
        <v>0</v>
      </c>
      <c r="U129">
        <v>1</v>
      </c>
      <c r="V129">
        <v>1</v>
      </c>
      <c r="W129">
        <v>1</v>
      </c>
      <c r="X129">
        <v>1</v>
      </c>
      <c r="Y129">
        <v>0</v>
      </c>
    </row>
    <row r="130" spans="1:25">
      <c r="A130">
        <v>1210</v>
      </c>
      <c r="B130" s="1">
        <f t="shared" si="2"/>
        <v>20.1666666666667</v>
      </c>
      <c r="C130">
        <v>18</v>
      </c>
      <c r="D130" s="1">
        <v>202211061019</v>
      </c>
      <c r="E130">
        <v>1</v>
      </c>
      <c r="F130">
        <v>1</v>
      </c>
      <c r="G130">
        <v>1</v>
      </c>
      <c r="H130">
        <v>1</v>
      </c>
      <c r="I130">
        <v>1</v>
      </c>
      <c r="J130">
        <v>1</v>
      </c>
      <c r="K130">
        <v>1</v>
      </c>
      <c r="L130">
        <v>1</v>
      </c>
      <c r="M130">
        <v>1</v>
      </c>
      <c r="N130">
        <v>1</v>
      </c>
      <c r="O130">
        <v>1</v>
      </c>
      <c r="P130">
        <v>0</v>
      </c>
      <c r="Q130">
        <v>1</v>
      </c>
      <c r="R130">
        <v>0</v>
      </c>
      <c r="S130">
        <v>1</v>
      </c>
      <c r="T130">
        <v>1</v>
      </c>
      <c r="U130">
        <v>1</v>
      </c>
      <c r="V130">
        <v>1</v>
      </c>
      <c r="W130">
        <v>1</v>
      </c>
      <c r="X130">
        <v>1</v>
      </c>
      <c r="Y130">
        <v>0</v>
      </c>
    </row>
    <row r="131" spans="1:25">
      <c r="A131">
        <v>1280</v>
      </c>
      <c r="B131" s="1">
        <f t="shared" si="2"/>
        <v>21.3333333333333</v>
      </c>
      <c r="C131">
        <v>18</v>
      </c>
      <c r="D131" s="1">
        <v>202111061057</v>
      </c>
      <c r="E131">
        <v>0</v>
      </c>
      <c r="F131">
        <v>1</v>
      </c>
      <c r="G131">
        <v>1</v>
      </c>
      <c r="H131">
        <v>1</v>
      </c>
      <c r="I131">
        <v>1</v>
      </c>
      <c r="J131">
        <v>1</v>
      </c>
      <c r="K131">
        <v>1</v>
      </c>
      <c r="L131">
        <v>1</v>
      </c>
      <c r="M131">
        <v>1</v>
      </c>
      <c r="N131">
        <v>1</v>
      </c>
      <c r="O131">
        <v>1</v>
      </c>
      <c r="P131">
        <v>1</v>
      </c>
      <c r="Q131">
        <v>1</v>
      </c>
      <c r="R131">
        <v>1</v>
      </c>
      <c r="S131">
        <v>0</v>
      </c>
      <c r="T131">
        <v>1</v>
      </c>
      <c r="U131">
        <v>1</v>
      </c>
      <c r="V131">
        <v>1</v>
      </c>
      <c r="W131">
        <v>1</v>
      </c>
      <c r="X131">
        <v>0</v>
      </c>
      <c r="Y131">
        <v>1</v>
      </c>
    </row>
    <row r="132" spans="1:25">
      <c r="A132">
        <v>3</v>
      </c>
      <c r="B132" s="1">
        <f t="shared" si="2"/>
        <v>0.05</v>
      </c>
      <c r="C132">
        <v>19</v>
      </c>
      <c r="D132" s="1">
        <v>202211061065</v>
      </c>
      <c r="E132">
        <v>1</v>
      </c>
      <c r="F132">
        <v>1</v>
      </c>
      <c r="G132">
        <v>1</v>
      </c>
      <c r="H132">
        <v>1</v>
      </c>
      <c r="I132">
        <v>1</v>
      </c>
      <c r="J132">
        <v>1</v>
      </c>
      <c r="K132">
        <v>1</v>
      </c>
      <c r="L132">
        <v>1</v>
      </c>
      <c r="M132">
        <v>1</v>
      </c>
      <c r="N132">
        <v>0</v>
      </c>
      <c r="O132">
        <v>1</v>
      </c>
      <c r="P132">
        <v>1</v>
      </c>
      <c r="Q132">
        <v>1</v>
      </c>
      <c r="R132">
        <v>1</v>
      </c>
      <c r="S132">
        <v>1</v>
      </c>
      <c r="T132">
        <v>1</v>
      </c>
      <c r="U132">
        <v>1</v>
      </c>
      <c r="V132">
        <v>0</v>
      </c>
      <c r="W132">
        <v>1</v>
      </c>
      <c r="X132">
        <v>1</v>
      </c>
      <c r="Y132">
        <v>1</v>
      </c>
    </row>
    <row r="133" spans="1:25">
      <c r="A133">
        <v>720</v>
      </c>
      <c r="B133" s="1">
        <f t="shared" si="2"/>
        <v>12</v>
      </c>
      <c r="C133">
        <v>19</v>
      </c>
      <c r="D133" s="1">
        <v>202211999003</v>
      </c>
      <c r="E133">
        <v>1</v>
      </c>
      <c r="F133">
        <v>1</v>
      </c>
      <c r="G133">
        <v>0</v>
      </c>
      <c r="H133">
        <v>1</v>
      </c>
      <c r="I133">
        <v>1</v>
      </c>
      <c r="J133">
        <v>1</v>
      </c>
      <c r="K133">
        <v>1</v>
      </c>
      <c r="L133">
        <v>1</v>
      </c>
      <c r="M133">
        <v>1</v>
      </c>
      <c r="N133">
        <v>1</v>
      </c>
      <c r="O133">
        <v>1</v>
      </c>
      <c r="P133">
        <v>1</v>
      </c>
      <c r="Q133">
        <v>1</v>
      </c>
      <c r="R133">
        <v>1</v>
      </c>
      <c r="S133">
        <v>1</v>
      </c>
      <c r="T133">
        <v>1</v>
      </c>
      <c r="U133">
        <v>0</v>
      </c>
      <c r="V133">
        <v>1</v>
      </c>
      <c r="W133">
        <v>1</v>
      </c>
      <c r="X133">
        <v>1</v>
      </c>
      <c r="Y133">
        <v>1</v>
      </c>
    </row>
    <row r="134" spans="1:25">
      <c r="A134">
        <v>876</v>
      </c>
      <c r="B134" s="1">
        <f t="shared" si="2"/>
        <v>14.6</v>
      </c>
      <c r="C134">
        <v>19</v>
      </c>
      <c r="D134" s="1">
        <v>202211998077</v>
      </c>
      <c r="E134">
        <v>1</v>
      </c>
      <c r="F134">
        <v>1</v>
      </c>
      <c r="G134">
        <v>1</v>
      </c>
      <c r="H134">
        <v>1</v>
      </c>
      <c r="I134">
        <v>1</v>
      </c>
      <c r="J134">
        <v>1</v>
      </c>
      <c r="K134">
        <v>1</v>
      </c>
      <c r="L134">
        <v>1</v>
      </c>
      <c r="M134">
        <v>1</v>
      </c>
      <c r="N134">
        <v>1</v>
      </c>
      <c r="O134">
        <v>1</v>
      </c>
      <c r="P134">
        <v>1</v>
      </c>
      <c r="Q134">
        <v>1</v>
      </c>
      <c r="R134">
        <v>1</v>
      </c>
      <c r="S134">
        <v>1</v>
      </c>
      <c r="T134">
        <v>1</v>
      </c>
      <c r="U134">
        <v>1</v>
      </c>
      <c r="V134">
        <v>0</v>
      </c>
      <c r="W134">
        <v>1</v>
      </c>
      <c r="X134">
        <v>0</v>
      </c>
      <c r="Y134">
        <v>1</v>
      </c>
    </row>
    <row r="135" spans="1:25">
      <c r="A135">
        <v>1045</v>
      </c>
      <c r="B135" s="1">
        <f t="shared" si="2"/>
        <v>17.4166666666667</v>
      </c>
      <c r="C135">
        <v>19</v>
      </c>
      <c r="D135" s="1">
        <v>202311061010</v>
      </c>
      <c r="E135">
        <v>1</v>
      </c>
      <c r="F135">
        <v>1</v>
      </c>
      <c r="G135">
        <v>1</v>
      </c>
      <c r="H135">
        <v>1</v>
      </c>
      <c r="I135">
        <v>1</v>
      </c>
      <c r="J135">
        <v>1</v>
      </c>
      <c r="K135">
        <v>1</v>
      </c>
      <c r="L135">
        <v>1</v>
      </c>
      <c r="M135">
        <v>0</v>
      </c>
      <c r="N135">
        <v>1</v>
      </c>
      <c r="O135">
        <v>1</v>
      </c>
      <c r="P135">
        <v>1</v>
      </c>
      <c r="Q135">
        <v>1</v>
      </c>
      <c r="R135">
        <v>1</v>
      </c>
      <c r="S135">
        <v>1</v>
      </c>
      <c r="T135">
        <v>1</v>
      </c>
      <c r="U135">
        <v>1</v>
      </c>
      <c r="V135">
        <v>0</v>
      </c>
      <c r="W135">
        <v>1</v>
      </c>
      <c r="X135">
        <v>1</v>
      </c>
      <c r="Y135">
        <v>1</v>
      </c>
    </row>
    <row r="136" spans="1:25">
      <c r="A136">
        <v>1089</v>
      </c>
      <c r="B136" s="1">
        <f t="shared" si="2"/>
        <v>18.149999999999999</v>
      </c>
      <c r="C136">
        <v>19</v>
      </c>
      <c r="D136" s="1">
        <v>202211998332</v>
      </c>
      <c r="E136">
        <v>0</v>
      </c>
      <c r="F136">
        <v>1</v>
      </c>
      <c r="G136">
        <v>1</v>
      </c>
      <c r="H136">
        <v>1</v>
      </c>
      <c r="I136">
        <v>1</v>
      </c>
      <c r="J136">
        <v>1</v>
      </c>
      <c r="K136">
        <v>1</v>
      </c>
      <c r="L136">
        <v>1</v>
      </c>
      <c r="M136">
        <v>1</v>
      </c>
      <c r="N136">
        <v>1</v>
      </c>
      <c r="O136">
        <v>1</v>
      </c>
      <c r="P136">
        <v>1</v>
      </c>
      <c r="Q136">
        <v>1</v>
      </c>
      <c r="R136">
        <v>1</v>
      </c>
      <c r="S136">
        <v>0</v>
      </c>
      <c r="T136">
        <v>1</v>
      </c>
      <c r="U136">
        <v>1</v>
      </c>
      <c r="V136">
        <v>1</v>
      </c>
      <c r="W136">
        <v>1</v>
      </c>
      <c r="X136">
        <v>1</v>
      </c>
      <c r="Y136">
        <v>1</v>
      </c>
    </row>
    <row r="137" spans="1:25">
      <c r="A137">
        <v>1091</v>
      </c>
      <c r="B137" s="1">
        <f t="shared" si="2"/>
        <v>18.183333333333302</v>
      </c>
      <c r="C137">
        <v>19</v>
      </c>
      <c r="D137" s="1">
        <v>202211200026</v>
      </c>
      <c r="E137">
        <v>1</v>
      </c>
      <c r="F137">
        <v>1</v>
      </c>
      <c r="G137">
        <v>1</v>
      </c>
      <c r="H137">
        <v>1</v>
      </c>
      <c r="I137">
        <v>1</v>
      </c>
      <c r="J137">
        <v>1</v>
      </c>
      <c r="K137">
        <v>1</v>
      </c>
      <c r="L137">
        <v>1</v>
      </c>
      <c r="M137">
        <v>1</v>
      </c>
      <c r="N137">
        <v>1</v>
      </c>
      <c r="O137">
        <v>1</v>
      </c>
      <c r="P137">
        <v>1</v>
      </c>
      <c r="Q137">
        <v>1</v>
      </c>
      <c r="R137">
        <v>1</v>
      </c>
      <c r="S137">
        <v>1</v>
      </c>
      <c r="T137">
        <v>1</v>
      </c>
      <c r="U137">
        <v>1</v>
      </c>
      <c r="V137">
        <v>1</v>
      </c>
      <c r="W137">
        <v>1</v>
      </c>
      <c r="X137">
        <v>0</v>
      </c>
      <c r="Y137">
        <v>0</v>
      </c>
    </row>
    <row r="138" spans="1:25">
      <c r="A138">
        <v>1099</v>
      </c>
      <c r="B138" s="1">
        <f t="shared" si="2"/>
        <v>18.316666666666698</v>
      </c>
      <c r="C138">
        <v>19</v>
      </c>
      <c r="D138" s="1">
        <v>202311061043</v>
      </c>
      <c r="E138">
        <v>1</v>
      </c>
      <c r="F138">
        <v>1</v>
      </c>
      <c r="G138">
        <v>1</v>
      </c>
      <c r="H138">
        <v>1</v>
      </c>
      <c r="I138">
        <v>1</v>
      </c>
      <c r="J138">
        <v>1</v>
      </c>
      <c r="K138">
        <v>1</v>
      </c>
      <c r="L138">
        <v>1</v>
      </c>
      <c r="M138">
        <v>1</v>
      </c>
      <c r="N138">
        <v>1</v>
      </c>
      <c r="O138">
        <v>1</v>
      </c>
      <c r="P138">
        <v>1</v>
      </c>
      <c r="Q138">
        <v>1</v>
      </c>
      <c r="R138">
        <v>1</v>
      </c>
      <c r="S138">
        <v>1</v>
      </c>
      <c r="T138">
        <v>1</v>
      </c>
      <c r="U138">
        <v>0</v>
      </c>
      <c r="V138">
        <v>0</v>
      </c>
      <c r="W138">
        <v>1</v>
      </c>
      <c r="X138">
        <v>1</v>
      </c>
      <c r="Y138">
        <v>1</v>
      </c>
    </row>
    <row r="139" spans="1:25">
      <c r="A139">
        <v>1314</v>
      </c>
      <c r="B139" s="1">
        <f t="shared" si="2"/>
        <v>21.9</v>
      </c>
      <c r="C139">
        <v>19</v>
      </c>
      <c r="D139" s="1">
        <v>202211061064</v>
      </c>
      <c r="E139">
        <v>1</v>
      </c>
      <c r="F139">
        <v>1</v>
      </c>
      <c r="G139">
        <v>1</v>
      </c>
      <c r="H139">
        <v>1</v>
      </c>
      <c r="I139">
        <v>1</v>
      </c>
      <c r="J139">
        <v>1</v>
      </c>
      <c r="K139">
        <v>1</v>
      </c>
      <c r="L139">
        <v>1</v>
      </c>
      <c r="M139">
        <v>0</v>
      </c>
      <c r="N139">
        <v>1</v>
      </c>
      <c r="O139">
        <v>1</v>
      </c>
      <c r="P139">
        <v>1</v>
      </c>
      <c r="Q139">
        <v>1</v>
      </c>
      <c r="R139">
        <v>1</v>
      </c>
      <c r="S139">
        <v>1</v>
      </c>
      <c r="T139">
        <v>1</v>
      </c>
      <c r="U139">
        <v>1</v>
      </c>
      <c r="V139">
        <v>1</v>
      </c>
      <c r="W139">
        <v>1</v>
      </c>
      <c r="X139">
        <v>0</v>
      </c>
      <c r="Y139">
        <v>1</v>
      </c>
    </row>
    <row r="140" spans="1:25">
      <c r="A140">
        <v>650</v>
      </c>
      <c r="B140" s="1">
        <f t="shared" si="2"/>
        <v>10.8333333333333</v>
      </c>
      <c r="C140">
        <v>20</v>
      </c>
      <c r="D140" s="1">
        <v>202211998083</v>
      </c>
      <c r="E140">
        <v>1</v>
      </c>
      <c r="F140">
        <v>1</v>
      </c>
      <c r="G140">
        <v>1</v>
      </c>
      <c r="H140">
        <v>1</v>
      </c>
      <c r="I140">
        <v>1</v>
      </c>
      <c r="J140">
        <v>1</v>
      </c>
      <c r="K140">
        <v>1</v>
      </c>
      <c r="L140">
        <v>1</v>
      </c>
      <c r="M140">
        <v>1</v>
      </c>
      <c r="N140">
        <v>1</v>
      </c>
      <c r="O140">
        <v>1</v>
      </c>
      <c r="P140">
        <v>1</v>
      </c>
      <c r="Q140">
        <v>1</v>
      </c>
      <c r="R140">
        <v>1</v>
      </c>
      <c r="S140">
        <v>1</v>
      </c>
      <c r="T140">
        <v>1</v>
      </c>
      <c r="U140">
        <v>1</v>
      </c>
      <c r="V140">
        <v>1</v>
      </c>
      <c r="W140">
        <v>0</v>
      </c>
      <c r="X140">
        <v>1</v>
      </c>
      <c r="Y140">
        <v>1</v>
      </c>
    </row>
    <row r="141" spans="1:25">
      <c r="A141">
        <v>1042</v>
      </c>
      <c r="B141" s="1">
        <f t="shared" si="2"/>
        <v>17.366666666666699</v>
      </c>
      <c r="C141">
        <v>20</v>
      </c>
      <c r="D141" s="1">
        <v>202211061015</v>
      </c>
      <c r="E141">
        <v>1</v>
      </c>
      <c r="F141">
        <v>1</v>
      </c>
      <c r="G141">
        <v>0</v>
      </c>
      <c r="H141">
        <v>1</v>
      </c>
      <c r="I141">
        <v>1</v>
      </c>
      <c r="J141">
        <v>1</v>
      </c>
      <c r="K141">
        <v>1</v>
      </c>
      <c r="L141">
        <v>1</v>
      </c>
      <c r="M141">
        <v>1</v>
      </c>
      <c r="N141">
        <v>1</v>
      </c>
      <c r="O141">
        <v>1</v>
      </c>
      <c r="P141">
        <v>1</v>
      </c>
      <c r="Q141">
        <v>1</v>
      </c>
      <c r="R141">
        <v>1</v>
      </c>
      <c r="S141">
        <v>1</v>
      </c>
      <c r="T141">
        <v>1</v>
      </c>
      <c r="U141">
        <v>1</v>
      </c>
      <c r="V141">
        <v>1</v>
      </c>
      <c r="W141">
        <v>1</v>
      </c>
      <c r="X141">
        <v>1</v>
      </c>
      <c r="Y141">
        <v>1</v>
      </c>
    </row>
  </sheetData>
  <autoFilter ref="B1:B141" xr:uid="{00000000-0009-0000-0000-000007000000}"/>
  <phoneticPr fontId="5"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B152"/>
  <sheetViews>
    <sheetView topLeftCell="A77" workbookViewId="0">
      <selection activeCell="K112" sqref="K112"/>
    </sheetView>
  </sheetViews>
  <sheetFormatPr baseColWidth="10" defaultColWidth="9.1640625" defaultRowHeight="15"/>
  <sheetData>
    <row r="1" spans="1:80" s="31" customFormat="1" ht="18" customHeight="1">
      <c r="A1" s="4" t="s">
        <v>0</v>
      </c>
      <c r="B1" s="8" t="s">
        <v>211</v>
      </c>
      <c r="C1" s="8" t="s">
        <v>212</v>
      </c>
      <c r="D1" s="5" t="s">
        <v>1</v>
      </c>
      <c r="E1" s="5" t="s">
        <v>2</v>
      </c>
      <c r="F1" s="8" t="s">
        <v>213</v>
      </c>
      <c r="G1" s="8" t="s">
        <v>214</v>
      </c>
      <c r="H1" s="5" t="s">
        <v>215</v>
      </c>
      <c r="I1" s="8" t="s">
        <v>216</v>
      </c>
      <c r="J1" s="8" t="s">
        <v>3</v>
      </c>
      <c r="K1" s="6" t="s">
        <v>217</v>
      </c>
      <c r="L1" s="6" t="s">
        <v>212</v>
      </c>
      <c r="M1" s="6" t="s">
        <v>4</v>
      </c>
      <c r="N1" s="6" t="s">
        <v>5</v>
      </c>
      <c r="O1" s="6" t="s">
        <v>213</v>
      </c>
      <c r="P1" s="6" t="s">
        <v>214</v>
      </c>
      <c r="Q1" s="7" t="s">
        <v>218</v>
      </c>
      <c r="R1" s="6" t="s">
        <v>219</v>
      </c>
      <c r="S1" s="6" t="s">
        <v>6</v>
      </c>
      <c r="T1" s="6" t="s">
        <v>216</v>
      </c>
      <c r="U1" s="6" t="s">
        <v>7</v>
      </c>
      <c r="V1" s="9" t="s">
        <v>220</v>
      </c>
      <c r="W1" s="9" t="s">
        <v>221</v>
      </c>
      <c r="X1" s="9" t="s">
        <v>8</v>
      </c>
      <c r="Y1" s="9" t="s">
        <v>9</v>
      </c>
      <c r="Z1" s="9" t="s">
        <v>213</v>
      </c>
      <c r="AA1" s="9" t="s">
        <v>214</v>
      </c>
      <c r="AB1" s="10" t="s">
        <v>222</v>
      </c>
      <c r="AC1" s="32" t="s">
        <v>219</v>
      </c>
      <c r="AD1" s="9" t="s">
        <v>10</v>
      </c>
      <c r="AE1" s="9" t="s">
        <v>216</v>
      </c>
      <c r="AF1" s="9" t="s">
        <v>11</v>
      </c>
      <c r="AG1" s="11" t="s">
        <v>223</v>
      </c>
      <c r="AH1" s="11" t="s">
        <v>221</v>
      </c>
      <c r="AI1" s="11" t="s">
        <v>12</v>
      </c>
      <c r="AJ1" s="11" t="s">
        <v>13</v>
      </c>
      <c r="AK1" s="11" t="s">
        <v>219</v>
      </c>
      <c r="AL1" s="11" t="s">
        <v>14</v>
      </c>
      <c r="AM1" s="11" t="s">
        <v>216</v>
      </c>
      <c r="AN1" s="11" t="s">
        <v>15</v>
      </c>
      <c r="AO1" s="6" t="s">
        <v>224</v>
      </c>
      <c r="AP1" s="6" t="s">
        <v>212</v>
      </c>
      <c r="AQ1" s="6" t="s">
        <v>16</v>
      </c>
      <c r="AR1" s="6" t="s">
        <v>17</v>
      </c>
      <c r="AS1" s="6" t="s">
        <v>213</v>
      </c>
      <c r="AT1" s="6" t="s">
        <v>214</v>
      </c>
      <c r="AU1" s="6" t="s">
        <v>18</v>
      </c>
      <c r="AV1" s="7" t="s">
        <v>19</v>
      </c>
      <c r="AW1" s="6" t="s">
        <v>219</v>
      </c>
      <c r="AX1" s="6" t="s">
        <v>20</v>
      </c>
      <c r="AY1" s="6" t="s">
        <v>216</v>
      </c>
      <c r="AZ1" s="6" t="s">
        <v>21</v>
      </c>
      <c r="BA1" s="9" t="s">
        <v>225</v>
      </c>
      <c r="BB1" s="9" t="s">
        <v>212</v>
      </c>
      <c r="BC1" s="9" t="s">
        <v>22</v>
      </c>
      <c r="BD1" s="9" t="s">
        <v>23</v>
      </c>
      <c r="BE1" s="9" t="s">
        <v>219</v>
      </c>
      <c r="BF1" s="9" t="s">
        <v>24</v>
      </c>
      <c r="BG1" s="9" t="s">
        <v>216</v>
      </c>
      <c r="BH1" s="9" t="s">
        <v>25</v>
      </c>
      <c r="BI1" s="8" t="s">
        <v>226</v>
      </c>
      <c r="BJ1" s="8" t="s">
        <v>212</v>
      </c>
      <c r="BK1" s="8" t="s">
        <v>26</v>
      </c>
      <c r="BL1" s="8" t="s">
        <v>27</v>
      </c>
      <c r="BM1" s="8" t="s">
        <v>219</v>
      </c>
      <c r="BN1" s="8" t="s">
        <v>29</v>
      </c>
      <c r="BO1" s="8" t="s">
        <v>216</v>
      </c>
      <c r="BP1" s="8" t="s">
        <v>30</v>
      </c>
      <c r="BQ1" s="11" t="s">
        <v>227</v>
      </c>
      <c r="BR1" s="11" t="s">
        <v>212</v>
      </c>
      <c r="BS1" s="11" t="s">
        <v>26</v>
      </c>
      <c r="BT1" s="11" t="s">
        <v>27</v>
      </c>
      <c r="BU1" s="11" t="s">
        <v>213</v>
      </c>
      <c r="BV1" s="11" t="s">
        <v>214</v>
      </c>
      <c r="BW1" s="11" t="s">
        <v>28</v>
      </c>
      <c r="BX1" s="11" t="s">
        <v>219</v>
      </c>
      <c r="BY1" s="11" t="s">
        <v>29</v>
      </c>
      <c r="BZ1" s="11" t="s">
        <v>216</v>
      </c>
      <c r="CA1" s="11" t="s">
        <v>30</v>
      </c>
      <c r="CB1" s="22"/>
    </row>
    <row r="2" spans="1:80" s="31" customFormat="1" ht="18" customHeight="1">
      <c r="A2">
        <v>10001</v>
      </c>
      <c r="B2" s="8"/>
      <c r="C2" s="8" t="s">
        <v>228</v>
      </c>
      <c r="D2" s="5">
        <v>1</v>
      </c>
      <c r="E2" s="5">
        <v>1</v>
      </c>
      <c r="F2" s="8" t="s">
        <v>229</v>
      </c>
      <c r="G2" s="8"/>
      <c r="H2" s="8">
        <v>3</v>
      </c>
      <c r="I2" s="8" t="s">
        <v>108</v>
      </c>
      <c r="J2" s="8" t="s">
        <v>42</v>
      </c>
      <c r="K2" s="6"/>
      <c r="L2" s="6" t="s">
        <v>230</v>
      </c>
      <c r="M2" s="6">
        <v>1</v>
      </c>
      <c r="N2" s="6">
        <v>1</v>
      </c>
      <c r="O2" s="6" t="s">
        <v>231</v>
      </c>
      <c r="P2" s="6" t="s">
        <v>232</v>
      </c>
      <c r="Q2" s="7">
        <v>3</v>
      </c>
      <c r="R2" s="6" t="s">
        <v>233</v>
      </c>
      <c r="S2" s="6">
        <v>0.5</v>
      </c>
      <c r="T2" s="6" t="s">
        <v>39</v>
      </c>
      <c r="U2" s="6" t="s">
        <v>42</v>
      </c>
      <c r="V2" s="9"/>
      <c r="W2" s="9" t="s">
        <v>234</v>
      </c>
      <c r="X2" s="9">
        <v>1</v>
      </c>
      <c r="Y2" s="9">
        <v>1</v>
      </c>
      <c r="Z2" s="9" t="s">
        <v>235</v>
      </c>
      <c r="AA2" s="9" t="s">
        <v>236</v>
      </c>
      <c r="AB2" s="9">
        <v>3</v>
      </c>
      <c r="AC2" s="32" t="s">
        <v>237</v>
      </c>
      <c r="AD2" s="9">
        <v>0.5</v>
      </c>
      <c r="AE2" s="9" t="s">
        <v>39</v>
      </c>
      <c r="AF2" s="9" t="s">
        <v>42</v>
      </c>
      <c r="AG2" s="11"/>
      <c r="AH2" s="11" t="s">
        <v>238</v>
      </c>
      <c r="AI2" s="11">
        <v>1</v>
      </c>
      <c r="AJ2" s="11">
        <v>0</v>
      </c>
      <c r="AK2" s="11" t="s">
        <v>239</v>
      </c>
      <c r="AL2" s="11">
        <v>0.5</v>
      </c>
      <c r="AM2" s="11" t="s">
        <v>240</v>
      </c>
      <c r="AN2" s="11" t="s">
        <v>37</v>
      </c>
      <c r="AO2" s="6"/>
      <c r="AP2" s="6" t="s">
        <v>241</v>
      </c>
      <c r="AQ2" s="6">
        <v>1</v>
      </c>
      <c r="AR2" s="6">
        <v>1</v>
      </c>
      <c r="AS2" s="6" t="s">
        <v>242</v>
      </c>
      <c r="AT2" s="6" t="s">
        <v>243</v>
      </c>
      <c r="AU2" s="6">
        <v>0</v>
      </c>
      <c r="AV2" s="7">
        <v>0</v>
      </c>
      <c r="AW2" s="6" t="s">
        <v>244</v>
      </c>
      <c r="AX2" s="6">
        <v>0</v>
      </c>
      <c r="AY2" s="6" t="s">
        <v>245</v>
      </c>
      <c r="AZ2" s="6" t="s">
        <v>67</v>
      </c>
      <c r="BA2" s="9"/>
      <c r="BB2" s="9" t="s">
        <v>246</v>
      </c>
      <c r="BC2" s="9">
        <v>1</v>
      </c>
      <c r="BD2" s="9">
        <v>1</v>
      </c>
      <c r="BE2" s="9" t="s">
        <v>40</v>
      </c>
      <c r="BF2" s="9">
        <v>0.5</v>
      </c>
      <c r="BG2" s="9" t="s">
        <v>247</v>
      </c>
      <c r="BH2" s="9" t="s">
        <v>37</v>
      </c>
      <c r="BI2" s="8"/>
      <c r="BJ2" s="8" t="s">
        <v>248</v>
      </c>
      <c r="BK2" s="8">
        <v>1</v>
      </c>
      <c r="BL2" s="8">
        <v>1</v>
      </c>
      <c r="BM2" s="8" t="s">
        <v>59</v>
      </c>
      <c r="BN2" s="8">
        <v>0</v>
      </c>
      <c r="BO2" s="8" t="s">
        <v>249</v>
      </c>
      <c r="BP2" s="8" t="s">
        <v>37</v>
      </c>
      <c r="BQ2" s="11"/>
      <c r="BR2" s="11" t="s">
        <v>250</v>
      </c>
      <c r="BS2" s="11">
        <v>1</v>
      </c>
      <c r="BT2" s="11">
        <v>1</v>
      </c>
      <c r="BU2" s="11" t="s">
        <v>251</v>
      </c>
      <c r="BV2" s="11" t="s">
        <v>252</v>
      </c>
      <c r="BW2" s="11">
        <v>3</v>
      </c>
      <c r="BX2" s="11" t="s">
        <v>253</v>
      </c>
      <c r="BY2" s="11">
        <v>0.5</v>
      </c>
      <c r="BZ2" s="11" t="s">
        <v>254</v>
      </c>
      <c r="CA2" s="11" t="s">
        <v>67</v>
      </c>
      <c r="CB2" s="22"/>
    </row>
    <row r="3" spans="1:80" s="31" customFormat="1" ht="18" customHeight="1">
      <c r="A3">
        <v>10002</v>
      </c>
      <c r="B3" s="8"/>
      <c r="C3" s="8" t="s">
        <v>255</v>
      </c>
      <c r="D3" s="5">
        <v>1</v>
      </c>
      <c r="E3" s="5">
        <v>1</v>
      </c>
      <c r="F3" s="8" t="s">
        <v>256</v>
      </c>
      <c r="G3" s="8"/>
      <c r="H3" s="8">
        <v>1</v>
      </c>
      <c r="I3" s="8" t="s">
        <v>257</v>
      </c>
      <c r="J3" s="8" t="s">
        <v>42</v>
      </c>
      <c r="K3" s="6"/>
      <c r="L3" s="6" t="s">
        <v>258</v>
      </c>
      <c r="M3" s="6">
        <v>1</v>
      </c>
      <c r="N3" s="6">
        <v>1</v>
      </c>
      <c r="O3" s="6" t="s">
        <v>259</v>
      </c>
      <c r="P3" s="6" t="s">
        <v>260</v>
      </c>
      <c r="Q3" s="7">
        <v>3</v>
      </c>
      <c r="R3" s="6" t="s">
        <v>261</v>
      </c>
      <c r="S3" s="6">
        <v>1</v>
      </c>
      <c r="T3" s="6" t="s">
        <v>262</v>
      </c>
      <c r="U3" s="6" t="s">
        <v>43</v>
      </c>
      <c r="V3" s="9"/>
      <c r="W3" s="9" t="s">
        <v>263</v>
      </c>
      <c r="X3" s="9">
        <v>1</v>
      </c>
      <c r="Y3" s="9">
        <v>1</v>
      </c>
      <c r="Z3" s="9" t="s">
        <v>264</v>
      </c>
      <c r="AA3" s="9" t="s">
        <v>265</v>
      </c>
      <c r="AB3" s="9">
        <v>3</v>
      </c>
      <c r="AC3" s="32" t="s">
        <v>44</v>
      </c>
      <c r="AD3" s="9">
        <v>0</v>
      </c>
      <c r="AE3" s="9" t="s">
        <v>266</v>
      </c>
      <c r="AF3" s="9" t="s">
        <v>67</v>
      </c>
      <c r="AG3" s="11"/>
      <c r="AH3" s="11" t="s">
        <v>267</v>
      </c>
      <c r="AI3" s="11">
        <v>1</v>
      </c>
      <c r="AJ3" s="11">
        <v>1</v>
      </c>
      <c r="AK3" s="11" t="s">
        <v>268</v>
      </c>
      <c r="AL3" s="11">
        <v>1</v>
      </c>
      <c r="AM3" s="11" t="s">
        <v>269</v>
      </c>
      <c r="AN3" s="11" t="s">
        <v>64</v>
      </c>
      <c r="AO3" s="6"/>
      <c r="AP3" s="6" t="s">
        <v>241</v>
      </c>
      <c r="AQ3" s="6">
        <v>1</v>
      </c>
      <c r="AR3" s="6">
        <v>1</v>
      </c>
      <c r="AS3" s="6" t="s">
        <v>270</v>
      </c>
      <c r="AT3" s="6" t="s">
        <v>271</v>
      </c>
      <c r="AU3" s="6">
        <v>3</v>
      </c>
      <c r="AV3" s="7">
        <v>0</v>
      </c>
      <c r="AW3" s="6" t="s">
        <v>41</v>
      </c>
      <c r="AX3" s="6">
        <v>0.5</v>
      </c>
      <c r="AY3" s="6" t="s">
        <v>272</v>
      </c>
      <c r="AZ3" s="6" t="s">
        <v>64</v>
      </c>
      <c r="BA3" s="9"/>
      <c r="BB3" s="9" t="s">
        <v>273</v>
      </c>
      <c r="BC3" s="9">
        <v>1</v>
      </c>
      <c r="BD3" s="9">
        <v>1</v>
      </c>
      <c r="BE3" s="9" t="s">
        <v>274</v>
      </c>
      <c r="BF3" s="9">
        <v>1</v>
      </c>
      <c r="BG3" s="9" t="s">
        <v>275</v>
      </c>
      <c r="BH3" s="9" t="s">
        <v>42</v>
      </c>
      <c r="BI3" s="8"/>
      <c r="BJ3" s="8" t="s">
        <v>276</v>
      </c>
      <c r="BK3" s="8">
        <v>1</v>
      </c>
      <c r="BL3" s="8">
        <v>1</v>
      </c>
      <c r="BM3" s="8" t="s">
        <v>277</v>
      </c>
      <c r="BN3" s="8">
        <v>0.5</v>
      </c>
      <c r="BO3" s="8" t="s">
        <v>278</v>
      </c>
      <c r="BP3" s="8" t="s">
        <v>37</v>
      </c>
      <c r="BQ3" s="11"/>
      <c r="BR3" s="11" t="s">
        <v>279</v>
      </c>
      <c r="BS3" s="11">
        <v>1</v>
      </c>
      <c r="BT3" s="11">
        <v>1</v>
      </c>
      <c r="BU3" s="11" t="s">
        <v>280</v>
      </c>
      <c r="BV3" s="11" t="s">
        <v>281</v>
      </c>
      <c r="BW3" s="11">
        <v>2</v>
      </c>
      <c r="BX3" s="11" t="s">
        <v>162</v>
      </c>
      <c r="BY3" s="11">
        <v>0</v>
      </c>
      <c r="BZ3" s="11" t="s">
        <v>282</v>
      </c>
      <c r="CA3" s="11" t="s">
        <v>43</v>
      </c>
      <c r="CB3" s="22"/>
    </row>
    <row r="4" spans="1:80" s="31" customFormat="1" ht="18" customHeight="1">
      <c r="A4">
        <v>10003</v>
      </c>
      <c r="B4" s="8"/>
      <c r="C4" s="8" t="s">
        <v>283</v>
      </c>
      <c r="D4" s="5">
        <v>1</v>
      </c>
      <c r="E4" s="5">
        <v>1</v>
      </c>
      <c r="F4" s="8" t="s">
        <v>284</v>
      </c>
      <c r="G4" s="8"/>
      <c r="H4" s="8">
        <v>2</v>
      </c>
      <c r="I4" s="8" t="s">
        <v>285</v>
      </c>
      <c r="J4" s="8" t="s">
        <v>42</v>
      </c>
      <c r="K4" s="6"/>
      <c r="L4" s="6" t="s">
        <v>286</v>
      </c>
      <c r="M4" s="6">
        <v>1</v>
      </c>
      <c r="N4" s="6">
        <v>1</v>
      </c>
      <c r="O4" s="6" t="s">
        <v>287</v>
      </c>
      <c r="P4" s="6" t="s">
        <v>175</v>
      </c>
      <c r="Q4" s="7">
        <v>0</v>
      </c>
      <c r="R4" s="6" t="s">
        <v>288</v>
      </c>
      <c r="S4" s="6">
        <v>1</v>
      </c>
      <c r="T4" s="6" t="s">
        <v>289</v>
      </c>
      <c r="U4" s="6" t="s">
        <v>42</v>
      </c>
      <c r="V4" s="9"/>
      <c r="W4" s="9" t="s">
        <v>290</v>
      </c>
      <c r="X4" s="9">
        <v>1</v>
      </c>
      <c r="Y4" s="9">
        <v>1</v>
      </c>
      <c r="Z4" s="9" t="s">
        <v>291</v>
      </c>
      <c r="AA4" s="9" t="s">
        <v>292</v>
      </c>
      <c r="AB4" s="9">
        <v>3</v>
      </c>
      <c r="AC4" s="32" t="s">
        <v>293</v>
      </c>
      <c r="AD4" s="9">
        <v>0.5</v>
      </c>
      <c r="AE4" s="9" t="s">
        <v>294</v>
      </c>
      <c r="AF4" s="9" t="s">
        <v>42</v>
      </c>
      <c r="AG4" s="11"/>
      <c r="AH4" s="11" t="s">
        <v>295</v>
      </c>
      <c r="AI4" s="11">
        <v>1</v>
      </c>
      <c r="AJ4" s="11">
        <v>1</v>
      </c>
      <c r="AK4" s="11" t="s">
        <v>296</v>
      </c>
      <c r="AL4" s="11">
        <v>0.5</v>
      </c>
      <c r="AM4" s="11" t="s">
        <v>285</v>
      </c>
      <c r="AN4" s="11" t="s">
        <v>42</v>
      </c>
      <c r="AO4" s="6"/>
      <c r="AP4" s="6" t="s">
        <v>297</v>
      </c>
      <c r="AQ4" s="6">
        <v>1</v>
      </c>
      <c r="AR4" s="6">
        <v>1</v>
      </c>
      <c r="AS4" s="6" t="s">
        <v>298</v>
      </c>
      <c r="AT4" s="6" t="s">
        <v>298</v>
      </c>
      <c r="AU4" s="6">
        <v>3</v>
      </c>
      <c r="AV4" s="7">
        <v>3</v>
      </c>
      <c r="AW4" s="6" t="s">
        <v>299</v>
      </c>
      <c r="AX4" s="6">
        <v>0</v>
      </c>
      <c r="AY4" s="6" t="s">
        <v>285</v>
      </c>
      <c r="AZ4" s="6" t="s">
        <v>42</v>
      </c>
      <c r="BA4" s="9"/>
      <c r="BB4" s="9" t="s">
        <v>300</v>
      </c>
      <c r="BC4" s="9">
        <v>1</v>
      </c>
      <c r="BD4" s="9">
        <v>1</v>
      </c>
      <c r="BE4" s="9" t="s">
        <v>40</v>
      </c>
      <c r="BF4" s="9">
        <v>0.5</v>
      </c>
      <c r="BG4" s="9" t="s">
        <v>301</v>
      </c>
      <c r="BH4" s="9" t="s">
        <v>37</v>
      </c>
      <c r="BI4" s="8"/>
      <c r="BJ4" s="8" t="s">
        <v>302</v>
      </c>
      <c r="BK4" s="8">
        <v>1</v>
      </c>
      <c r="BL4" s="8">
        <v>1</v>
      </c>
      <c r="BM4" s="8" t="s">
        <v>303</v>
      </c>
      <c r="BN4" s="8">
        <v>0</v>
      </c>
      <c r="BO4" s="8" t="s">
        <v>301</v>
      </c>
      <c r="BP4" s="8" t="s">
        <v>37</v>
      </c>
      <c r="BQ4" s="11"/>
      <c r="BR4" s="11" t="s">
        <v>304</v>
      </c>
      <c r="BS4" s="11">
        <v>1</v>
      </c>
      <c r="BT4" s="11">
        <v>1</v>
      </c>
      <c r="BU4" s="11" t="s">
        <v>145</v>
      </c>
      <c r="BV4" s="11" t="s">
        <v>305</v>
      </c>
      <c r="BW4" s="11">
        <v>0</v>
      </c>
      <c r="BX4" s="11" t="s">
        <v>49</v>
      </c>
      <c r="BY4" s="11">
        <v>0.5</v>
      </c>
      <c r="BZ4" s="11" t="s">
        <v>306</v>
      </c>
      <c r="CA4" s="11" t="s">
        <v>42</v>
      </c>
      <c r="CB4" s="22"/>
    </row>
    <row r="5" spans="1:80" s="31" customFormat="1" ht="18" customHeight="1">
      <c r="A5">
        <v>10004</v>
      </c>
      <c r="B5" s="8"/>
      <c r="C5" s="8" t="s">
        <v>228</v>
      </c>
      <c r="D5" s="5">
        <v>1</v>
      </c>
      <c r="E5" s="5">
        <v>1</v>
      </c>
      <c r="F5" s="8" t="s">
        <v>307</v>
      </c>
      <c r="G5" s="8"/>
      <c r="H5" s="8">
        <v>2</v>
      </c>
      <c r="I5" s="8" t="s">
        <v>308</v>
      </c>
      <c r="J5" s="8" t="s">
        <v>42</v>
      </c>
      <c r="K5" s="6"/>
      <c r="L5" s="6" t="s">
        <v>230</v>
      </c>
      <c r="M5" s="6">
        <v>1</v>
      </c>
      <c r="N5" s="6">
        <v>1</v>
      </c>
      <c r="O5" s="6" t="s">
        <v>309</v>
      </c>
      <c r="P5" s="6" t="s">
        <v>310</v>
      </c>
      <c r="Q5" s="7">
        <v>3</v>
      </c>
      <c r="R5" s="6" t="s">
        <v>311</v>
      </c>
      <c r="S5" s="6">
        <v>1</v>
      </c>
      <c r="T5" s="6" t="s">
        <v>312</v>
      </c>
      <c r="U5" s="6" t="s">
        <v>43</v>
      </c>
      <c r="V5" s="9"/>
      <c r="W5" s="9" t="s">
        <v>313</v>
      </c>
      <c r="X5" s="9">
        <v>1</v>
      </c>
      <c r="Y5" s="9">
        <v>1</v>
      </c>
      <c r="Z5" s="9" t="s">
        <v>314</v>
      </c>
      <c r="AA5" s="9" t="s">
        <v>315</v>
      </c>
      <c r="AB5" s="9">
        <v>3</v>
      </c>
      <c r="AC5" s="32" t="s">
        <v>316</v>
      </c>
      <c r="AD5" s="9">
        <v>1</v>
      </c>
      <c r="AE5" s="9" t="s">
        <v>317</v>
      </c>
      <c r="AF5" s="9" t="s">
        <v>67</v>
      </c>
      <c r="AG5" s="11"/>
      <c r="AH5" s="11" t="s">
        <v>238</v>
      </c>
      <c r="AI5" s="11">
        <v>1</v>
      </c>
      <c r="AJ5" s="11">
        <v>1</v>
      </c>
      <c r="AK5" s="11" t="s">
        <v>318</v>
      </c>
      <c r="AL5" s="11">
        <v>0.5</v>
      </c>
      <c r="AM5" s="11" t="s">
        <v>319</v>
      </c>
      <c r="AN5" s="11" t="s">
        <v>67</v>
      </c>
      <c r="AO5" s="6"/>
      <c r="AP5" s="6" t="s">
        <v>320</v>
      </c>
      <c r="AQ5" s="6">
        <v>1</v>
      </c>
      <c r="AR5" s="6">
        <v>1</v>
      </c>
      <c r="AS5" s="6" t="s">
        <v>321</v>
      </c>
      <c r="AT5" s="6" t="s">
        <v>322</v>
      </c>
      <c r="AU5" s="6">
        <v>3</v>
      </c>
      <c r="AV5" s="7">
        <v>3</v>
      </c>
      <c r="AW5" s="6" t="s">
        <v>323</v>
      </c>
      <c r="AX5" s="6">
        <v>1</v>
      </c>
      <c r="AY5" s="6" t="s">
        <v>324</v>
      </c>
      <c r="AZ5" s="6" t="s">
        <v>43</v>
      </c>
      <c r="BA5" s="9"/>
      <c r="BB5" s="9" t="s">
        <v>325</v>
      </c>
      <c r="BC5" s="9">
        <v>1</v>
      </c>
      <c r="BD5" s="9">
        <v>1</v>
      </c>
      <c r="BE5" s="9" t="s">
        <v>326</v>
      </c>
      <c r="BF5" s="9">
        <v>1</v>
      </c>
      <c r="BG5" s="9" t="s">
        <v>327</v>
      </c>
      <c r="BH5" s="9" t="s">
        <v>64</v>
      </c>
      <c r="BI5" s="8"/>
      <c r="BJ5" s="8" t="s">
        <v>328</v>
      </c>
      <c r="BK5" s="8">
        <v>1</v>
      </c>
      <c r="BL5" s="8">
        <v>1</v>
      </c>
      <c r="BM5" s="8" t="s">
        <v>329</v>
      </c>
      <c r="BN5" s="8">
        <v>0.5</v>
      </c>
      <c r="BO5" s="8" t="s">
        <v>330</v>
      </c>
      <c r="BP5" s="8" t="s">
        <v>36</v>
      </c>
      <c r="BQ5" s="11"/>
      <c r="BR5" s="11" t="s">
        <v>331</v>
      </c>
      <c r="BS5" s="11">
        <v>1</v>
      </c>
      <c r="BT5" s="11">
        <v>1</v>
      </c>
      <c r="BU5" s="11" t="s">
        <v>332</v>
      </c>
      <c r="BV5" s="11" t="s">
        <v>333</v>
      </c>
      <c r="BW5" s="11">
        <v>0</v>
      </c>
      <c r="BX5" s="11" t="s">
        <v>334</v>
      </c>
      <c r="BY5" s="11">
        <v>0.5</v>
      </c>
      <c r="BZ5" s="11" t="s">
        <v>335</v>
      </c>
      <c r="CA5" s="11" t="s">
        <v>64</v>
      </c>
      <c r="CB5" s="22"/>
    </row>
    <row r="6" spans="1:80" s="31" customFormat="1" ht="18" customHeight="1">
      <c r="A6">
        <v>10005</v>
      </c>
      <c r="B6" s="8"/>
      <c r="C6" s="8" t="s">
        <v>336</v>
      </c>
      <c r="D6" s="5">
        <v>1</v>
      </c>
      <c r="E6" s="5">
        <v>0.5</v>
      </c>
      <c r="F6" s="8" t="s">
        <v>337</v>
      </c>
      <c r="G6" s="8"/>
      <c r="H6" s="8">
        <v>3</v>
      </c>
      <c r="I6" s="8" t="s">
        <v>338</v>
      </c>
      <c r="J6" s="8" t="s">
        <v>43</v>
      </c>
      <c r="K6" s="6"/>
      <c r="L6" s="6" t="s">
        <v>339</v>
      </c>
      <c r="M6" s="6">
        <v>1</v>
      </c>
      <c r="N6" s="6">
        <v>1</v>
      </c>
      <c r="O6" s="6" t="s">
        <v>340</v>
      </c>
      <c r="P6" s="6" t="s">
        <v>341</v>
      </c>
      <c r="Q6" s="7">
        <v>0</v>
      </c>
      <c r="R6" s="6" t="s">
        <v>342</v>
      </c>
      <c r="S6" s="6">
        <v>1</v>
      </c>
      <c r="T6" s="6" t="s">
        <v>343</v>
      </c>
      <c r="U6" s="6" t="s">
        <v>64</v>
      </c>
      <c r="V6" s="9"/>
      <c r="W6" s="9" t="s">
        <v>344</v>
      </c>
      <c r="X6" s="9">
        <v>1</v>
      </c>
      <c r="Y6" s="9">
        <v>1</v>
      </c>
      <c r="Z6" s="9" t="s">
        <v>345</v>
      </c>
      <c r="AA6" s="9" t="s">
        <v>346</v>
      </c>
      <c r="AB6" s="9">
        <v>3</v>
      </c>
      <c r="AC6" s="32" t="s">
        <v>347</v>
      </c>
      <c r="AD6" s="9">
        <v>0.5</v>
      </c>
      <c r="AE6" s="9" t="s">
        <v>348</v>
      </c>
      <c r="AF6" s="9" t="s">
        <v>67</v>
      </c>
      <c r="AG6" s="11"/>
      <c r="AH6" s="11" t="s">
        <v>349</v>
      </c>
      <c r="AI6" s="11">
        <v>1</v>
      </c>
      <c r="AJ6" s="11">
        <v>1</v>
      </c>
      <c r="AK6" s="11" t="s">
        <v>350</v>
      </c>
      <c r="AL6" s="11">
        <v>0.5</v>
      </c>
      <c r="AM6" s="11" t="s">
        <v>351</v>
      </c>
      <c r="AN6" s="11" t="s">
        <v>64</v>
      </c>
      <c r="AO6" s="6"/>
      <c r="AP6" s="6" t="s">
        <v>352</v>
      </c>
      <c r="AQ6" s="6">
        <v>0.5</v>
      </c>
      <c r="AR6" s="6">
        <v>0.5</v>
      </c>
      <c r="AS6" s="6" t="s">
        <v>353</v>
      </c>
      <c r="AT6" s="6" t="s">
        <v>354</v>
      </c>
      <c r="AU6" s="6">
        <v>3</v>
      </c>
      <c r="AV6" s="7">
        <v>3</v>
      </c>
      <c r="AW6" s="6" t="s">
        <v>355</v>
      </c>
      <c r="AX6" s="6">
        <v>0</v>
      </c>
      <c r="AY6" s="6" t="s">
        <v>356</v>
      </c>
      <c r="AZ6" s="6" t="s">
        <v>64</v>
      </c>
      <c r="BA6" s="9"/>
      <c r="BB6" s="9" t="s">
        <v>357</v>
      </c>
      <c r="BC6" s="9">
        <v>0.5</v>
      </c>
      <c r="BD6" s="9">
        <v>0.5</v>
      </c>
      <c r="BE6" s="9" t="s">
        <v>358</v>
      </c>
      <c r="BF6" s="9">
        <v>0.5</v>
      </c>
      <c r="BG6" s="9" t="s">
        <v>359</v>
      </c>
      <c r="BH6" s="9" t="s">
        <v>37</v>
      </c>
      <c r="BI6" s="8"/>
      <c r="BJ6" s="8" t="s">
        <v>360</v>
      </c>
      <c r="BK6" s="8">
        <v>1</v>
      </c>
      <c r="BL6" s="8">
        <v>1</v>
      </c>
      <c r="BM6" s="8" t="s">
        <v>361</v>
      </c>
      <c r="BN6" s="8">
        <v>0</v>
      </c>
      <c r="BO6" s="8" t="s">
        <v>362</v>
      </c>
      <c r="BP6" s="8" t="s">
        <v>42</v>
      </c>
      <c r="BQ6" s="11"/>
      <c r="BR6" s="11" t="s">
        <v>363</v>
      </c>
      <c r="BS6" s="11">
        <v>1</v>
      </c>
      <c r="BT6" s="11">
        <v>0.5</v>
      </c>
      <c r="BU6" s="11" t="s">
        <v>364</v>
      </c>
      <c r="BV6" s="11" t="s">
        <v>365</v>
      </c>
      <c r="BW6" s="11">
        <v>3</v>
      </c>
      <c r="BX6" s="11" t="s">
        <v>366</v>
      </c>
      <c r="BY6" s="11">
        <v>0</v>
      </c>
      <c r="BZ6" s="11" t="s">
        <v>367</v>
      </c>
      <c r="CA6" s="11" t="s">
        <v>37</v>
      </c>
      <c r="CB6" s="22"/>
    </row>
    <row r="7" spans="1:80" s="31" customFormat="1" ht="18" customHeight="1">
      <c r="A7">
        <v>10006</v>
      </c>
      <c r="B7" s="8"/>
      <c r="C7" s="8" t="s">
        <v>228</v>
      </c>
      <c r="D7" s="5">
        <v>1</v>
      </c>
      <c r="E7" s="5">
        <v>1</v>
      </c>
      <c r="F7" s="8" t="s">
        <v>368</v>
      </c>
      <c r="G7" s="8"/>
      <c r="H7" s="8">
        <v>3</v>
      </c>
      <c r="I7" s="8" t="s">
        <v>369</v>
      </c>
      <c r="J7" s="8" t="s">
        <v>64</v>
      </c>
      <c r="K7" s="6"/>
      <c r="L7" s="6" t="s">
        <v>230</v>
      </c>
      <c r="M7" s="6">
        <v>1</v>
      </c>
      <c r="N7" s="6">
        <v>1</v>
      </c>
      <c r="O7" s="6" t="s">
        <v>370</v>
      </c>
      <c r="P7" s="6" t="s">
        <v>371</v>
      </c>
      <c r="Q7" s="7">
        <v>3</v>
      </c>
      <c r="R7" s="6" t="s">
        <v>372</v>
      </c>
      <c r="S7" s="6">
        <v>0.5</v>
      </c>
      <c r="T7" s="6" t="s">
        <v>93</v>
      </c>
      <c r="U7" s="6" t="s">
        <v>42</v>
      </c>
      <c r="V7" s="9"/>
      <c r="W7" s="9" t="s">
        <v>263</v>
      </c>
      <c r="X7" s="9">
        <v>1</v>
      </c>
      <c r="Y7" s="9">
        <v>1</v>
      </c>
      <c r="Z7" s="9" t="s">
        <v>373</v>
      </c>
      <c r="AA7" s="9" t="s">
        <v>374</v>
      </c>
      <c r="AB7" s="9">
        <v>3</v>
      </c>
      <c r="AC7" s="32" t="s">
        <v>375</v>
      </c>
      <c r="AD7" s="9">
        <v>0.5</v>
      </c>
      <c r="AE7" s="9" t="s">
        <v>93</v>
      </c>
      <c r="AF7" s="9" t="s">
        <v>42</v>
      </c>
      <c r="AG7" s="11"/>
      <c r="AH7" s="11" t="s">
        <v>238</v>
      </c>
      <c r="AI7" s="11">
        <v>1</v>
      </c>
      <c r="AJ7" s="11">
        <v>1</v>
      </c>
      <c r="AK7" s="11" t="s">
        <v>376</v>
      </c>
      <c r="AL7" s="11">
        <v>0.5</v>
      </c>
      <c r="AM7" s="11" t="s">
        <v>377</v>
      </c>
      <c r="AN7" s="11" t="s">
        <v>64</v>
      </c>
      <c r="AO7" s="6"/>
      <c r="AP7" s="6" t="s">
        <v>352</v>
      </c>
      <c r="AQ7" s="6">
        <v>0.5</v>
      </c>
      <c r="AR7" s="6">
        <v>0.5</v>
      </c>
      <c r="AS7" s="6" t="s">
        <v>378</v>
      </c>
      <c r="AT7" s="6" t="s">
        <v>371</v>
      </c>
      <c r="AU7" s="6">
        <v>3</v>
      </c>
      <c r="AV7" s="7">
        <v>0</v>
      </c>
      <c r="AW7" s="6" t="s">
        <v>54</v>
      </c>
      <c r="AX7" s="6">
        <v>0.5</v>
      </c>
      <c r="AY7" s="6" t="s">
        <v>93</v>
      </c>
      <c r="AZ7" s="6" t="s">
        <v>42</v>
      </c>
      <c r="BA7" s="9"/>
      <c r="BB7" s="9" t="s">
        <v>379</v>
      </c>
      <c r="BC7" s="9">
        <v>1</v>
      </c>
      <c r="BD7" s="9">
        <v>1</v>
      </c>
      <c r="BE7" s="9" t="s">
        <v>380</v>
      </c>
      <c r="BF7" s="9">
        <v>1</v>
      </c>
      <c r="BG7" s="9" t="s">
        <v>93</v>
      </c>
      <c r="BH7" s="9" t="s">
        <v>42</v>
      </c>
      <c r="BI7" s="8"/>
      <c r="BJ7" s="8" t="s">
        <v>248</v>
      </c>
      <c r="BK7" s="8">
        <v>1</v>
      </c>
      <c r="BL7" s="8">
        <v>1</v>
      </c>
      <c r="BM7" s="8" t="s">
        <v>381</v>
      </c>
      <c r="BN7" s="8">
        <v>0</v>
      </c>
      <c r="BO7" s="8" t="s">
        <v>382</v>
      </c>
      <c r="BP7" s="8" t="s">
        <v>36</v>
      </c>
      <c r="BQ7" s="11"/>
      <c r="BR7" s="11" t="s">
        <v>383</v>
      </c>
      <c r="BS7" s="11">
        <v>1</v>
      </c>
      <c r="BT7" s="11">
        <v>1</v>
      </c>
      <c r="BU7" s="11" t="s">
        <v>384</v>
      </c>
      <c r="BV7" s="11" t="s">
        <v>385</v>
      </c>
      <c r="BW7" s="11">
        <v>3</v>
      </c>
      <c r="BX7" s="11" t="s">
        <v>386</v>
      </c>
      <c r="BY7" s="11">
        <v>0.5</v>
      </c>
      <c r="BZ7" s="11" t="s">
        <v>93</v>
      </c>
      <c r="CA7" s="11" t="s">
        <v>37</v>
      </c>
      <c r="CB7" s="22"/>
    </row>
    <row r="8" spans="1:80" s="31" customFormat="1" ht="18" customHeight="1">
      <c r="A8">
        <v>10007</v>
      </c>
      <c r="B8" s="8"/>
      <c r="C8" s="8" t="s">
        <v>387</v>
      </c>
      <c r="D8" s="5">
        <v>1</v>
      </c>
      <c r="E8" s="5">
        <v>0.5</v>
      </c>
      <c r="F8" s="8" t="s">
        <v>388</v>
      </c>
      <c r="G8" s="8"/>
      <c r="H8" s="8">
        <v>0</v>
      </c>
      <c r="I8" s="8" t="s">
        <v>389</v>
      </c>
      <c r="J8" s="8" t="s">
        <v>42</v>
      </c>
      <c r="K8" s="6"/>
      <c r="L8" s="6" t="s">
        <v>390</v>
      </c>
      <c r="M8" s="6">
        <v>1</v>
      </c>
      <c r="N8" s="6">
        <v>1</v>
      </c>
      <c r="O8" s="6" t="s">
        <v>391</v>
      </c>
      <c r="P8" s="6" t="s">
        <v>392</v>
      </c>
      <c r="Q8" s="7">
        <v>3</v>
      </c>
      <c r="R8" s="6" t="s">
        <v>393</v>
      </c>
      <c r="S8" s="6">
        <v>0.5</v>
      </c>
      <c r="T8" s="6" t="s">
        <v>394</v>
      </c>
      <c r="U8" s="6" t="s">
        <v>42</v>
      </c>
      <c r="V8" s="9"/>
      <c r="W8" s="9" t="s">
        <v>395</v>
      </c>
      <c r="X8" s="9">
        <v>1</v>
      </c>
      <c r="Y8" s="9">
        <v>1</v>
      </c>
      <c r="Z8" s="9" t="s">
        <v>396</v>
      </c>
      <c r="AA8" s="9" t="s">
        <v>397</v>
      </c>
      <c r="AB8" s="9">
        <v>3</v>
      </c>
      <c r="AC8" s="32" t="s">
        <v>398</v>
      </c>
      <c r="AD8" s="9">
        <v>1</v>
      </c>
      <c r="AE8" s="9" t="s">
        <v>399</v>
      </c>
      <c r="AF8" s="9" t="s">
        <v>67</v>
      </c>
      <c r="AG8" s="11"/>
      <c r="AH8" s="11" t="s">
        <v>400</v>
      </c>
      <c r="AI8" s="11">
        <v>1</v>
      </c>
      <c r="AJ8" s="11">
        <v>1</v>
      </c>
      <c r="AK8" s="11" t="s">
        <v>401</v>
      </c>
      <c r="AL8" s="11">
        <v>1</v>
      </c>
      <c r="AM8" s="11" t="s">
        <v>402</v>
      </c>
      <c r="AN8" s="11" t="s">
        <v>37</v>
      </c>
      <c r="AO8" s="6"/>
      <c r="AP8" s="6" t="s">
        <v>403</v>
      </c>
      <c r="AQ8" s="6">
        <v>0.5</v>
      </c>
      <c r="AR8" s="6">
        <v>0.5</v>
      </c>
      <c r="AS8" s="6" t="s">
        <v>404</v>
      </c>
      <c r="AT8" s="6" t="s">
        <v>405</v>
      </c>
      <c r="AU8" s="6">
        <v>3</v>
      </c>
      <c r="AV8" s="7">
        <v>3</v>
      </c>
      <c r="AW8" s="6" t="s">
        <v>406</v>
      </c>
      <c r="AX8" s="6">
        <v>0.5</v>
      </c>
      <c r="AY8" s="6" t="s">
        <v>407</v>
      </c>
      <c r="AZ8" s="6" t="s">
        <v>67</v>
      </c>
      <c r="BA8" s="9"/>
      <c r="BB8" s="9" t="s">
        <v>408</v>
      </c>
      <c r="BC8" s="9">
        <v>1</v>
      </c>
      <c r="BD8" s="9">
        <v>0.5</v>
      </c>
      <c r="BE8" s="9" t="s">
        <v>409</v>
      </c>
      <c r="BF8" s="9">
        <v>1</v>
      </c>
      <c r="BG8" s="9" t="s">
        <v>410</v>
      </c>
      <c r="BH8" s="9" t="s">
        <v>37</v>
      </c>
      <c r="BI8" s="8"/>
      <c r="BJ8" s="8" t="s">
        <v>411</v>
      </c>
      <c r="BK8" s="8">
        <v>1</v>
      </c>
      <c r="BL8" s="8">
        <v>0.5</v>
      </c>
      <c r="BM8" s="8" t="s">
        <v>412</v>
      </c>
      <c r="BN8" s="8">
        <v>1</v>
      </c>
      <c r="BO8" s="8" t="s">
        <v>413</v>
      </c>
      <c r="BP8" s="8" t="s">
        <v>36</v>
      </c>
      <c r="BQ8" s="11"/>
      <c r="BR8" s="11" t="s">
        <v>414</v>
      </c>
      <c r="BS8" s="11">
        <v>1</v>
      </c>
      <c r="BT8" s="11">
        <v>0.5</v>
      </c>
      <c r="BU8" s="11" t="s">
        <v>415</v>
      </c>
      <c r="BV8" s="11" t="s">
        <v>416</v>
      </c>
      <c r="BW8" s="11">
        <v>3</v>
      </c>
      <c r="BX8" s="11" t="s">
        <v>417</v>
      </c>
      <c r="BY8" s="11">
        <v>0</v>
      </c>
      <c r="BZ8" s="11" t="s">
        <v>418</v>
      </c>
      <c r="CA8" s="11" t="s">
        <v>64</v>
      </c>
      <c r="CB8" s="22"/>
    </row>
    <row r="9" spans="1:80" s="31" customFormat="1" ht="18" customHeight="1">
      <c r="A9">
        <v>10008</v>
      </c>
      <c r="B9" s="8"/>
      <c r="C9" s="8" t="s">
        <v>419</v>
      </c>
      <c r="D9" s="5">
        <v>1</v>
      </c>
      <c r="E9" s="5">
        <v>0.5</v>
      </c>
      <c r="F9" s="8" t="s">
        <v>420</v>
      </c>
      <c r="G9" s="8"/>
      <c r="H9" s="8">
        <v>3</v>
      </c>
      <c r="I9" s="8" t="s">
        <v>421</v>
      </c>
      <c r="J9" s="8" t="s">
        <v>37</v>
      </c>
      <c r="K9" s="6"/>
      <c r="L9" s="6" t="s">
        <v>422</v>
      </c>
      <c r="M9" s="6">
        <v>0.5</v>
      </c>
      <c r="N9" s="6">
        <v>1</v>
      </c>
      <c r="O9" s="6" t="s">
        <v>423</v>
      </c>
      <c r="P9" s="6" t="s">
        <v>424</v>
      </c>
      <c r="Q9" s="7">
        <v>0</v>
      </c>
      <c r="R9" s="6" t="s">
        <v>47</v>
      </c>
      <c r="S9" s="6">
        <v>0.5</v>
      </c>
      <c r="T9" s="6" t="s">
        <v>72</v>
      </c>
      <c r="U9" s="6" t="s">
        <v>42</v>
      </c>
      <c r="V9" s="9"/>
      <c r="W9" s="9" t="s">
        <v>425</v>
      </c>
      <c r="X9" s="9">
        <v>0.5</v>
      </c>
      <c r="Y9" s="9">
        <v>1</v>
      </c>
      <c r="Z9" s="9" t="s">
        <v>426</v>
      </c>
      <c r="AA9" s="9" t="s">
        <v>77</v>
      </c>
      <c r="AB9" s="9">
        <v>3</v>
      </c>
      <c r="AC9" s="32" t="s">
        <v>427</v>
      </c>
      <c r="AD9" s="9">
        <v>0.5</v>
      </c>
      <c r="AE9" s="9" t="s">
        <v>147</v>
      </c>
      <c r="AF9" s="9" t="s">
        <v>42</v>
      </c>
      <c r="AG9" s="11"/>
      <c r="AH9" s="11" t="s">
        <v>428</v>
      </c>
      <c r="AI9" s="11">
        <v>1</v>
      </c>
      <c r="AJ9" s="11">
        <v>1</v>
      </c>
      <c r="AK9" s="11" t="s">
        <v>104</v>
      </c>
      <c r="AL9" s="11">
        <v>0.5</v>
      </c>
      <c r="AM9" s="11" t="s">
        <v>429</v>
      </c>
      <c r="AN9" s="11" t="s">
        <v>37</v>
      </c>
      <c r="AO9" s="6"/>
      <c r="AP9" s="6" t="s">
        <v>430</v>
      </c>
      <c r="AQ9" s="6">
        <v>0.5</v>
      </c>
      <c r="AR9" s="6">
        <v>0.5</v>
      </c>
      <c r="AS9" s="6" t="s">
        <v>431</v>
      </c>
      <c r="AT9" s="6" t="s">
        <v>432</v>
      </c>
      <c r="AU9" s="6">
        <v>3</v>
      </c>
      <c r="AV9" s="7">
        <v>3</v>
      </c>
      <c r="AW9" s="6" t="s">
        <v>105</v>
      </c>
      <c r="AX9" s="6">
        <v>0.5</v>
      </c>
      <c r="AY9" s="6" t="s">
        <v>433</v>
      </c>
      <c r="AZ9" s="6" t="s">
        <v>42</v>
      </c>
      <c r="BA9" s="9"/>
      <c r="BB9" s="9" t="s">
        <v>434</v>
      </c>
      <c r="BC9" s="9">
        <v>0.5</v>
      </c>
      <c r="BD9" s="9">
        <v>0.5</v>
      </c>
      <c r="BE9" s="9" t="s">
        <v>78</v>
      </c>
      <c r="BF9" s="9">
        <v>0.5</v>
      </c>
      <c r="BG9" s="9" t="s">
        <v>435</v>
      </c>
      <c r="BH9" s="9" t="s">
        <v>42</v>
      </c>
      <c r="BI9" s="8"/>
      <c r="BJ9" s="8" t="s">
        <v>436</v>
      </c>
      <c r="BK9" s="8">
        <v>1</v>
      </c>
      <c r="BL9" s="8">
        <v>0.5</v>
      </c>
      <c r="BM9" s="8" t="s">
        <v>47</v>
      </c>
      <c r="BN9" s="8">
        <v>0</v>
      </c>
      <c r="BO9" s="8" t="s">
        <v>72</v>
      </c>
      <c r="BP9" s="8" t="s">
        <v>42</v>
      </c>
      <c r="BQ9" s="11"/>
      <c r="BR9" s="11" t="s">
        <v>437</v>
      </c>
      <c r="BS9" s="11">
        <v>0.5</v>
      </c>
      <c r="BT9" s="11">
        <v>0.5</v>
      </c>
      <c r="BU9" s="11" t="s">
        <v>438</v>
      </c>
      <c r="BV9" s="11" t="s">
        <v>439</v>
      </c>
      <c r="BW9" s="11">
        <v>3</v>
      </c>
      <c r="BX9" s="11" t="s">
        <v>440</v>
      </c>
      <c r="BY9" s="11">
        <v>0</v>
      </c>
      <c r="BZ9" s="11" t="s">
        <v>58</v>
      </c>
      <c r="CA9" s="11" t="s">
        <v>42</v>
      </c>
      <c r="CB9" s="22"/>
    </row>
    <row r="10" spans="1:80" s="31" customFormat="1" ht="18" customHeight="1">
      <c r="A10">
        <v>10009</v>
      </c>
      <c r="B10" s="8"/>
      <c r="C10" s="8" t="s">
        <v>228</v>
      </c>
      <c r="D10" s="5">
        <v>1</v>
      </c>
      <c r="E10" s="5">
        <v>1</v>
      </c>
      <c r="F10" s="8" t="s">
        <v>441</v>
      </c>
      <c r="G10" s="8"/>
      <c r="H10" s="8">
        <v>0</v>
      </c>
      <c r="I10" s="8" t="s">
        <v>442</v>
      </c>
      <c r="J10" s="8" t="s">
        <v>37</v>
      </c>
      <c r="K10" s="6"/>
      <c r="L10" s="6" t="s">
        <v>258</v>
      </c>
      <c r="M10" s="6">
        <v>1</v>
      </c>
      <c r="N10" s="6">
        <v>1</v>
      </c>
      <c r="O10" s="6" t="s">
        <v>443</v>
      </c>
      <c r="P10" s="6" t="s">
        <v>444</v>
      </c>
      <c r="Q10" s="7">
        <v>3</v>
      </c>
      <c r="R10" s="6" t="s">
        <v>52</v>
      </c>
      <c r="S10" s="6">
        <v>0.5</v>
      </c>
      <c r="T10" s="6" t="s">
        <v>445</v>
      </c>
      <c r="U10" s="6" t="s">
        <v>42</v>
      </c>
      <c r="V10" s="9"/>
      <c r="W10" s="9" t="s">
        <v>446</v>
      </c>
      <c r="X10" s="9">
        <v>1</v>
      </c>
      <c r="Y10" s="9">
        <v>1</v>
      </c>
      <c r="Z10" s="9" t="s">
        <v>447</v>
      </c>
      <c r="AA10" s="9" t="s">
        <v>448</v>
      </c>
      <c r="AB10" s="9">
        <v>3</v>
      </c>
      <c r="AC10" s="32" t="s">
        <v>155</v>
      </c>
      <c r="AD10" s="9">
        <v>0.5</v>
      </c>
      <c r="AE10" s="9" t="s">
        <v>445</v>
      </c>
      <c r="AF10" s="9" t="s">
        <v>42</v>
      </c>
      <c r="AG10" s="11"/>
      <c r="AH10" s="11" t="s">
        <v>449</v>
      </c>
      <c r="AI10" s="11">
        <v>1</v>
      </c>
      <c r="AJ10" s="11">
        <v>1</v>
      </c>
      <c r="AK10" s="11" t="s">
        <v>79</v>
      </c>
      <c r="AL10" s="11">
        <v>0.5</v>
      </c>
      <c r="AM10" s="11" t="s">
        <v>445</v>
      </c>
      <c r="AN10" s="11" t="s">
        <v>42</v>
      </c>
      <c r="AO10" s="6"/>
      <c r="AP10" s="6" t="s">
        <v>450</v>
      </c>
      <c r="AQ10" s="6">
        <v>1</v>
      </c>
      <c r="AR10" s="6">
        <v>1</v>
      </c>
      <c r="AS10" s="6" t="s">
        <v>451</v>
      </c>
      <c r="AT10" s="6" t="s">
        <v>452</v>
      </c>
      <c r="AU10" s="7">
        <v>0</v>
      </c>
      <c r="AV10" s="7">
        <v>0</v>
      </c>
      <c r="AW10" s="6" t="s">
        <v>80</v>
      </c>
      <c r="AX10" s="6">
        <v>0.5</v>
      </c>
      <c r="AY10" s="6" t="s">
        <v>445</v>
      </c>
      <c r="AZ10" s="6" t="s">
        <v>42</v>
      </c>
      <c r="BA10" s="9"/>
      <c r="BB10" s="9" t="s">
        <v>453</v>
      </c>
      <c r="BC10" s="9">
        <v>1</v>
      </c>
      <c r="BD10" s="9">
        <v>1</v>
      </c>
      <c r="BE10" s="9" t="s">
        <v>81</v>
      </c>
      <c r="BF10" s="9">
        <v>0.5</v>
      </c>
      <c r="BG10" s="9" t="s">
        <v>454</v>
      </c>
      <c r="BH10" s="9" t="s">
        <v>42</v>
      </c>
      <c r="BI10" s="8"/>
      <c r="BJ10" s="8" t="s">
        <v>455</v>
      </c>
      <c r="BK10" s="8">
        <v>1</v>
      </c>
      <c r="BL10" s="8">
        <v>1</v>
      </c>
      <c r="BM10" s="8" t="s">
        <v>456</v>
      </c>
      <c r="BN10" s="8">
        <v>0.5</v>
      </c>
      <c r="BO10" s="8" t="s">
        <v>457</v>
      </c>
      <c r="BP10" s="8" t="s">
        <v>42</v>
      </c>
      <c r="BQ10" s="11"/>
      <c r="BR10" s="11" t="s">
        <v>458</v>
      </c>
      <c r="BS10" s="11">
        <v>1</v>
      </c>
      <c r="BT10" s="11">
        <v>1</v>
      </c>
      <c r="BU10" s="11" t="s">
        <v>459</v>
      </c>
      <c r="BV10" s="11" t="s">
        <v>460</v>
      </c>
      <c r="BW10" s="11">
        <v>3</v>
      </c>
      <c r="BX10" s="11" t="s">
        <v>461</v>
      </c>
      <c r="BY10" s="11">
        <v>0.5</v>
      </c>
      <c r="BZ10" s="11" t="s">
        <v>445</v>
      </c>
      <c r="CA10" s="11" t="s">
        <v>42</v>
      </c>
      <c r="CB10" s="22"/>
    </row>
    <row r="11" spans="1:80" s="31" customFormat="1" ht="18" customHeight="1">
      <c r="A11">
        <v>10010</v>
      </c>
      <c r="B11" s="8"/>
      <c r="C11" s="8" t="s">
        <v>462</v>
      </c>
      <c r="D11" s="5">
        <v>1</v>
      </c>
      <c r="E11" s="5">
        <v>1</v>
      </c>
      <c r="F11" s="8" t="s">
        <v>463</v>
      </c>
      <c r="G11" s="8"/>
      <c r="H11" s="8">
        <v>3</v>
      </c>
      <c r="I11" s="8" t="s">
        <v>464</v>
      </c>
      <c r="J11" s="8" t="s">
        <v>67</v>
      </c>
      <c r="K11" s="6"/>
      <c r="L11" s="6" t="s">
        <v>465</v>
      </c>
      <c r="M11" s="6">
        <v>1</v>
      </c>
      <c r="N11" s="6">
        <v>1</v>
      </c>
      <c r="O11" s="6" t="s">
        <v>466</v>
      </c>
      <c r="P11" s="6" t="s">
        <v>467</v>
      </c>
      <c r="Q11" s="7">
        <v>3</v>
      </c>
      <c r="R11" s="6" t="s">
        <v>468</v>
      </c>
      <c r="S11" s="6">
        <v>1</v>
      </c>
      <c r="T11" s="6" t="s">
        <v>469</v>
      </c>
      <c r="U11" s="6" t="s">
        <v>42</v>
      </c>
      <c r="V11" s="9"/>
      <c r="W11" s="9" t="s">
        <v>263</v>
      </c>
      <c r="X11" s="9">
        <v>1</v>
      </c>
      <c r="Y11" s="9">
        <v>1</v>
      </c>
      <c r="Z11" s="9" t="s">
        <v>470</v>
      </c>
      <c r="AA11" s="9" t="s">
        <v>471</v>
      </c>
      <c r="AB11" s="9">
        <v>3</v>
      </c>
      <c r="AC11" s="32" t="s">
        <v>472</v>
      </c>
      <c r="AD11" s="9">
        <v>0.5</v>
      </c>
      <c r="AE11" s="9" t="s">
        <v>473</v>
      </c>
      <c r="AF11" s="9" t="s">
        <v>42</v>
      </c>
      <c r="AG11" s="11"/>
      <c r="AH11" s="11" t="s">
        <v>238</v>
      </c>
      <c r="AI11" s="11">
        <v>1</v>
      </c>
      <c r="AJ11" s="11">
        <v>1</v>
      </c>
      <c r="AK11" s="11" t="s">
        <v>474</v>
      </c>
      <c r="AL11" s="11">
        <v>1</v>
      </c>
      <c r="AM11" s="11" t="s">
        <v>475</v>
      </c>
      <c r="AN11" s="11" t="s">
        <v>67</v>
      </c>
      <c r="AO11" s="6"/>
      <c r="AP11" s="6" t="s">
        <v>241</v>
      </c>
      <c r="AQ11" s="6">
        <v>1</v>
      </c>
      <c r="AR11" s="6">
        <v>1</v>
      </c>
      <c r="AS11" s="6" t="s">
        <v>476</v>
      </c>
      <c r="AT11" s="6" t="s">
        <v>477</v>
      </c>
      <c r="AU11" s="7">
        <v>0</v>
      </c>
      <c r="AV11" s="7">
        <v>0</v>
      </c>
      <c r="AW11" s="6" t="s">
        <v>478</v>
      </c>
      <c r="AX11" s="6">
        <v>0.5</v>
      </c>
      <c r="AY11" s="6" t="s">
        <v>479</v>
      </c>
      <c r="AZ11" s="6" t="s">
        <v>36</v>
      </c>
      <c r="BA11" s="9"/>
      <c r="BB11" s="9" t="s">
        <v>480</v>
      </c>
      <c r="BC11" s="9">
        <v>1</v>
      </c>
      <c r="BD11" s="9">
        <v>1</v>
      </c>
      <c r="BE11" s="9" t="s">
        <v>481</v>
      </c>
      <c r="BF11" s="9">
        <v>1</v>
      </c>
      <c r="BG11" s="9" t="s">
        <v>482</v>
      </c>
      <c r="BH11" s="9" t="s">
        <v>37</v>
      </c>
      <c r="BI11" s="8"/>
      <c r="BJ11" s="8" t="s">
        <v>483</v>
      </c>
      <c r="BK11" s="8">
        <v>1</v>
      </c>
      <c r="BL11" s="8">
        <v>1</v>
      </c>
      <c r="BM11" s="8" t="s">
        <v>484</v>
      </c>
      <c r="BN11" s="8">
        <v>0.5</v>
      </c>
      <c r="BO11" s="8" t="s">
        <v>485</v>
      </c>
      <c r="BP11" s="8" t="s">
        <v>64</v>
      </c>
      <c r="BQ11" s="11"/>
      <c r="BR11" s="11" t="s">
        <v>486</v>
      </c>
      <c r="BS11" s="11">
        <v>1</v>
      </c>
      <c r="BT11" s="11">
        <v>1</v>
      </c>
      <c r="BU11" s="11" t="s">
        <v>487</v>
      </c>
      <c r="BV11" s="11" t="s">
        <v>488</v>
      </c>
      <c r="BW11" s="11">
        <v>0</v>
      </c>
      <c r="BX11" s="11" t="s">
        <v>489</v>
      </c>
      <c r="BY11" s="11">
        <v>0</v>
      </c>
      <c r="BZ11" s="11" t="s">
        <v>490</v>
      </c>
      <c r="CA11" s="11" t="s">
        <v>64</v>
      </c>
      <c r="CB11" s="22"/>
    </row>
    <row r="12" spans="1:80" s="31" customFormat="1" ht="18" customHeight="1">
      <c r="A12">
        <v>10011</v>
      </c>
      <c r="B12" s="8"/>
      <c r="C12" s="8" t="s">
        <v>228</v>
      </c>
      <c r="D12" s="5">
        <v>1</v>
      </c>
      <c r="E12" s="5">
        <v>1</v>
      </c>
      <c r="F12" s="8" t="s">
        <v>491</v>
      </c>
      <c r="G12" s="8"/>
      <c r="H12" s="8">
        <v>0</v>
      </c>
      <c r="I12" s="8" t="s">
        <v>492</v>
      </c>
      <c r="J12" s="8" t="s">
        <v>64</v>
      </c>
      <c r="K12" s="6"/>
      <c r="L12" s="6" t="s">
        <v>493</v>
      </c>
      <c r="M12" s="6">
        <v>1</v>
      </c>
      <c r="N12" s="6">
        <v>1</v>
      </c>
      <c r="O12" s="6" t="s">
        <v>494</v>
      </c>
      <c r="P12" s="6" t="s">
        <v>495</v>
      </c>
      <c r="Q12" s="7">
        <v>3</v>
      </c>
      <c r="R12" s="6" t="s">
        <v>496</v>
      </c>
      <c r="S12" s="6">
        <v>1</v>
      </c>
      <c r="T12" s="6" t="s">
        <v>497</v>
      </c>
      <c r="U12" s="6" t="s">
        <v>43</v>
      </c>
      <c r="V12" s="9"/>
      <c r="W12" s="9" t="s">
        <v>263</v>
      </c>
      <c r="X12" s="9">
        <v>1</v>
      </c>
      <c r="Y12" s="9">
        <v>1</v>
      </c>
      <c r="Z12" s="9" t="s">
        <v>498</v>
      </c>
      <c r="AA12" s="9" t="s">
        <v>499</v>
      </c>
      <c r="AB12" s="9">
        <v>3</v>
      </c>
      <c r="AC12" s="32" t="s">
        <v>500</v>
      </c>
      <c r="AD12" s="9">
        <v>0.5</v>
      </c>
      <c r="AE12" s="9" t="s">
        <v>501</v>
      </c>
      <c r="AF12" s="9" t="s">
        <v>42</v>
      </c>
      <c r="AG12" s="11"/>
      <c r="AH12" s="11" t="s">
        <v>238</v>
      </c>
      <c r="AI12" s="11">
        <v>1</v>
      </c>
      <c r="AJ12" s="11">
        <v>1</v>
      </c>
      <c r="AK12" s="11" t="s">
        <v>502</v>
      </c>
      <c r="AL12" s="11">
        <v>0.5</v>
      </c>
      <c r="AM12" s="11" t="s">
        <v>503</v>
      </c>
      <c r="AN12" s="11" t="s">
        <v>43</v>
      </c>
      <c r="AO12" s="6"/>
      <c r="AP12" s="6" t="s">
        <v>241</v>
      </c>
      <c r="AQ12" s="6">
        <v>1</v>
      </c>
      <c r="AR12" s="6">
        <v>1</v>
      </c>
      <c r="AS12" s="6" t="s">
        <v>504</v>
      </c>
      <c r="AT12" s="6" t="s">
        <v>505</v>
      </c>
      <c r="AU12" s="6">
        <v>3</v>
      </c>
      <c r="AV12" s="7">
        <v>3</v>
      </c>
      <c r="AW12" s="6" t="s">
        <v>125</v>
      </c>
      <c r="AX12" s="6">
        <v>0.5</v>
      </c>
      <c r="AY12" s="6" t="s">
        <v>506</v>
      </c>
      <c r="AZ12" s="6" t="s">
        <v>43</v>
      </c>
      <c r="BA12" s="9"/>
      <c r="BB12" s="9" t="s">
        <v>507</v>
      </c>
      <c r="BC12" s="9">
        <v>1</v>
      </c>
      <c r="BD12" s="9">
        <v>1</v>
      </c>
      <c r="BE12" s="9" t="s">
        <v>508</v>
      </c>
      <c r="BF12" s="9">
        <v>0.5</v>
      </c>
      <c r="BG12" s="9" t="s">
        <v>509</v>
      </c>
      <c r="BH12" s="9" t="s">
        <v>42</v>
      </c>
      <c r="BI12" s="8"/>
      <c r="BJ12" s="8" t="s">
        <v>248</v>
      </c>
      <c r="BK12" s="8">
        <v>1</v>
      </c>
      <c r="BL12" s="8">
        <v>1</v>
      </c>
      <c r="BM12" s="8" t="s">
        <v>510</v>
      </c>
      <c r="BN12" s="8">
        <v>0</v>
      </c>
      <c r="BO12" s="8" t="s">
        <v>511</v>
      </c>
      <c r="BP12" s="8" t="s">
        <v>67</v>
      </c>
      <c r="BQ12" s="11"/>
      <c r="BR12" s="11" t="s">
        <v>250</v>
      </c>
      <c r="BS12" s="11">
        <v>1</v>
      </c>
      <c r="BT12" s="11">
        <v>1</v>
      </c>
      <c r="BU12" s="11" t="s">
        <v>512</v>
      </c>
      <c r="BV12" s="11" t="s">
        <v>505</v>
      </c>
      <c r="BW12" s="11">
        <v>3</v>
      </c>
      <c r="BX12" s="11" t="s">
        <v>513</v>
      </c>
      <c r="BY12" s="11">
        <v>0.5</v>
      </c>
      <c r="BZ12" s="11" t="s">
        <v>511</v>
      </c>
      <c r="CA12" s="11" t="s">
        <v>43</v>
      </c>
      <c r="CB12" s="22"/>
    </row>
    <row r="13" spans="1:80" s="31" customFormat="1" ht="18" customHeight="1">
      <c r="A13">
        <v>10012</v>
      </c>
      <c r="B13" s="8"/>
      <c r="C13" s="8" t="s">
        <v>228</v>
      </c>
      <c r="D13" s="5">
        <v>1</v>
      </c>
      <c r="E13" s="5">
        <v>1</v>
      </c>
      <c r="F13" s="8" t="s">
        <v>514</v>
      </c>
      <c r="G13" s="8"/>
      <c r="H13" s="8">
        <v>3</v>
      </c>
      <c r="I13" s="8" t="s">
        <v>515</v>
      </c>
      <c r="J13" s="8" t="s">
        <v>67</v>
      </c>
      <c r="K13" s="6"/>
      <c r="L13" s="6" t="s">
        <v>258</v>
      </c>
      <c r="M13" s="6">
        <v>1</v>
      </c>
      <c r="N13" s="6">
        <v>1</v>
      </c>
      <c r="O13" s="6" t="s">
        <v>516</v>
      </c>
      <c r="P13" s="6" t="s">
        <v>517</v>
      </c>
      <c r="Q13" s="7">
        <v>3</v>
      </c>
      <c r="R13" s="6" t="s">
        <v>62</v>
      </c>
      <c r="S13" s="6">
        <v>0</v>
      </c>
      <c r="T13" s="6" t="s">
        <v>518</v>
      </c>
      <c r="U13" s="6" t="s">
        <v>37</v>
      </c>
      <c r="V13" s="9"/>
      <c r="W13" s="9" t="s">
        <v>263</v>
      </c>
      <c r="X13" s="9">
        <v>1</v>
      </c>
      <c r="Y13" s="9">
        <v>1</v>
      </c>
      <c r="Z13" s="9" t="s">
        <v>519</v>
      </c>
      <c r="AA13" s="9" t="s">
        <v>520</v>
      </c>
      <c r="AB13" s="9">
        <v>3</v>
      </c>
      <c r="AC13" s="32" t="s">
        <v>521</v>
      </c>
      <c r="AD13" s="9">
        <v>0.5</v>
      </c>
      <c r="AE13" s="9" t="s">
        <v>522</v>
      </c>
      <c r="AF13" s="9" t="s">
        <v>42</v>
      </c>
      <c r="AG13" s="11"/>
      <c r="AH13" s="11" t="s">
        <v>238</v>
      </c>
      <c r="AI13" s="11">
        <v>1</v>
      </c>
      <c r="AJ13" s="11">
        <v>1</v>
      </c>
      <c r="AK13" s="11" t="s">
        <v>523</v>
      </c>
      <c r="AL13" s="11">
        <v>0.5</v>
      </c>
      <c r="AM13" s="11" t="s">
        <v>524</v>
      </c>
      <c r="AN13" s="11" t="s">
        <v>67</v>
      </c>
      <c r="AO13" s="6"/>
      <c r="AP13" s="6" t="s">
        <v>241</v>
      </c>
      <c r="AQ13" s="6">
        <v>1</v>
      </c>
      <c r="AR13" s="6">
        <v>1</v>
      </c>
      <c r="AS13" s="6" t="s">
        <v>525</v>
      </c>
      <c r="AT13" s="6" t="s">
        <v>526</v>
      </c>
      <c r="AU13" s="6">
        <v>3</v>
      </c>
      <c r="AV13" s="7">
        <v>0</v>
      </c>
      <c r="AW13" s="6" t="s">
        <v>62</v>
      </c>
      <c r="AX13" s="6">
        <v>0.5</v>
      </c>
      <c r="AY13" s="6" t="s">
        <v>527</v>
      </c>
      <c r="AZ13" s="6" t="s">
        <v>64</v>
      </c>
      <c r="BA13" s="9"/>
      <c r="BB13" s="9" t="s">
        <v>528</v>
      </c>
      <c r="BC13" s="9">
        <v>1</v>
      </c>
      <c r="BD13" s="9">
        <v>1</v>
      </c>
      <c r="BE13" s="9" t="s">
        <v>81</v>
      </c>
      <c r="BF13" s="9">
        <v>0.5</v>
      </c>
      <c r="BG13" s="9" t="s">
        <v>529</v>
      </c>
      <c r="BH13" s="9" t="s">
        <v>42</v>
      </c>
      <c r="BI13" s="8"/>
      <c r="BJ13" s="8" t="s">
        <v>530</v>
      </c>
      <c r="BK13" s="8">
        <v>1</v>
      </c>
      <c r="BL13" s="8">
        <v>1</v>
      </c>
      <c r="BM13" s="8" t="s">
        <v>531</v>
      </c>
      <c r="BN13" s="8">
        <v>0</v>
      </c>
      <c r="BO13" s="8" t="s">
        <v>532</v>
      </c>
      <c r="BP13" s="8" t="s">
        <v>64</v>
      </c>
      <c r="BQ13" s="11"/>
      <c r="BR13" s="11" t="s">
        <v>383</v>
      </c>
      <c r="BS13" s="11">
        <v>1</v>
      </c>
      <c r="BT13" s="11">
        <v>1</v>
      </c>
      <c r="BU13" s="11" t="s">
        <v>533</v>
      </c>
      <c r="BV13" s="11" t="s">
        <v>534</v>
      </c>
      <c r="BW13" s="11">
        <v>3</v>
      </c>
      <c r="BX13" s="11" t="s">
        <v>535</v>
      </c>
      <c r="BY13" s="11">
        <v>0.5</v>
      </c>
      <c r="BZ13" s="11" t="s">
        <v>536</v>
      </c>
      <c r="CA13" s="11" t="s">
        <v>42</v>
      </c>
      <c r="CB13" s="22"/>
    </row>
    <row r="14" spans="1:80" s="31" customFormat="1" ht="18" customHeight="1">
      <c r="A14">
        <v>10013</v>
      </c>
      <c r="B14" s="8"/>
      <c r="C14" s="8" t="s">
        <v>537</v>
      </c>
      <c r="D14" s="5">
        <v>1</v>
      </c>
      <c r="E14" s="5">
        <v>1</v>
      </c>
      <c r="F14" s="8" t="s">
        <v>538</v>
      </c>
      <c r="G14" s="8"/>
      <c r="H14" s="8">
        <v>3</v>
      </c>
      <c r="I14" s="8" t="s">
        <v>71</v>
      </c>
      <c r="J14" s="8" t="s">
        <v>42</v>
      </c>
      <c r="K14" s="6"/>
      <c r="L14" s="6" t="s">
        <v>539</v>
      </c>
      <c r="M14" s="6">
        <v>1</v>
      </c>
      <c r="N14" s="6">
        <v>1</v>
      </c>
      <c r="O14" s="6" t="s">
        <v>540</v>
      </c>
      <c r="P14" s="6" t="s">
        <v>541</v>
      </c>
      <c r="Q14" s="7">
        <v>3</v>
      </c>
      <c r="R14" s="6" t="s">
        <v>148</v>
      </c>
      <c r="S14" s="6">
        <v>0.5</v>
      </c>
      <c r="T14" s="6" t="s">
        <v>542</v>
      </c>
      <c r="U14" s="6" t="s">
        <v>67</v>
      </c>
      <c r="V14" s="9"/>
      <c r="W14" s="9" t="s">
        <v>543</v>
      </c>
      <c r="X14" s="9">
        <v>1</v>
      </c>
      <c r="Y14" s="9">
        <v>1</v>
      </c>
      <c r="Z14" s="9" t="s">
        <v>544</v>
      </c>
      <c r="AA14" s="9" t="s">
        <v>545</v>
      </c>
      <c r="AB14" s="9">
        <v>2</v>
      </c>
      <c r="AC14" s="32" t="s">
        <v>546</v>
      </c>
      <c r="AD14" s="9">
        <v>0.5</v>
      </c>
      <c r="AE14" s="9" t="s">
        <v>547</v>
      </c>
      <c r="AF14" s="9" t="s">
        <v>42</v>
      </c>
      <c r="AG14" s="11"/>
      <c r="AH14" s="11" t="s">
        <v>548</v>
      </c>
      <c r="AI14" s="11">
        <v>1</v>
      </c>
      <c r="AJ14" s="11">
        <v>1</v>
      </c>
      <c r="AK14" s="11" t="s">
        <v>549</v>
      </c>
      <c r="AL14" s="11">
        <v>0.5</v>
      </c>
      <c r="AM14" s="11" t="s">
        <v>107</v>
      </c>
      <c r="AN14" s="11" t="s">
        <v>42</v>
      </c>
      <c r="AO14" s="6"/>
      <c r="AP14" s="6" t="s">
        <v>550</v>
      </c>
      <c r="AQ14" s="6">
        <v>0.5</v>
      </c>
      <c r="AR14" s="6">
        <v>0.5</v>
      </c>
      <c r="AS14" s="6" t="s">
        <v>551</v>
      </c>
      <c r="AT14" s="6" t="s">
        <v>552</v>
      </c>
      <c r="AU14" s="6">
        <v>3</v>
      </c>
      <c r="AV14" s="7">
        <v>3</v>
      </c>
      <c r="AW14" s="6" t="s">
        <v>125</v>
      </c>
      <c r="AX14" s="6">
        <v>0.5</v>
      </c>
      <c r="AY14" s="6" t="s">
        <v>108</v>
      </c>
      <c r="AZ14" s="6" t="s">
        <v>42</v>
      </c>
      <c r="BA14" s="9"/>
      <c r="BB14" s="9" t="s">
        <v>553</v>
      </c>
      <c r="BC14" s="9">
        <v>1</v>
      </c>
      <c r="BD14" s="9">
        <v>1</v>
      </c>
      <c r="BE14" s="9" t="s">
        <v>113</v>
      </c>
      <c r="BF14" s="9">
        <v>0.5</v>
      </c>
      <c r="BG14" s="9" t="s">
        <v>554</v>
      </c>
      <c r="BH14" s="9" t="s">
        <v>42</v>
      </c>
      <c r="BI14" s="8"/>
      <c r="BJ14" s="8" t="s">
        <v>555</v>
      </c>
      <c r="BK14" s="8">
        <v>1</v>
      </c>
      <c r="BL14" s="8">
        <v>1</v>
      </c>
      <c r="BM14" s="8" t="s">
        <v>556</v>
      </c>
      <c r="BN14" s="8">
        <v>0</v>
      </c>
      <c r="BO14" s="8" t="s">
        <v>554</v>
      </c>
      <c r="BP14" s="8" t="s">
        <v>42</v>
      </c>
      <c r="BQ14" s="11"/>
      <c r="BR14" s="11" t="s">
        <v>557</v>
      </c>
      <c r="BS14" s="11">
        <v>1</v>
      </c>
      <c r="BT14" s="11">
        <v>1</v>
      </c>
      <c r="BU14" s="11" t="s">
        <v>558</v>
      </c>
      <c r="BV14" s="11" t="s">
        <v>559</v>
      </c>
      <c r="BW14" s="11">
        <v>1</v>
      </c>
      <c r="BX14" s="11" t="s">
        <v>125</v>
      </c>
      <c r="BY14" s="11">
        <v>0</v>
      </c>
      <c r="BZ14" s="11" t="s">
        <v>554</v>
      </c>
      <c r="CA14" s="11" t="s">
        <v>42</v>
      </c>
      <c r="CB14" s="22"/>
    </row>
    <row r="15" spans="1:80" s="31" customFormat="1" ht="18" customHeight="1">
      <c r="A15">
        <v>10014</v>
      </c>
      <c r="B15" s="8"/>
      <c r="C15" s="8" t="s">
        <v>228</v>
      </c>
      <c r="D15" s="5">
        <v>1</v>
      </c>
      <c r="E15" s="5">
        <v>1</v>
      </c>
      <c r="F15" s="8" t="s">
        <v>560</v>
      </c>
      <c r="G15" s="8"/>
      <c r="H15" s="8">
        <v>3</v>
      </c>
      <c r="I15" s="8" t="s">
        <v>561</v>
      </c>
      <c r="J15" s="8" t="s">
        <v>42</v>
      </c>
      <c r="K15" s="6"/>
      <c r="L15" s="6" t="s">
        <v>465</v>
      </c>
      <c r="M15" s="6">
        <v>1</v>
      </c>
      <c r="N15" s="6">
        <v>1</v>
      </c>
      <c r="O15" s="6" t="s">
        <v>562</v>
      </c>
      <c r="P15" s="6" t="s">
        <v>563</v>
      </c>
      <c r="Q15" s="7">
        <v>3</v>
      </c>
      <c r="R15" s="6" t="s">
        <v>62</v>
      </c>
      <c r="S15" s="6">
        <v>0</v>
      </c>
      <c r="T15" s="6" t="s">
        <v>564</v>
      </c>
      <c r="U15" s="6" t="s">
        <v>36</v>
      </c>
      <c r="V15" s="9"/>
      <c r="W15" s="9" t="s">
        <v>565</v>
      </c>
      <c r="X15" s="9">
        <v>1</v>
      </c>
      <c r="Y15" s="9">
        <v>1</v>
      </c>
      <c r="Z15" s="9" t="s">
        <v>197</v>
      </c>
      <c r="AA15" s="9" t="s">
        <v>156</v>
      </c>
      <c r="AB15" s="9">
        <v>2</v>
      </c>
      <c r="AC15" s="32" t="s">
        <v>566</v>
      </c>
      <c r="AD15" s="9">
        <v>0.5</v>
      </c>
      <c r="AE15" s="9" t="s">
        <v>567</v>
      </c>
      <c r="AF15" s="9" t="s">
        <v>36</v>
      </c>
      <c r="AG15" s="11"/>
      <c r="AH15" s="11" t="s">
        <v>238</v>
      </c>
      <c r="AI15" s="11">
        <v>1</v>
      </c>
      <c r="AJ15" s="11">
        <v>1</v>
      </c>
      <c r="AK15" s="11" t="s">
        <v>79</v>
      </c>
      <c r="AL15" s="11">
        <v>0.5</v>
      </c>
      <c r="AM15" s="11" t="s">
        <v>568</v>
      </c>
      <c r="AN15" s="11" t="s">
        <v>36</v>
      </c>
      <c r="AO15" s="6"/>
      <c r="AP15" s="6" t="s">
        <v>569</v>
      </c>
      <c r="AQ15" s="6">
        <v>1</v>
      </c>
      <c r="AR15" s="6">
        <v>1</v>
      </c>
      <c r="AS15" s="6" t="s">
        <v>570</v>
      </c>
      <c r="AT15" s="6" t="s">
        <v>571</v>
      </c>
      <c r="AU15" s="6">
        <v>3</v>
      </c>
      <c r="AV15" s="7">
        <v>3</v>
      </c>
      <c r="AW15" s="6" t="s">
        <v>62</v>
      </c>
      <c r="AX15" s="6">
        <v>0.5</v>
      </c>
      <c r="AY15" s="6" t="s">
        <v>572</v>
      </c>
      <c r="AZ15" s="6" t="s">
        <v>43</v>
      </c>
      <c r="BA15" s="9"/>
      <c r="BB15" s="9" t="s">
        <v>573</v>
      </c>
      <c r="BC15" s="9">
        <v>1</v>
      </c>
      <c r="BD15" s="9">
        <v>1</v>
      </c>
      <c r="BE15" s="9" t="s">
        <v>62</v>
      </c>
      <c r="BF15" s="9">
        <v>0</v>
      </c>
      <c r="BG15" s="9" t="s">
        <v>574</v>
      </c>
      <c r="BH15" s="9" t="s">
        <v>36</v>
      </c>
      <c r="BI15" s="8"/>
      <c r="BJ15" s="8" t="s">
        <v>248</v>
      </c>
      <c r="BK15" s="8">
        <v>1</v>
      </c>
      <c r="BL15" s="8">
        <v>1</v>
      </c>
      <c r="BM15" s="8" t="s">
        <v>575</v>
      </c>
      <c r="BN15" s="8">
        <v>0.5</v>
      </c>
      <c r="BO15" s="8" t="s">
        <v>576</v>
      </c>
      <c r="BP15" s="8" t="s">
        <v>43</v>
      </c>
      <c r="BQ15" s="11"/>
      <c r="BR15" s="11" t="s">
        <v>383</v>
      </c>
      <c r="BS15" s="11">
        <v>1</v>
      </c>
      <c r="BT15" s="11">
        <v>1</v>
      </c>
      <c r="BU15" s="11" t="s">
        <v>197</v>
      </c>
      <c r="BV15" s="11" t="s">
        <v>577</v>
      </c>
      <c r="BW15" s="11">
        <v>0</v>
      </c>
      <c r="BX15" s="11" t="s">
        <v>62</v>
      </c>
      <c r="BY15" s="11">
        <v>0</v>
      </c>
      <c r="BZ15" s="11" t="s">
        <v>578</v>
      </c>
      <c r="CA15" s="11" t="s">
        <v>63</v>
      </c>
      <c r="CB15" s="22"/>
    </row>
    <row r="16" spans="1:80" s="31" customFormat="1" ht="18" customHeight="1">
      <c r="A16">
        <v>10015</v>
      </c>
      <c r="B16" s="8"/>
      <c r="C16" s="8" t="s">
        <v>228</v>
      </c>
      <c r="D16" s="5">
        <v>1</v>
      </c>
      <c r="E16" s="5">
        <v>1</v>
      </c>
      <c r="F16" s="8" t="s">
        <v>579</v>
      </c>
      <c r="G16" s="8"/>
      <c r="H16" s="8">
        <v>0</v>
      </c>
      <c r="I16" s="8" t="s">
        <v>580</v>
      </c>
      <c r="J16" s="8" t="s">
        <v>42</v>
      </c>
      <c r="K16" s="6"/>
      <c r="L16" s="6" t="s">
        <v>230</v>
      </c>
      <c r="M16" s="6">
        <v>1</v>
      </c>
      <c r="N16" s="6">
        <v>1</v>
      </c>
      <c r="O16" s="6" t="s">
        <v>581</v>
      </c>
      <c r="P16" s="6" t="s">
        <v>582</v>
      </c>
      <c r="Q16" s="7">
        <v>3</v>
      </c>
      <c r="R16" s="6" t="s">
        <v>583</v>
      </c>
      <c r="S16" s="6">
        <v>0.5</v>
      </c>
      <c r="T16" s="6" t="s">
        <v>584</v>
      </c>
      <c r="U16" s="6" t="s">
        <v>37</v>
      </c>
      <c r="V16" s="9"/>
      <c r="W16" s="9" t="s">
        <v>565</v>
      </c>
      <c r="X16" s="9">
        <v>1</v>
      </c>
      <c r="Y16" s="9">
        <v>1</v>
      </c>
      <c r="Z16" s="9" t="s">
        <v>585</v>
      </c>
      <c r="AA16" s="9" t="s">
        <v>586</v>
      </c>
      <c r="AB16" s="9">
        <v>2</v>
      </c>
      <c r="AC16" s="32" t="s">
        <v>587</v>
      </c>
      <c r="AD16" s="9">
        <v>1</v>
      </c>
      <c r="AE16" s="9" t="s">
        <v>588</v>
      </c>
      <c r="AF16" s="9" t="s">
        <v>42</v>
      </c>
      <c r="AG16" s="11"/>
      <c r="AH16" s="11" t="s">
        <v>267</v>
      </c>
      <c r="AI16" s="11">
        <v>1</v>
      </c>
      <c r="AJ16" s="11">
        <v>1</v>
      </c>
      <c r="AK16" s="11" t="s">
        <v>589</v>
      </c>
      <c r="AL16" s="11">
        <v>0.5</v>
      </c>
      <c r="AM16" s="11" t="s">
        <v>590</v>
      </c>
      <c r="AN16" s="11" t="s">
        <v>67</v>
      </c>
      <c r="AO16" s="6"/>
      <c r="AP16" s="6" t="s">
        <v>591</v>
      </c>
      <c r="AQ16" s="6">
        <v>1</v>
      </c>
      <c r="AR16" s="6">
        <v>1</v>
      </c>
      <c r="AS16" s="6" t="s">
        <v>592</v>
      </c>
      <c r="AT16" s="6" t="s">
        <v>593</v>
      </c>
      <c r="AU16" s="6">
        <v>3</v>
      </c>
      <c r="AV16" s="7">
        <v>3</v>
      </c>
      <c r="AW16" s="6" t="s">
        <v>594</v>
      </c>
      <c r="AX16" s="6">
        <v>0.5</v>
      </c>
      <c r="AY16" s="6" t="s">
        <v>595</v>
      </c>
      <c r="AZ16" s="6" t="s">
        <v>43</v>
      </c>
      <c r="BA16" s="9"/>
      <c r="BB16" s="9" t="s">
        <v>596</v>
      </c>
      <c r="BC16" s="9">
        <v>1</v>
      </c>
      <c r="BD16" s="9">
        <v>1</v>
      </c>
      <c r="BE16" s="9" t="s">
        <v>597</v>
      </c>
      <c r="BF16" s="9">
        <v>0.5</v>
      </c>
      <c r="BG16" s="9" t="s">
        <v>598</v>
      </c>
      <c r="BH16" s="9" t="s">
        <v>42</v>
      </c>
      <c r="BI16" s="8"/>
      <c r="BJ16" s="8" t="s">
        <v>248</v>
      </c>
      <c r="BK16" s="8">
        <v>1</v>
      </c>
      <c r="BL16" s="8">
        <v>1</v>
      </c>
      <c r="BM16" s="8" t="s">
        <v>599</v>
      </c>
      <c r="BN16" s="8">
        <v>0</v>
      </c>
      <c r="BO16" s="8" t="s">
        <v>600</v>
      </c>
      <c r="BP16" s="8" t="s">
        <v>67</v>
      </c>
      <c r="BQ16" s="11"/>
      <c r="BR16" s="11" t="s">
        <v>250</v>
      </c>
      <c r="BS16" s="11">
        <v>1</v>
      </c>
      <c r="BT16" s="11">
        <v>1</v>
      </c>
      <c r="BU16" s="11" t="s">
        <v>601</v>
      </c>
      <c r="BV16" s="11" t="s">
        <v>602</v>
      </c>
      <c r="BW16" s="11">
        <v>3</v>
      </c>
      <c r="BX16" s="11" t="s">
        <v>51</v>
      </c>
      <c r="BY16" s="11">
        <v>0.5</v>
      </c>
      <c r="BZ16" s="11" t="s">
        <v>603</v>
      </c>
      <c r="CA16" s="11" t="s">
        <v>43</v>
      </c>
      <c r="CB16" s="22"/>
    </row>
    <row r="17" spans="1:80" s="31" customFormat="1" ht="18" customHeight="1">
      <c r="A17">
        <v>10016</v>
      </c>
      <c r="B17" s="8"/>
      <c r="C17" s="8" t="s">
        <v>604</v>
      </c>
      <c r="D17" s="5">
        <v>1</v>
      </c>
      <c r="E17" s="5">
        <v>1</v>
      </c>
      <c r="F17" s="8" t="s">
        <v>605</v>
      </c>
      <c r="G17" s="8"/>
      <c r="H17" s="8">
        <v>1</v>
      </c>
      <c r="I17" s="8" t="s">
        <v>606</v>
      </c>
      <c r="J17" s="8" t="s">
        <v>42</v>
      </c>
      <c r="K17" s="6"/>
      <c r="L17" s="6" t="s">
        <v>465</v>
      </c>
      <c r="M17" s="6">
        <v>1</v>
      </c>
      <c r="N17" s="6">
        <v>1</v>
      </c>
      <c r="O17" s="6" t="s">
        <v>120</v>
      </c>
      <c r="P17" s="6" t="s">
        <v>607</v>
      </c>
      <c r="Q17" s="7">
        <v>3</v>
      </c>
      <c r="R17" s="6" t="s">
        <v>608</v>
      </c>
      <c r="S17" s="6">
        <v>0.5</v>
      </c>
      <c r="T17" s="6" t="s">
        <v>46</v>
      </c>
      <c r="U17" s="6" t="s">
        <v>42</v>
      </c>
      <c r="V17" s="9"/>
      <c r="W17" s="9" t="s">
        <v>609</v>
      </c>
      <c r="X17" s="9">
        <v>1</v>
      </c>
      <c r="Y17" s="9">
        <v>1</v>
      </c>
      <c r="Z17" s="9" t="s">
        <v>610</v>
      </c>
      <c r="AA17" s="9" t="s">
        <v>610</v>
      </c>
      <c r="AB17" s="9">
        <v>0</v>
      </c>
      <c r="AC17" s="32" t="s">
        <v>611</v>
      </c>
      <c r="AD17" s="9">
        <v>0.5</v>
      </c>
      <c r="AE17" s="9" t="s">
        <v>130</v>
      </c>
      <c r="AF17" s="9" t="s">
        <v>42</v>
      </c>
      <c r="AG17" s="11"/>
      <c r="AH17" s="11" t="s">
        <v>612</v>
      </c>
      <c r="AI17" s="11">
        <v>1</v>
      </c>
      <c r="AJ17" s="11">
        <v>1</v>
      </c>
      <c r="AK17" s="11" t="s">
        <v>613</v>
      </c>
      <c r="AL17" s="11">
        <v>0.5</v>
      </c>
      <c r="AM17" s="11" t="s">
        <v>614</v>
      </c>
      <c r="AN17" s="11" t="s">
        <v>37</v>
      </c>
      <c r="AO17" s="6"/>
      <c r="AP17" s="6" t="s">
        <v>615</v>
      </c>
      <c r="AQ17" s="6">
        <v>1</v>
      </c>
      <c r="AR17" s="6">
        <v>1</v>
      </c>
      <c r="AS17" s="6" t="s">
        <v>120</v>
      </c>
      <c r="AT17" s="6" t="s">
        <v>50</v>
      </c>
      <c r="AU17" s="6">
        <v>1</v>
      </c>
      <c r="AV17" s="7">
        <v>1</v>
      </c>
      <c r="AW17" s="6" t="s">
        <v>616</v>
      </c>
      <c r="AX17" s="6">
        <v>0.5</v>
      </c>
      <c r="AY17" s="6" t="s">
        <v>617</v>
      </c>
      <c r="AZ17" s="6" t="s">
        <v>37</v>
      </c>
      <c r="BA17" s="9"/>
      <c r="BB17" s="9" t="s">
        <v>618</v>
      </c>
      <c r="BC17" s="9">
        <v>0.5</v>
      </c>
      <c r="BD17" s="9">
        <v>1</v>
      </c>
      <c r="BE17" s="9" t="s">
        <v>358</v>
      </c>
      <c r="BF17" s="9">
        <v>0.5</v>
      </c>
      <c r="BG17" s="9" t="s">
        <v>130</v>
      </c>
      <c r="BH17" s="9" t="s">
        <v>37</v>
      </c>
      <c r="BI17" s="8"/>
      <c r="BJ17" s="8" t="s">
        <v>483</v>
      </c>
      <c r="BK17" s="8">
        <v>1</v>
      </c>
      <c r="BL17" s="8">
        <v>1</v>
      </c>
      <c r="BM17" s="8" t="s">
        <v>619</v>
      </c>
      <c r="BN17" s="8">
        <v>0</v>
      </c>
      <c r="BO17" s="8" t="s">
        <v>620</v>
      </c>
      <c r="BP17" s="8" t="s">
        <v>37</v>
      </c>
      <c r="BQ17" s="11"/>
      <c r="BR17" s="11" t="s">
        <v>458</v>
      </c>
      <c r="BS17" s="11">
        <v>1</v>
      </c>
      <c r="BT17" s="11">
        <v>1</v>
      </c>
      <c r="BU17" s="11" t="s">
        <v>66</v>
      </c>
      <c r="BV17" s="11" t="s">
        <v>610</v>
      </c>
      <c r="BW17" s="11">
        <v>0</v>
      </c>
      <c r="BX17" s="11" t="s">
        <v>619</v>
      </c>
      <c r="BY17" s="11">
        <v>0</v>
      </c>
      <c r="BZ17" s="11" t="s">
        <v>620</v>
      </c>
      <c r="CA17" s="11" t="s">
        <v>37</v>
      </c>
      <c r="CB17" s="22"/>
    </row>
    <row r="18" spans="1:80" s="31" customFormat="1" ht="18" customHeight="1">
      <c r="A18">
        <v>10017</v>
      </c>
      <c r="B18" s="8"/>
      <c r="C18" s="8" t="s">
        <v>621</v>
      </c>
      <c r="D18" s="5">
        <v>1</v>
      </c>
      <c r="E18" s="5">
        <v>1</v>
      </c>
      <c r="F18" s="8" t="s">
        <v>622</v>
      </c>
      <c r="G18" s="8"/>
      <c r="H18" s="8">
        <v>3</v>
      </c>
      <c r="I18" s="8" t="s">
        <v>74</v>
      </c>
      <c r="J18" s="8" t="s">
        <v>42</v>
      </c>
      <c r="K18" s="6"/>
      <c r="L18" s="6" t="s">
        <v>623</v>
      </c>
      <c r="M18" s="6">
        <v>1</v>
      </c>
      <c r="N18" s="6">
        <v>1</v>
      </c>
      <c r="O18" s="6" t="s">
        <v>624</v>
      </c>
      <c r="P18" s="6" t="s">
        <v>77</v>
      </c>
      <c r="Q18" s="7">
        <v>3</v>
      </c>
      <c r="R18" s="6" t="s">
        <v>103</v>
      </c>
      <c r="S18" s="6">
        <v>0</v>
      </c>
      <c r="T18" s="6" t="s">
        <v>74</v>
      </c>
      <c r="U18" s="6" t="s">
        <v>42</v>
      </c>
      <c r="V18" s="9"/>
      <c r="W18" s="9" t="s">
        <v>625</v>
      </c>
      <c r="X18" s="9">
        <v>1</v>
      </c>
      <c r="Y18" s="9">
        <v>1</v>
      </c>
      <c r="Z18" s="9" t="s">
        <v>626</v>
      </c>
      <c r="AA18" s="9" t="s">
        <v>627</v>
      </c>
      <c r="AB18" s="9">
        <v>2</v>
      </c>
      <c r="AC18" s="32" t="s">
        <v>75</v>
      </c>
      <c r="AD18" s="9">
        <v>1</v>
      </c>
      <c r="AE18" s="9" t="s">
        <v>74</v>
      </c>
      <c r="AF18" s="9" t="s">
        <v>42</v>
      </c>
      <c r="AG18" s="11"/>
      <c r="AH18" s="11" t="s">
        <v>628</v>
      </c>
      <c r="AI18" s="11">
        <v>1</v>
      </c>
      <c r="AJ18" s="11">
        <v>1</v>
      </c>
      <c r="AK18" s="11" t="s">
        <v>296</v>
      </c>
      <c r="AL18" s="11">
        <v>0.5</v>
      </c>
      <c r="AM18" s="11" t="s">
        <v>74</v>
      </c>
      <c r="AN18" s="11" t="s">
        <v>42</v>
      </c>
      <c r="AO18" s="6"/>
      <c r="AP18" s="6" t="s">
        <v>629</v>
      </c>
      <c r="AQ18" s="6">
        <v>0.5</v>
      </c>
      <c r="AR18" s="6">
        <v>0.5</v>
      </c>
      <c r="AS18" s="6" t="s">
        <v>630</v>
      </c>
      <c r="AT18" s="6" t="s">
        <v>97</v>
      </c>
      <c r="AU18" s="6">
        <v>1</v>
      </c>
      <c r="AV18" s="7">
        <v>1</v>
      </c>
      <c r="AW18" s="6" t="s">
        <v>75</v>
      </c>
      <c r="AX18" s="6">
        <v>0.5</v>
      </c>
      <c r="AY18" s="6" t="s">
        <v>74</v>
      </c>
      <c r="AZ18" s="6" t="s">
        <v>42</v>
      </c>
      <c r="BA18" s="9"/>
      <c r="BB18" s="9" t="s">
        <v>631</v>
      </c>
      <c r="BC18" s="9">
        <v>1</v>
      </c>
      <c r="BD18" s="9">
        <v>1</v>
      </c>
      <c r="BE18" s="9" t="s">
        <v>78</v>
      </c>
      <c r="BF18" s="9">
        <v>0.5</v>
      </c>
      <c r="BG18" s="9" t="s">
        <v>74</v>
      </c>
      <c r="BH18" s="9" t="s">
        <v>42</v>
      </c>
      <c r="BI18" s="8"/>
      <c r="BJ18" s="8" t="s">
        <v>632</v>
      </c>
      <c r="BK18" s="8">
        <v>1</v>
      </c>
      <c r="BL18" s="8">
        <v>0.5</v>
      </c>
      <c r="BM18" s="8" t="s">
        <v>47</v>
      </c>
      <c r="BN18" s="8">
        <v>0</v>
      </c>
      <c r="BO18" s="8" t="s">
        <v>74</v>
      </c>
      <c r="BP18" s="8" t="s">
        <v>42</v>
      </c>
      <c r="BQ18" s="11"/>
      <c r="BR18" s="11" t="s">
        <v>633</v>
      </c>
      <c r="BS18" s="11">
        <v>1</v>
      </c>
      <c r="BT18" s="11">
        <v>1</v>
      </c>
      <c r="BU18" s="11" t="s">
        <v>634</v>
      </c>
      <c r="BV18" s="11" t="s">
        <v>635</v>
      </c>
      <c r="BW18" s="11">
        <v>1</v>
      </c>
      <c r="BX18" s="11" t="s">
        <v>75</v>
      </c>
      <c r="BY18" s="11">
        <v>0</v>
      </c>
      <c r="BZ18" s="11" t="s">
        <v>74</v>
      </c>
      <c r="CA18" s="11" t="s">
        <v>42</v>
      </c>
      <c r="CB18" s="22"/>
    </row>
    <row r="19" spans="1:80" s="31" customFormat="1" ht="18" customHeight="1">
      <c r="A19">
        <v>10018</v>
      </c>
      <c r="B19" s="8"/>
      <c r="C19" s="8" t="s">
        <v>604</v>
      </c>
      <c r="D19" s="5">
        <v>1</v>
      </c>
      <c r="E19" s="5">
        <v>1</v>
      </c>
      <c r="F19" s="8" t="s">
        <v>636</v>
      </c>
      <c r="G19" s="8"/>
      <c r="H19" s="8">
        <v>3</v>
      </c>
      <c r="I19" s="8" t="s">
        <v>637</v>
      </c>
      <c r="J19" s="8" t="s">
        <v>67</v>
      </c>
      <c r="K19" s="6"/>
      <c r="L19" s="6" t="s">
        <v>230</v>
      </c>
      <c r="M19" s="6">
        <v>1</v>
      </c>
      <c r="N19" s="6">
        <v>1</v>
      </c>
      <c r="O19" s="6" t="s">
        <v>638</v>
      </c>
      <c r="P19" s="6" t="s">
        <v>639</v>
      </c>
      <c r="Q19" s="7">
        <v>3</v>
      </c>
      <c r="R19" s="6" t="s">
        <v>52</v>
      </c>
      <c r="S19" s="6">
        <v>0.5</v>
      </c>
      <c r="T19" s="6" t="s">
        <v>640</v>
      </c>
      <c r="U19" s="6" t="s">
        <v>67</v>
      </c>
      <c r="V19" s="9"/>
      <c r="W19" s="9" t="s">
        <v>263</v>
      </c>
      <c r="X19" s="9">
        <v>1</v>
      </c>
      <c r="Y19" s="9">
        <v>1</v>
      </c>
      <c r="Z19" s="9" t="s">
        <v>641</v>
      </c>
      <c r="AA19" s="9" t="s">
        <v>642</v>
      </c>
      <c r="AB19" s="9">
        <v>3</v>
      </c>
      <c r="AC19" s="32" t="s">
        <v>643</v>
      </c>
      <c r="AD19" s="9">
        <v>0.5</v>
      </c>
      <c r="AE19" s="9" t="s">
        <v>644</v>
      </c>
      <c r="AF19" s="9" t="s">
        <v>42</v>
      </c>
      <c r="AG19" s="11"/>
      <c r="AH19" s="11" t="s">
        <v>238</v>
      </c>
      <c r="AI19" s="11">
        <v>1</v>
      </c>
      <c r="AJ19" s="11">
        <v>1</v>
      </c>
      <c r="AK19" s="11" t="s">
        <v>645</v>
      </c>
      <c r="AL19" s="11">
        <v>0.5</v>
      </c>
      <c r="AM19" s="11" t="s">
        <v>646</v>
      </c>
      <c r="AN19" s="11" t="s">
        <v>42</v>
      </c>
      <c r="AO19" s="6"/>
      <c r="AP19" s="6" t="s">
        <v>591</v>
      </c>
      <c r="AQ19" s="6">
        <v>1</v>
      </c>
      <c r="AR19" s="6">
        <v>1</v>
      </c>
      <c r="AS19" s="6" t="s">
        <v>647</v>
      </c>
      <c r="AT19" s="6" t="s">
        <v>648</v>
      </c>
      <c r="AU19" s="6">
        <v>1</v>
      </c>
      <c r="AV19" s="7">
        <v>1</v>
      </c>
      <c r="AW19" s="6" t="s">
        <v>180</v>
      </c>
      <c r="AX19" s="6">
        <v>0.5</v>
      </c>
      <c r="AY19" s="6" t="s">
        <v>649</v>
      </c>
      <c r="AZ19" s="6" t="s">
        <v>43</v>
      </c>
      <c r="BA19" s="9"/>
      <c r="BB19" s="9" t="s">
        <v>650</v>
      </c>
      <c r="BC19" s="9">
        <v>1</v>
      </c>
      <c r="BD19" s="9">
        <v>1</v>
      </c>
      <c r="BE19" s="9" t="s">
        <v>81</v>
      </c>
      <c r="BF19" s="9">
        <v>0.5</v>
      </c>
      <c r="BG19" s="9" t="s">
        <v>651</v>
      </c>
      <c r="BH19" s="9" t="s">
        <v>67</v>
      </c>
      <c r="BI19" s="8"/>
      <c r="BJ19" s="8" t="s">
        <v>652</v>
      </c>
      <c r="BK19" s="8">
        <v>1</v>
      </c>
      <c r="BL19" s="8">
        <v>1</v>
      </c>
      <c r="BM19" s="8" t="s">
        <v>653</v>
      </c>
      <c r="BN19" s="8">
        <v>0.5</v>
      </c>
      <c r="BO19" s="8" t="s">
        <v>654</v>
      </c>
      <c r="BP19" s="8" t="s">
        <v>67</v>
      </c>
      <c r="BQ19" s="11"/>
      <c r="BR19" s="11" t="s">
        <v>655</v>
      </c>
      <c r="BS19" s="11">
        <v>1</v>
      </c>
      <c r="BT19" s="11">
        <v>1</v>
      </c>
      <c r="BU19" s="11" t="s">
        <v>656</v>
      </c>
      <c r="BV19" s="11" t="s">
        <v>657</v>
      </c>
      <c r="BW19" s="11">
        <v>1</v>
      </c>
      <c r="BX19" s="11" t="s">
        <v>658</v>
      </c>
      <c r="BY19" s="11">
        <v>0.5</v>
      </c>
      <c r="BZ19" s="11" t="s">
        <v>659</v>
      </c>
      <c r="CA19" s="11" t="s">
        <v>67</v>
      </c>
      <c r="CB19" s="22"/>
    </row>
    <row r="20" spans="1:80" s="31" customFormat="1" ht="18" customHeight="1">
      <c r="A20">
        <v>10019</v>
      </c>
      <c r="B20" s="8"/>
      <c r="C20" s="8" t="s">
        <v>660</v>
      </c>
      <c r="D20" s="5">
        <v>1</v>
      </c>
      <c r="E20" s="5">
        <v>1</v>
      </c>
      <c r="F20" s="8" t="s">
        <v>661</v>
      </c>
      <c r="G20" s="8"/>
      <c r="H20" s="8">
        <v>2</v>
      </c>
      <c r="I20" s="8" t="s">
        <v>662</v>
      </c>
      <c r="J20" s="8" t="s">
        <v>42</v>
      </c>
      <c r="K20" s="6"/>
      <c r="L20" s="6" t="s">
        <v>230</v>
      </c>
      <c r="M20" s="6">
        <v>1</v>
      </c>
      <c r="N20" s="6">
        <v>1</v>
      </c>
      <c r="O20" s="6" t="s">
        <v>663</v>
      </c>
      <c r="P20" s="6" t="s">
        <v>664</v>
      </c>
      <c r="Q20" s="7">
        <v>3</v>
      </c>
      <c r="R20" s="6" t="s">
        <v>665</v>
      </c>
      <c r="S20" s="6">
        <v>0.5</v>
      </c>
      <c r="T20" s="6" t="s">
        <v>666</v>
      </c>
      <c r="U20" s="6" t="s">
        <v>43</v>
      </c>
      <c r="V20" s="9"/>
      <c r="W20" s="9" t="s">
        <v>565</v>
      </c>
      <c r="X20" s="9">
        <v>1</v>
      </c>
      <c r="Y20" s="9">
        <v>1</v>
      </c>
      <c r="Z20" s="9" t="s">
        <v>667</v>
      </c>
      <c r="AA20" s="9" t="s">
        <v>668</v>
      </c>
      <c r="AB20" s="9">
        <v>3</v>
      </c>
      <c r="AC20" s="32" t="s">
        <v>171</v>
      </c>
      <c r="AD20" s="9">
        <v>0.5</v>
      </c>
      <c r="AE20" s="9" t="s">
        <v>669</v>
      </c>
      <c r="AF20" s="9" t="s">
        <v>64</v>
      </c>
      <c r="AG20" s="11"/>
      <c r="AH20" s="11" t="s">
        <v>670</v>
      </c>
      <c r="AI20" s="11">
        <v>1</v>
      </c>
      <c r="AJ20" s="11">
        <v>1</v>
      </c>
      <c r="AK20" s="11" t="s">
        <v>671</v>
      </c>
      <c r="AL20" s="11">
        <v>1</v>
      </c>
      <c r="AM20" s="11" t="s">
        <v>672</v>
      </c>
      <c r="AN20" s="11" t="s">
        <v>43</v>
      </c>
      <c r="AO20" s="6"/>
      <c r="AP20" s="6" t="s">
        <v>569</v>
      </c>
      <c r="AQ20" s="6">
        <v>1</v>
      </c>
      <c r="AR20" s="6">
        <v>1</v>
      </c>
      <c r="AS20" s="6" t="s">
        <v>673</v>
      </c>
      <c r="AT20" s="6" t="s">
        <v>674</v>
      </c>
      <c r="AU20" s="6">
        <v>0</v>
      </c>
      <c r="AV20" s="7">
        <v>0</v>
      </c>
      <c r="AW20" s="6" t="s">
        <v>675</v>
      </c>
      <c r="AX20" s="6">
        <v>1</v>
      </c>
      <c r="AY20" s="6" t="s">
        <v>676</v>
      </c>
      <c r="AZ20" s="6" t="s">
        <v>64</v>
      </c>
      <c r="BA20" s="9"/>
      <c r="BB20" s="9" t="s">
        <v>677</v>
      </c>
      <c r="BC20" s="9">
        <v>1</v>
      </c>
      <c r="BD20" s="9">
        <v>1</v>
      </c>
      <c r="BE20" s="9" t="s">
        <v>678</v>
      </c>
      <c r="BF20" s="9">
        <v>1</v>
      </c>
      <c r="BG20" s="9" t="s">
        <v>679</v>
      </c>
      <c r="BH20" s="9" t="s">
        <v>42</v>
      </c>
      <c r="BI20" s="8"/>
      <c r="BJ20" s="8" t="s">
        <v>680</v>
      </c>
      <c r="BK20" s="8">
        <v>1</v>
      </c>
      <c r="BL20" s="8">
        <v>1</v>
      </c>
      <c r="BM20" s="8" t="s">
        <v>681</v>
      </c>
      <c r="BN20" s="8">
        <v>0</v>
      </c>
      <c r="BO20" s="8" t="s">
        <v>682</v>
      </c>
      <c r="BP20" s="8" t="s">
        <v>37</v>
      </c>
      <c r="BQ20" s="11"/>
      <c r="BR20" s="11" t="s">
        <v>683</v>
      </c>
      <c r="BS20" s="11">
        <v>1</v>
      </c>
      <c r="BT20" s="11">
        <v>1</v>
      </c>
      <c r="BU20" s="11" t="s">
        <v>684</v>
      </c>
      <c r="BV20" s="11" t="s">
        <v>685</v>
      </c>
      <c r="BW20" s="11">
        <v>3</v>
      </c>
      <c r="BX20" s="11" t="s">
        <v>686</v>
      </c>
      <c r="BY20" s="11">
        <v>0</v>
      </c>
      <c r="BZ20" s="11" t="s">
        <v>687</v>
      </c>
      <c r="CA20" s="11" t="s">
        <v>42</v>
      </c>
      <c r="CB20" s="22"/>
    </row>
    <row r="21" spans="1:80" s="31" customFormat="1" ht="18" customHeight="1">
      <c r="A21">
        <v>10020</v>
      </c>
      <c r="B21" s="8"/>
      <c r="C21" s="8" t="s">
        <v>255</v>
      </c>
      <c r="D21" s="5">
        <v>1</v>
      </c>
      <c r="E21" s="5">
        <v>1</v>
      </c>
      <c r="F21" s="8" t="s">
        <v>688</v>
      </c>
      <c r="G21" s="8"/>
      <c r="H21" s="8">
        <v>3</v>
      </c>
      <c r="I21" s="8" t="s">
        <v>689</v>
      </c>
      <c r="J21" s="8" t="s">
        <v>42</v>
      </c>
      <c r="K21" s="6"/>
      <c r="L21" s="6" t="s">
        <v>230</v>
      </c>
      <c r="M21" s="6">
        <v>1</v>
      </c>
      <c r="N21" s="6">
        <v>1</v>
      </c>
      <c r="O21" s="6" t="s">
        <v>690</v>
      </c>
      <c r="P21" s="6" t="s">
        <v>175</v>
      </c>
      <c r="Q21" s="7">
        <v>2</v>
      </c>
      <c r="R21" s="6" t="s">
        <v>691</v>
      </c>
      <c r="S21" s="6">
        <v>1</v>
      </c>
      <c r="T21" s="6" t="s">
        <v>692</v>
      </c>
      <c r="U21" s="6" t="s">
        <v>64</v>
      </c>
      <c r="V21" s="9"/>
      <c r="W21" s="9" t="s">
        <v>263</v>
      </c>
      <c r="X21" s="9">
        <v>1</v>
      </c>
      <c r="Y21" s="9">
        <v>1</v>
      </c>
      <c r="Z21" s="9" t="s">
        <v>693</v>
      </c>
      <c r="AA21" s="9" t="s">
        <v>694</v>
      </c>
      <c r="AB21" s="9">
        <v>2</v>
      </c>
      <c r="AC21" s="32" t="s">
        <v>133</v>
      </c>
      <c r="AD21" s="9">
        <v>1</v>
      </c>
      <c r="AE21" s="9" t="s">
        <v>695</v>
      </c>
      <c r="AF21" s="9" t="s">
        <v>64</v>
      </c>
      <c r="AG21" s="11"/>
      <c r="AH21" s="11" t="s">
        <v>238</v>
      </c>
      <c r="AI21" s="11">
        <v>1</v>
      </c>
      <c r="AJ21" s="11">
        <v>1</v>
      </c>
      <c r="AK21" s="11" t="s">
        <v>696</v>
      </c>
      <c r="AL21" s="11">
        <v>1</v>
      </c>
      <c r="AM21" s="11" t="s">
        <v>697</v>
      </c>
      <c r="AN21" s="11" t="s">
        <v>37</v>
      </c>
      <c r="AO21" s="6"/>
      <c r="AP21" s="6" t="s">
        <v>241</v>
      </c>
      <c r="AQ21" s="6">
        <v>1</v>
      </c>
      <c r="AR21" s="6">
        <v>1</v>
      </c>
      <c r="AS21" s="6" t="s">
        <v>164</v>
      </c>
      <c r="AT21" s="6" t="s">
        <v>698</v>
      </c>
      <c r="AU21" s="6">
        <v>0</v>
      </c>
      <c r="AV21" s="7">
        <v>1</v>
      </c>
      <c r="AW21" s="6" t="s">
        <v>699</v>
      </c>
      <c r="AX21" s="6">
        <v>1</v>
      </c>
      <c r="AY21" s="6" t="s">
        <v>700</v>
      </c>
      <c r="AZ21" s="6" t="s">
        <v>64</v>
      </c>
      <c r="BA21" s="9"/>
      <c r="BB21" s="9" t="s">
        <v>701</v>
      </c>
      <c r="BC21" s="9">
        <v>1</v>
      </c>
      <c r="BD21" s="9">
        <v>1</v>
      </c>
      <c r="BE21" s="9" t="s">
        <v>702</v>
      </c>
      <c r="BF21" s="9">
        <v>1</v>
      </c>
      <c r="BG21" s="9" t="s">
        <v>703</v>
      </c>
      <c r="BH21" s="9" t="s">
        <v>42</v>
      </c>
      <c r="BI21" s="8"/>
      <c r="BJ21" s="8" t="s">
        <v>248</v>
      </c>
      <c r="BK21" s="8">
        <v>1</v>
      </c>
      <c r="BL21" s="8">
        <v>1</v>
      </c>
      <c r="BM21" s="8" t="s">
        <v>62</v>
      </c>
      <c r="BN21" s="8">
        <v>0</v>
      </c>
      <c r="BO21" s="8" t="s">
        <v>704</v>
      </c>
      <c r="BP21" s="8" t="s">
        <v>36</v>
      </c>
      <c r="BQ21" s="11"/>
      <c r="BR21" s="11" t="s">
        <v>250</v>
      </c>
      <c r="BS21" s="11">
        <v>1</v>
      </c>
      <c r="BT21" s="11">
        <v>1</v>
      </c>
      <c r="BU21" s="11" t="s">
        <v>164</v>
      </c>
      <c r="BV21" s="11" t="s">
        <v>705</v>
      </c>
      <c r="BW21" s="11">
        <v>0</v>
      </c>
      <c r="BX21" s="11" t="s">
        <v>62</v>
      </c>
      <c r="BY21" s="11">
        <v>0</v>
      </c>
      <c r="BZ21" s="11" t="s">
        <v>186</v>
      </c>
      <c r="CA21" s="11" t="s">
        <v>42</v>
      </c>
      <c r="CB21" s="22"/>
    </row>
    <row r="22" spans="1:80" s="31" customFormat="1" ht="18" customHeight="1">
      <c r="A22">
        <v>10021</v>
      </c>
      <c r="B22" s="8"/>
      <c r="C22" s="8" t="s">
        <v>462</v>
      </c>
      <c r="D22" s="5">
        <v>1</v>
      </c>
      <c r="E22" s="5">
        <v>1</v>
      </c>
      <c r="F22" s="8" t="s">
        <v>706</v>
      </c>
      <c r="G22" s="8"/>
      <c r="H22" s="8">
        <v>2</v>
      </c>
      <c r="I22" s="8" t="s">
        <v>707</v>
      </c>
      <c r="J22" s="8" t="s">
        <v>42</v>
      </c>
      <c r="K22" s="6"/>
      <c r="L22" s="6" t="s">
        <v>708</v>
      </c>
      <c r="M22" s="6">
        <v>1</v>
      </c>
      <c r="N22" s="6">
        <v>1</v>
      </c>
      <c r="O22" s="6" t="s">
        <v>709</v>
      </c>
      <c r="P22" s="6" t="s">
        <v>710</v>
      </c>
      <c r="Q22" s="7">
        <v>3</v>
      </c>
      <c r="R22" s="6" t="s">
        <v>84</v>
      </c>
      <c r="S22" s="6">
        <v>0</v>
      </c>
      <c r="T22" s="6" t="s">
        <v>711</v>
      </c>
      <c r="U22" s="6" t="s">
        <v>37</v>
      </c>
      <c r="V22" s="9"/>
      <c r="W22" s="9" t="s">
        <v>712</v>
      </c>
      <c r="X22" s="9">
        <v>1</v>
      </c>
      <c r="Y22" s="9">
        <v>1</v>
      </c>
      <c r="Z22" s="9" t="s">
        <v>713</v>
      </c>
      <c r="AA22" s="9" t="s">
        <v>714</v>
      </c>
      <c r="AB22" s="9">
        <v>3</v>
      </c>
      <c r="AC22" s="32" t="s">
        <v>84</v>
      </c>
      <c r="AD22" s="9">
        <v>0</v>
      </c>
      <c r="AE22" s="9" t="s">
        <v>715</v>
      </c>
      <c r="AF22" s="9" t="s">
        <v>67</v>
      </c>
      <c r="AG22" s="11"/>
      <c r="AH22" s="11" t="s">
        <v>716</v>
      </c>
      <c r="AI22" s="11">
        <v>1</v>
      </c>
      <c r="AJ22" s="11">
        <v>1</v>
      </c>
      <c r="AK22" s="11" t="s">
        <v>717</v>
      </c>
      <c r="AL22" s="11">
        <v>1</v>
      </c>
      <c r="AM22" s="11" t="s">
        <v>718</v>
      </c>
      <c r="AN22" s="11" t="s">
        <v>42</v>
      </c>
      <c r="AO22" s="6"/>
      <c r="AP22" s="6" t="s">
        <v>569</v>
      </c>
      <c r="AQ22" s="6">
        <v>1</v>
      </c>
      <c r="AR22" s="6">
        <v>1</v>
      </c>
      <c r="AS22" s="6" t="s">
        <v>719</v>
      </c>
      <c r="AT22" s="6" t="s">
        <v>720</v>
      </c>
      <c r="AU22" s="6">
        <v>0</v>
      </c>
      <c r="AV22" s="7">
        <v>3</v>
      </c>
      <c r="AW22" s="6" t="s">
        <v>84</v>
      </c>
      <c r="AX22" s="6">
        <v>0.5</v>
      </c>
      <c r="AY22" s="6" t="s">
        <v>721</v>
      </c>
      <c r="AZ22" s="6" t="s">
        <v>42</v>
      </c>
      <c r="BA22" s="9"/>
      <c r="BB22" s="9" t="s">
        <v>722</v>
      </c>
      <c r="BC22" s="9">
        <v>1</v>
      </c>
      <c r="BD22" s="9">
        <v>1</v>
      </c>
      <c r="BE22" s="9" t="s">
        <v>723</v>
      </c>
      <c r="BF22" s="9">
        <v>0.5</v>
      </c>
      <c r="BG22" s="9" t="s">
        <v>724</v>
      </c>
      <c r="BH22" s="9" t="s">
        <v>42</v>
      </c>
      <c r="BI22" s="8"/>
      <c r="BJ22" s="8" t="s">
        <v>725</v>
      </c>
      <c r="BK22" s="8">
        <v>1</v>
      </c>
      <c r="BL22" s="8">
        <v>1</v>
      </c>
      <c r="BM22" s="8" t="s">
        <v>726</v>
      </c>
      <c r="BN22" s="8">
        <v>0.5</v>
      </c>
      <c r="BO22" s="8" t="s">
        <v>727</v>
      </c>
      <c r="BP22" s="8" t="s">
        <v>42</v>
      </c>
      <c r="BQ22" s="11"/>
      <c r="BR22" s="11" t="s">
        <v>728</v>
      </c>
      <c r="BS22" s="11">
        <v>1</v>
      </c>
      <c r="BT22" s="11">
        <v>1</v>
      </c>
      <c r="BU22" s="11" t="s">
        <v>729</v>
      </c>
      <c r="BV22" s="11" t="s">
        <v>730</v>
      </c>
      <c r="BW22" s="11">
        <v>3</v>
      </c>
      <c r="BX22" s="11" t="s">
        <v>731</v>
      </c>
      <c r="BY22" s="11">
        <v>0</v>
      </c>
      <c r="BZ22" s="11" t="s">
        <v>732</v>
      </c>
      <c r="CA22" s="11" t="s">
        <v>42</v>
      </c>
      <c r="CB22" s="22"/>
    </row>
    <row r="23" spans="1:80" s="31" customFormat="1" ht="18" customHeight="1">
      <c r="A23">
        <v>10022</v>
      </c>
      <c r="B23" s="8"/>
      <c r="C23" s="8" t="s">
        <v>733</v>
      </c>
      <c r="D23" s="5">
        <v>1</v>
      </c>
      <c r="E23" s="5">
        <v>1</v>
      </c>
      <c r="F23" s="8" t="s">
        <v>734</v>
      </c>
      <c r="G23" s="8"/>
      <c r="H23" s="8">
        <v>2</v>
      </c>
      <c r="I23" s="8" t="s">
        <v>735</v>
      </c>
      <c r="J23" s="8" t="s">
        <v>67</v>
      </c>
      <c r="K23" s="6"/>
      <c r="L23" s="6" t="s">
        <v>736</v>
      </c>
      <c r="M23" s="6">
        <v>1</v>
      </c>
      <c r="N23" s="6">
        <v>1</v>
      </c>
      <c r="O23" s="6" t="s">
        <v>737</v>
      </c>
      <c r="P23" s="6" t="s">
        <v>738</v>
      </c>
      <c r="Q23" s="7">
        <v>3</v>
      </c>
      <c r="R23" s="6" t="s">
        <v>52</v>
      </c>
      <c r="S23" s="6">
        <v>0.5</v>
      </c>
      <c r="T23" s="6" t="s">
        <v>739</v>
      </c>
      <c r="U23" s="6" t="s">
        <v>67</v>
      </c>
      <c r="V23" s="9"/>
      <c r="W23" s="9" t="s">
        <v>740</v>
      </c>
      <c r="X23" s="9">
        <v>1</v>
      </c>
      <c r="Y23" s="9">
        <v>1</v>
      </c>
      <c r="Z23" s="9" t="s">
        <v>741</v>
      </c>
      <c r="AA23" s="9" t="s">
        <v>742</v>
      </c>
      <c r="AB23" s="9">
        <v>3</v>
      </c>
      <c r="AC23" s="32" t="s">
        <v>155</v>
      </c>
      <c r="AD23" s="9">
        <v>0.5</v>
      </c>
      <c r="AE23" s="9" t="s">
        <v>743</v>
      </c>
      <c r="AF23" s="9" t="s">
        <v>42</v>
      </c>
      <c r="AG23" s="11"/>
      <c r="AH23" s="11" t="s">
        <v>744</v>
      </c>
      <c r="AI23" s="11">
        <v>1</v>
      </c>
      <c r="AJ23" s="11">
        <v>1</v>
      </c>
      <c r="AK23" s="11" t="s">
        <v>79</v>
      </c>
      <c r="AL23" s="11">
        <v>0.5</v>
      </c>
      <c r="AM23" s="11" t="s">
        <v>745</v>
      </c>
      <c r="AN23" s="11" t="s">
        <v>42</v>
      </c>
      <c r="AO23" s="6"/>
      <c r="AP23" s="6" t="s">
        <v>746</v>
      </c>
      <c r="AQ23" s="6">
        <v>0.5</v>
      </c>
      <c r="AR23" s="6">
        <v>0.5</v>
      </c>
      <c r="AS23" s="6" t="s">
        <v>747</v>
      </c>
      <c r="AT23" s="6" t="s">
        <v>748</v>
      </c>
      <c r="AU23" s="6">
        <v>3</v>
      </c>
      <c r="AV23" s="7">
        <v>3</v>
      </c>
      <c r="AW23" s="6" t="s">
        <v>749</v>
      </c>
      <c r="AX23" s="6">
        <v>0.5</v>
      </c>
      <c r="AY23" s="6" t="s">
        <v>750</v>
      </c>
      <c r="AZ23" s="6" t="s">
        <v>67</v>
      </c>
      <c r="BA23" s="9"/>
      <c r="BB23" s="9" t="s">
        <v>751</v>
      </c>
      <c r="BC23" s="9">
        <v>1</v>
      </c>
      <c r="BD23" s="9">
        <v>0.5</v>
      </c>
      <c r="BE23" s="9" t="s">
        <v>81</v>
      </c>
      <c r="BF23" s="9">
        <v>0.5</v>
      </c>
      <c r="BG23" s="9" t="s">
        <v>752</v>
      </c>
      <c r="BH23" s="9" t="s">
        <v>37</v>
      </c>
      <c r="BI23" s="8"/>
      <c r="BJ23" s="8" t="s">
        <v>753</v>
      </c>
      <c r="BK23" s="8">
        <v>0.5</v>
      </c>
      <c r="BL23" s="8">
        <v>1</v>
      </c>
      <c r="BM23" s="8" t="s">
        <v>754</v>
      </c>
      <c r="BN23" s="8">
        <v>0.5</v>
      </c>
      <c r="BO23" s="8" t="s">
        <v>755</v>
      </c>
      <c r="BP23" s="8" t="s">
        <v>67</v>
      </c>
      <c r="BQ23" s="11"/>
      <c r="BR23" s="11" t="s">
        <v>756</v>
      </c>
      <c r="BS23" s="11">
        <v>1</v>
      </c>
      <c r="BT23" s="11">
        <v>0.5</v>
      </c>
      <c r="BU23" s="11" t="s">
        <v>757</v>
      </c>
      <c r="BV23" s="11" t="s">
        <v>758</v>
      </c>
      <c r="BW23" s="11">
        <v>2</v>
      </c>
      <c r="BX23" s="11" t="s">
        <v>68</v>
      </c>
      <c r="BY23" s="11">
        <v>0.5</v>
      </c>
      <c r="BZ23" s="11" t="s">
        <v>759</v>
      </c>
      <c r="CA23" s="11" t="s">
        <v>42</v>
      </c>
      <c r="CB23" s="22"/>
    </row>
    <row r="24" spans="1:80" s="31" customFormat="1" ht="18" customHeight="1">
      <c r="A24">
        <v>10023</v>
      </c>
      <c r="B24" s="8"/>
      <c r="C24" s="8" t="s">
        <v>760</v>
      </c>
      <c r="D24" s="5">
        <v>1</v>
      </c>
      <c r="E24" s="5">
        <v>1</v>
      </c>
      <c r="F24" s="8" t="s">
        <v>761</v>
      </c>
      <c r="G24" s="8"/>
      <c r="H24" s="8">
        <v>3</v>
      </c>
      <c r="I24" s="8" t="s">
        <v>762</v>
      </c>
      <c r="J24" s="8" t="s">
        <v>36</v>
      </c>
      <c r="K24" s="6"/>
      <c r="L24" s="6" t="s">
        <v>230</v>
      </c>
      <c r="M24" s="6">
        <v>1</v>
      </c>
      <c r="N24" s="6">
        <v>1</v>
      </c>
      <c r="O24" s="6" t="s">
        <v>763</v>
      </c>
      <c r="P24" s="6" t="s">
        <v>764</v>
      </c>
      <c r="Q24" s="7">
        <v>3</v>
      </c>
      <c r="R24" s="6" t="s">
        <v>765</v>
      </c>
      <c r="S24" s="6">
        <v>0.5</v>
      </c>
      <c r="T24" s="6" t="s">
        <v>766</v>
      </c>
      <c r="U24" s="6" t="s">
        <v>35</v>
      </c>
      <c r="V24" s="9"/>
      <c r="W24" s="9" t="s">
        <v>263</v>
      </c>
      <c r="X24" s="9">
        <v>1</v>
      </c>
      <c r="Y24" s="9">
        <v>1</v>
      </c>
      <c r="Z24" s="9" t="s">
        <v>767</v>
      </c>
      <c r="AA24" s="9" t="s">
        <v>768</v>
      </c>
      <c r="AB24" s="9">
        <v>3</v>
      </c>
      <c r="AC24" s="32" t="s">
        <v>769</v>
      </c>
      <c r="AD24" s="9">
        <v>1</v>
      </c>
      <c r="AE24" s="9" t="s">
        <v>770</v>
      </c>
      <c r="AF24" s="9" t="s">
        <v>43</v>
      </c>
      <c r="AG24" s="11"/>
      <c r="AH24" s="11" t="s">
        <v>771</v>
      </c>
      <c r="AI24" s="11">
        <v>1</v>
      </c>
      <c r="AJ24" s="11">
        <v>1</v>
      </c>
      <c r="AK24" s="11" t="s">
        <v>772</v>
      </c>
      <c r="AL24" s="11">
        <v>1</v>
      </c>
      <c r="AM24" s="11" t="s">
        <v>773</v>
      </c>
      <c r="AN24" s="11" t="s">
        <v>64</v>
      </c>
      <c r="AO24" s="6"/>
      <c r="AP24" s="6" t="s">
        <v>569</v>
      </c>
      <c r="AQ24" s="6">
        <v>1</v>
      </c>
      <c r="AR24" s="6">
        <v>1</v>
      </c>
      <c r="AS24" s="6" t="s">
        <v>774</v>
      </c>
      <c r="AT24" s="6" t="s">
        <v>775</v>
      </c>
      <c r="AU24" s="6">
        <v>3</v>
      </c>
      <c r="AV24" s="7">
        <v>0</v>
      </c>
      <c r="AW24" s="6" t="s">
        <v>62</v>
      </c>
      <c r="AX24" s="6">
        <v>0.5</v>
      </c>
      <c r="AY24" s="6" t="s">
        <v>776</v>
      </c>
      <c r="AZ24" s="6" t="s">
        <v>67</v>
      </c>
      <c r="BA24" s="9"/>
      <c r="BB24" s="9" t="s">
        <v>777</v>
      </c>
      <c r="BC24" s="9">
        <v>1</v>
      </c>
      <c r="BD24" s="9">
        <v>1</v>
      </c>
      <c r="BE24" s="9" t="s">
        <v>778</v>
      </c>
      <c r="BF24" s="9">
        <v>1</v>
      </c>
      <c r="BG24" s="9" t="s">
        <v>779</v>
      </c>
      <c r="BH24" s="9" t="s">
        <v>67</v>
      </c>
      <c r="BI24" s="8"/>
      <c r="BJ24" s="8" t="s">
        <v>248</v>
      </c>
      <c r="BK24" s="8">
        <v>1</v>
      </c>
      <c r="BL24" s="8">
        <v>1</v>
      </c>
      <c r="BM24" s="8" t="s">
        <v>780</v>
      </c>
      <c r="BN24" s="8">
        <v>0.5</v>
      </c>
      <c r="BO24" s="8" t="s">
        <v>781</v>
      </c>
      <c r="BP24" s="8" t="s">
        <v>67</v>
      </c>
      <c r="BQ24" s="11"/>
      <c r="BR24" s="11" t="s">
        <v>383</v>
      </c>
      <c r="BS24" s="11">
        <v>1</v>
      </c>
      <c r="BT24" s="11">
        <v>1</v>
      </c>
      <c r="BU24" s="11" t="s">
        <v>782</v>
      </c>
      <c r="BV24" s="11" t="s">
        <v>783</v>
      </c>
      <c r="BW24" s="11">
        <v>3</v>
      </c>
      <c r="BX24" s="11" t="s">
        <v>62</v>
      </c>
      <c r="BY24" s="11">
        <v>0</v>
      </c>
      <c r="BZ24" s="11" t="s">
        <v>784</v>
      </c>
      <c r="CA24" s="11" t="s">
        <v>67</v>
      </c>
      <c r="CB24" s="22"/>
    </row>
    <row r="25" spans="1:80" s="31" customFormat="1" ht="18" customHeight="1">
      <c r="A25">
        <v>10024</v>
      </c>
      <c r="B25" s="8"/>
      <c r="C25" s="8" t="s">
        <v>785</v>
      </c>
      <c r="D25" s="5">
        <v>1</v>
      </c>
      <c r="E25" s="5">
        <v>0.5</v>
      </c>
      <c r="F25" s="8" t="s">
        <v>50</v>
      </c>
      <c r="G25" s="8"/>
      <c r="H25" s="8">
        <v>0</v>
      </c>
      <c r="I25" s="8" t="s">
        <v>88</v>
      </c>
      <c r="J25" s="8" t="s">
        <v>42</v>
      </c>
      <c r="K25" s="6"/>
      <c r="L25" s="6" t="s">
        <v>786</v>
      </c>
      <c r="M25" s="6">
        <v>0.5</v>
      </c>
      <c r="N25" s="6">
        <v>0.5</v>
      </c>
      <c r="O25" s="6" t="s">
        <v>50</v>
      </c>
      <c r="P25" s="6" t="s">
        <v>50</v>
      </c>
      <c r="Q25" s="7">
        <v>1</v>
      </c>
      <c r="R25" s="6" t="s">
        <v>87</v>
      </c>
      <c r="S25" s="6">
        <v>0</v>
      </c>
      <c r="T25" s="6" t="s">
        <v>787</v>
      </c>
      <c r="U25" s="6" t="s">
        <v>67</v>
      </c>
      <c r="V25" s="9"/>
      <c r="W25" s="9" t="s">
        <v>788</v>
      </c>
      <c r="X25" s="9">
        <v>0</v>
      </c>
      <c r="Y25" s="9">
        <v>1</v>
      </c>
      <c r="Z25" s="9" t="s">
        <v>789</v>
      </c>
      <c r="AA25" s="9" t="s">
        <v>790</v>
      </c>
      <c r="AB25" s="9">
        <v>0</v>
      </c>
      <c r="AC25" s="32" t="s">
        <v>90</v>
      </c>
      <c r="AD25" s="9">
        <v>0</v>
      </c>
      <c r="AE25" s="9" t="s">
        <v>791</v>
      </c>
      <c r="AF25" s="9" t="s">
        <v>42</v>
      </c>
      <c r="AG25" s="11"/>
      <c r="AH25" s="11" t="s">
        <v>792</v>
      </c>
      <c r="AI25" s="11">
        <v>1</v>
      </c>
      <c r="AJ25" s="11">
        <v>1</v>
      </c>
      <c r="AK25" s="11" t="s">
        <v>89</v>
      </c>
      <c r="AL25" s="11">
        <v>0</v>
      </c>
      <c r="AM25" s="11" t="s">
        <v>73</v>
      </c>
      <c r="AN25" s="11" t="s">
        <v>42</v>
      </c>
      <c r="AO25" s="6"/>
      <c r="AP25" s="6" t="s">
        <v>793</v>
      </c>
      <c r="AQ25" s="6">
        <v>0.5</v>
      </c>
      <c r="AR25" s="6">
        <v>0.5</v>
      </c>
      <c r="AS25" s="6" t="s">
        <v>794</v>
      </c>
      <c r="AT25" s="6" t="s">
        <v>50</v>
      </c>
      <c r="AU25" s="6">
        <v>3</v>
      </c>
      <c r="AV25" s="7">
        <v>3</v>
      </c>
      <c r="AW25" s="6" t="s">
        <v>89</v>
      </c>
      <c r="AX25" s="6">
        <v>0</v>
      </c>
      <c r="AY25" s="6" t="s">
        <v>73</v>
      </c>
      <c r="AZ25" s="6" t="s">
        <v>42</v>
      </c>
      <c r="BA25" s="9"/>
      <c r="BB25" s="9" t="s">
        <v>795</v>
      </c>
      <c r="BC25" s="9">
        <v>0</v>
      </c>
      <c r="BD25" s="9">
        <v>0</v>
      </c>
      <c r="BE25" s="9" t="s">
        <v>89</v>
      </c>
      <c r="BF25" s="9">
        <v>0</v>
      </c>
      <c r="BG25" s="9" t="s">
        <v>73</v>
      </c>
      <c r="BH25" s="9" t="s">
        <v>42</v>
      </c>
      <c r="BI25" s="8"/>
      <c r="BJ25" s="8" t="s">
        <v>796</v>
      </c>
      <c r="BK25" s="8">
        <v>1</v>
      </c>
      <c r="BL25" s="8">
        <v>0</v>
      </c>
      <c r="BM25" s="8" t="s">
        <v>89</v>
      </c>
      <c r="BN25" s="8">
        <v>0</v>
      </c>
      <c r="BO25" s="8" t="s">
        <v>73</v>
      </c>
      <c r="BP25" s="8" t="s">
        <v>42</v>
      </c>
      <c r="BQ25" s="11"/>
      <c r="BR25" s="11" t="s">
        <v>797</v>
      </c>
      <c r="BS25" s="11">
        <v>0</v>
      </c>
      <c r="BT25" s="11">
        <v>0.5</v>
      </c>
      <c r="BU25" s="11" t="s">
        <v>798</v>
      </c>
      <c r="BV25" s="11" t="s">
        <v>798</v>
      </c>
      <c r="BW25" s="11">
        <v>0</v>
      </c>
      <c r="BX25" s="11" t="s">
        <v>89</v>
      </c>
      <c r="BY25" s="11">
        <v>0</v>
      </c>
      <c r="BZ25" s="11" t="s">
        <v>73</v>
      </c>
      <c r="CA25" s="11" t="s">
        <v>42</v>
      </c>
      <c r="CB25" s="22"/>
    </row>
    <row r="26" spans="1:80" s="31" customFormat="1" ht="18" customHeight="1">
      <c r="A26">
        <v>10025</v>
      </c>
      <c r="B26" s="8"/>
      <c r="C26" s="8" t="s">
        <v>462</v>
      </c>
      <c r="D26" s="5">
        <v>1</v>
      </c>
      <c r="E26" s="5">
        <v>1</v>
      </c>
      <c r="F26" s="8" t="s">
        <v>799</v>
      </c>
      <c r="G26" s="8"/>
      <c r="H26" s="8">
        <v>2</v>
      </c>
      <c r="I26" s="8" t="s">
        <v>800</v>
      </c>
      <c r="J26" s="8" t="s">
        <v>42</v>
      </c>
      <c r="K26" s="6"/>
      <c r="L26" s="6" t="s">
        <v>465</v>
      </c>
      <c r="M26" s="6">
        <v>1</v>
      </c>
      <c r="N26" s="6">
        <v>1</v>
      </c>
      <c r="O26" s="6" t="s">
        <v>801</v>
      </c>
      <c r="P26" s="6" t="s">
        <v>802</v>
      </c>
      <c r="Q26" s="7">
        <v>3</v>
      </c>
      <c r="R26" s="6" t="s">
        <v>52</v>
      </c>
      <c r="S26" s="6">
        <v>0.5</v>
      </c>
      <c r="T26" s="6" t="s">
        <v>803</v>
      </c>
      <c r="U26" s="6" t="s">
        <v>64</v>
      </c>
      <c r="V26" s="9"/>
      <c r="W26" s="9" t="s">
        <v>263</v>
      </c>
      <c r="X26" s="9">
        <v>1</v>
      </c>
      <c r="Y26" s="9">
        <v>1</v>
      </c>
      <c r="Z26" s="9" t="s">
        <v>804</v>
      </c>
      <c r="AA26" s="9" t="s">
        <v>805</v>
      </c>
      <c r="AB26" s="9">
        <v>3</v>
      </c>
      <c r="AC26" s="32" t="s">
        <v>62</v>
      </c>
      <c r="AD26" s="9">
        <v>1</v>
      </c>
      <c r="AE26" s="9" t="s">
        <v>806</v>
      </c>
      <c r="AF26" s="9" t="s">
        <v>42</v>
      </c>
      <c r="AG26" s="11"/>
      <c r="AH26" s="11" t="s">
        <v>807</v>
      </c>
      <c r="AI26" s="11">
        <v>1</v>
      </c>
      <c r="AJ26" s="11">
        <v>1</v>
      </c>
      <c r="AK26" s="11" t="s">
        <v>79</v>
      </c>
      <c r="AL26" s="11">
        <v>0.5</v>
      </c>
      <c r="AM26" s="11" t="s">
        <v>808</v>
      </c>
      <c r="AN26" s="11" t="s">
        <v>42</v>
      </c>
      <c r="AO26" s="6"/>
      <c r="AP26" s="6" t="s">
        <v>450</v>
      </c>
      <c r="AQ26" s="6">
        <v>1</v>
      </c>
      <c r="AR26" s="6">
        <v>1</v>
      </c>
      <c r="AS26" s="6" t="s">
        <v>809</v>
      </c>
      <c r="AT26" s="6" t="s">
        <v>810</v>
      </c>
      <c r="AU26" s="6">
        <v>3</v>
      </c>
      <c r="AV26" s="7">
        <v>3</v>
      </c>
      <c r="AW26" s="6" t="s">
        <v>62</v>
      </c>
      <c r="AX26" s="6">
        <v>0.5</v>
      </c>
      <c r="AY26" s="6" t="s">
        <v>803</v>
      </c>
      <c r="AZ26" s="6" t="s">
        <v>42</v>
      </c>
      <c r="BA26" s="9"/>
      <c r="BB26" s="9" t="s">
        <v>811</v>
      </c>
      <c r="BC26" s="9">
        <v>1</v>
      </c>
      <c r="BD26" s="9">
        <v>1</v>
      </c>
      <c r="BE26" s="9" t="s">
        <v>81</v>
      </c>
      <c r="BF26" s="9">
        <v>1</v>
      </c>
      <c r="BG26" s="9" t="s">
        <v>812</v>
      </c>
      <c r="BH26" s="9" t="s">
        <v>42</v>
      </c>
      <c r="BI26" s="8"/>
      <c r="BJ26" s="8" t="s">
        <v>276</v>
      </c>
      <c r="BK26" s="8">
        <v>1</v>
      </c>
      <c r="BL26" s="8">
        <v>1</v>
      </c>
      <c r="BM26" s="8" t="s">
        <v>608</v>
      </c>
      <c r="BN26" s="8">
        <v>0</v>
      </c>
      <c r="BO26" s="8" t="s">
        <v>813</v>
      </c>
      <c r="BP26" s="8" t="s">
        <v>42</v>
      </c>
      <c r="BQ26" s="11"/>
      <c r="BR26" s="11" t="s">
        <v>279</v>
      </c>
      <c r="BS26" s="11">
        <v>1</v>
      </c>
      <c r="BT26" s="11">
        <v>1</v>
      </c>
      <c r="BU26" s="11" t="s">
        <v>814</v>
      </c>
      <c r="BV26" s="11" t="s">
        <v>815</v>
      </c>
      <c r="BW26" s="11">
        <v>1</v>
      </c>
      <c r="BX26" s="11" t="s">
        <v>62</v>
      </c>
      <c r="BY26" s="11">
        <v>0</v>
      </c>
      <c r="BZ26" s="11" t="s">
        <v>816</v>
      </c>
      <c r="CA26" s="11" t="s">
        <v>37</v>
      </c>
      <c r="CB26" s="22"/>
    </row>
    <row r="27" spans="1:80" s="31" customFormat="1" ht="18" customHeight="1">
      <c r="A27">
        <v>10026</v>
      </c>
      <c r="B27" s="8"/>
      <c r="C27" s="8" t="s">
        <v>817</v>
      </c>
      <c r="D27" s="5">
        <v>1</v>
      </c>
      <c r="E27" s="5">
        <v>1</v>
      </c>
      <c r="F27" s="8" t="s">
        <v>818</v>
      </c>
      <c r="G27" s="8"/>
      <c r="H27" s="8">
        <v>3</v>
      </c>
      <c r="I27" s="8" t="s">
        <v>819</v>
      </c>
      <c r="J27" s="8" t="s">
        <v>64</v>
      </c>
      <c r="K27" s="6"/>
      <c r="L27" s="6" t="s">
        <v>820</v>
      </c>
      <c r="M27" s="6">
        <v>1</v>
      </c>
      <c r="N27" s="6">
        <v>1</v>
      </c>
      <c r="O27" s="6" t="s">
        <v>821</v>
      </c>
      <c r="P27" s="6" t="s">
        <v>822</v>
      </c>
      <c r="Q27" s="7">
        <v>3</v>
      </c>
      <c r="R27" s="6" t="s">
        <v>823</v>
      </c>
      <c r="S27" s="6">
        <v>0.5</v>
      </c>
      <c r="T27" s="6" t="s">
        <v>824</v>
      </c>
      <c r="U27" s="6" t="s">
        <v>43</v>
      </c>
      <c r="V27" s="9"/>
      <c r="W27" s="9" t="s">
        <v>825</v>
      </c>
      <c r="X27" s="9">
        <v>1</v>
      </c>
      <c r="Y27" s="9">
        <v>1</v>
      </c>
      <c r="Z27" s="9" t="s">
        <v>826</v>
      </c>
      <c r="AA27" s="9" t="s">
        <v>827</v>
      </c>
      <c r="AB27" s="9">
        <v>3</v>
      </c>
      <c r="AC27" s="32" t="s">
        <v>828</v>
      </c>
      <c r="AD27" s="9">
        <v>1</v>
      </c>
      <c r="AE27" s="9" t="s">
        <v>829</v>
      </c>
      <c r="AF27" s="9" t="s">
        <v>64</v>
      </c>
      <c r="AG27" s="11"/>
      <c r="AH27" s="11" t="s">
        <v>830</v>
      </c>
      <c r="AI27" s="11">
        <v>1</v>
      </c>
      <c r="AJ27" s="11">
        <v>1</v>
      </c>
      <c r="AK27" s="11" t="s">
        <v>831</v>
      </c>
      <c r="AL27" s="11">
        <v>1</v>
      </c>
      <c r="AM27" s="11" t="s">
        <v>832</v>
      </c>
      <c r="AN27" s="11" t="s">
        <v>43</v>
      </c>
      <c r="AO27" s="6"/>
      <c r="AP27" s="6" t="s">
        <v>833</v>
      </c>
      <c r="AQ27" s="6">
        <v>1</v>
      </c>
      <c r="AR27" s="6">
        <v>1</v>
      </c>
      <c r="AS27" s="6" t="s">
        <v>834</v>
      </c>
      <c r="AT27" s="6" t="s">
        <v>183</v>
      </c>
      <c r="AU27" s="6">
        <v>0</v>
      </c>
      <c r="AV27" s="7">
        <v>0</v>
      </c>
      <c r="AW27" s="6"/>
      <c r="AX27" s="6"/>
      <c r="AY27" s="6"/>
      <c r="AZ27" s="6"/>
      <c r="BA27" s="9"/>
      <c r="BB27" s="9"/>
      <c r="BC27" s="9"/>
      <c r="BD27" s="9"/>
      <c r="BE27" s="9"/>
      <c r="BF27" s="9"/>
      <c r="BG27" s="9"/>
      <c r="BH27" s="9"/>
      <c r="BI27" s="8"/>
      <c r="BJ27" s="8"/>
      <c r="BK27" s="8"/>
      <c r="BL27" s="8"/>
      <c r="BM27" s="8"/>
      <c r="BN27" s="8"/>
      <c r="BO27" s="8"/>
      <c r="BP27" s="8"/>
      <c r="BQ27" s="11"/>
      <c r="BR27" s="11"/>
      <c r="BS27" s="11"/>
      <c r="BT27" s="11"/>
      <c r="BU27" s="11"/>
      <c r="BV27" s="11"/>
      <c r="BW27" s="11"/>
      <c r="BX27" s="11"/>
      <c r="BY27" s="11"/>
      <c r="BZ27" s="11"/>
      <c r="CA27" s="11"/>
      <c r="CB27" s="22"/>
    </row>
    <row r="28" spans="1:80" s="31" customFormat="1" ht="18" customHeight="1">
      <c r="A28">
        <v>10027</v>
      </c>
      <c r="B28" s="8"/>
      <c r="C28" s="8" t="s">
        <v>835</v>
      </c>
      <c r="D28" s="5">
        <v>1</v>
      </c>
      <c r="E28" s="5">
        <v>1</v>
      </c>
      <c r="F28" s="8" t="s">
        <v>836</v>
      </c>
      <c r="G28" s="8"/>
      <c r="H28" s="8">
        <v>3</v>
      </c>
      <c r="I28" s="8" t="s">
        <v>93</v>
      </c>
      <c r="J28" s="8" t="s">
        <v>42</v>
      </c>
      <c r="K28" s="6"/>
      <c r="L28" s="6" t="s">
        <v>837</v>
      </c>
      <c r="M28" s="6">
        <v>1</v>
      </c>
      <c r="N28" s="6">
        <v>1</v>
      </c>
      <c r="O28" s="6" t="s">
        <v>135</v>
      </c>
      <c r="P28" s="6" t="s">
        <v>106</v>
      </c>
      <c r="Q28" s="7">
        <v>0</v>
      </c>
      <c r="R28" s="6" t="s">
        <v>838</v>
      </c>
      <c r="S28" s="6">
        <v>0.5</v>
      </c>
      <c r="T28" s="6" t="s">
        <v>93</v>
      </c>
      <c r="U28" s="6" t="s">
        <v>42</v>
      </c>
      <c r="V28" s="9"/>
      <c r="W28" s="9" t="s">
        <v>839</v>
      </c>
      <c r="X28" s="9">
        <v>1</v>
      </c>
      <c r="Y28" s="9">
        <v>1</v>
      </c>
      <c r="Z28" s="9" t="s">
        <v>135</v>
      </c>
      <c r="AA28" s="9" t="s">
        <v>95</v>
      </c>
      <c r="AB28" s="9">
        <v>0</v>
      </c>
      <c r="AC28" s="32" t="s">
        <v>62</v>
      </c>
      <c r="AD28" s="9">
        <v>0</v>
      </c>
      <c r="AE28" s="9" t="s">
        <v>93</v>
      </c>
      <c r="AF28" s="9" t="s">
        <v>42</v>
      </c>
      <c r="AG28" s="11"/>
      <c r="AH28" s="11" t="s">
        <v>840</v>
      </c>
      <c r="AI28" s="11">
        <v>1</v>
      </c>
      <c r="AJ28" s="11">
        <v>1</v>
      </c>
      <c r="AK28" s="11" t="s">
        <v>841</v>
      </c>
      <c r="AL28" s="11">
        <v>1</v>
      </c>
      <c r="AM28" s="11" t="s">
        <v>93</v>
      </c>
      <c r="AN28" s="11" t="s">
        <v>42</v>
      </c>
      <c r="AO28" s="6"/>
      <c r="AP28" s="6" t="s">
        <v>842</v>
      </c>
      <c r="AQ28" s="6">
        <v>1</v>
      </c>
      <c r="AR28" s="6">
        <v>1</v>
      </c>
      <c r="AS28" s="6" t="s">
        <v>135</v>
      </c>
      <c r="AT28" s="6" t="s">
        <v>95</v>
      </c>
      <c r="AU28" s="6">
        <v>3</v>
      </c>
      <c r="AV28" s="7">
        <v>3</v>
      </c>
      <c r="AW28" s="6" t="s">
        <v>62</v>
      </c>
      <c r="AX28" s="6">
        <v>0.5</v>
      </c>
      <c r="AY28" s="6" t="s">
        <v>93</v>
      </c>
      <c r="AZ28" s="6" t="s">
        <v>42</v>
      </c>
      <c r="BA28" s="9"/>
      <c r="BB28" s="9" t="s">
        <v>843</v>
      </c>
      <c r="BC28" s="9">
        <v>1</v>
      </c>
      <c r="BD28" s="9">
        <v>1</v>
      </c>
      <c r="BE28" s="9" t="s">
        <v>96</v>
      </c>
      <c r="BF28" s="9">
        <v>1</v>
      </c>
      <c r="BG28" s="9" t="s">
        <v>93</v>
      </c>
      <c r="BH28" s="9" t="s">
        <v>42</v>
      </c>
      <c r="BI28" s="8"/>
      <c r="BJ28" s="8" t="s">
        <v>844</v>
      </c>
      <c r="BK28" s="8">
        <v>1</v>
      </c>
      <c r="BL28" s="8">
        <v>1</v>
      </c>
      <c r="BM28" s="8" t="s">
        <v>845</v>
      </c>
      <c r="BN28" s="8">
        <v>0.5</v>
      </c>
      <c r="BO28" s="8" t="s">
        <v>93</v>
      </c>
      <c r="BP28" s="8" t="s">
        <v>42</v>
      </c>
      <c r="BQ28" s="11"/>
      <c r="BR28" s="11" t="s">
        <v>846</v>
      </c>
      <c r="BS28" s="11">
        <v>1</v>
      </c>
      <c r="BT28" s="11">
        <v>1</v>
      </c>
      <c r="BU28" s="11" t="s">
        <v>97</v>
      </c>
      <c r="BV28" s="11" t="s">
        <v>106</v>
      </c>
      <c r="BW28" s="11">
        <v>2</v>
      </c>
      <c r="BX28" s="11" t="s">
        <v>62</v>
      </c>
      <c r="BY28" s="11">
        <v>0</v>
      </c>
      <c r="BZ28" s="11" t="s">
        <v>93</v>
      </c>
      <c r="CA28" s="11" t="s">
        <v>42</v>
      </c>
      <c r="CB28" s="22"/>
    </row>
    <row r="29" spans="1:80" s="31" customFormat="1" ht="18" customHeight="1">
      <c r="A29">
        <v>10028</v>
      </c>
      <c r="B29" s="8"/>
      <c r="C29" s="8" t="s">
        <v>847</v>
      </c>
      <c r="D29" s="5">
        <v>1</v>
      </c>
      <c r="E29" s="5">
        <v>1</v>
      </c>
      <c r="F29" s="8" t="s">
        <v>848</v>
      </c>
      <c r="G29" s="8"/>
      <c r="H29" s="8">
        <v>3</v>
      </c>
      <c r="I29" s="8" t="s">
        <v>98</v>
      </c>
      <c r="J29" s="8" t="s">
        <v>42</v>
      </c>
      <c r="K29" s="6"/>
      <c r="L29" s="6" t="s">
        <v>849</v>
      </c>
      <c r="M29" s="6">
        <v>1</v>
      </c>
      <c r="N29" s="6">
        <v>1</v>
      </c>
      <c r="O29" s="6" t="s">
        <v>850</v>
      </c>
      <c r="P29" s="6" t="s">
        <v>851</v>
      </c>
      <c r="Q29" s="7">
        <v>3</v>
      </c>
      <c r="R29" s="6" t="s">
        <v>52</v>
      </c>
      <c r="S29" s="6">
        <v>0.5</v>
      </c>
      <c r="T29" s="6" t="s">
        <v>852</v>
      </c>
      <c r="U29" s="6" t="s">
        <v>42</v>
      </c>
      <c r="V29" s="9"/>
      <c r="W29" s="9" t="s">
        <v>853</v>
      </c>
      <c r="X29" s="9">
        <v>1</v>
      </c>
      <c r="Y29" s="9">
        <v>1</v>
      </c>
      <c r="Z29" s="9" t="s">
        <v>854</v>
      </c>
      <c r="AA29" s="9" t="s">
        <v>855</v>
      </c>
      <c r="AB29" s="9">
        <v>3</v>
      </c>
      <c r="AC29" s="32" t="s">
        <v>68</v>
      </c>
      <c r="AD29" s="9">
        <v>0.5</v>
      </c>
      <c r="AE29" s="9" t="s">
        <v>139</v>
      </c>
      <c r="AF29" s="9" t="s">
        <v>42</v>
      </c>
      <c r="AG29" s="11"/>
      <c r="AH29" s="11" t="s">
        <v>856</v>
      </c>
      <c r="AI29" s="11">
        <v>1</v>
      </c>
      <c r="AJ29" s="11">
        <v>1</v>
      </c>
      <c r="AK29" s="11" t="s">
        <v>104</v>
      </c>
      <c r="AL29" s="11">
        <v>0.5</v>
      </c>
      <c r="AM29" s="11" t="s">
        <v>857</v>
      </c>
      <c r="AN29" s="11" t="s">
        <v>42</v>
      </c>
      <c r="AO29" s="6"/>
      <c r="AP29" s="6" t="s">
        <v>858</v>
      </c>
      <c r="AQ29" s="6">
        <v>1</v>
      </c>
      <c r="AR29" s="6">
        <v>1</v>
      </c>
      <c r="AS29" s="6" t="s">
        <v>120</v>
      </c>
      <c r="AT29" s="6" t="s">
        <v>859</v>
      </c>
      <c r="AU29" s="6">
        <v>1</v>
      </c>
      <c r="AV29" s="7">
        <v>1</v>
      </c>
      <c r="AW29" s="6" t="s">
        <v>62</v>
      </c>
      <c r="AX29" s="6">
        <v>0.5</v>
      </c>
      <c r="AY29" s="6" t="s">
        <v>93</v>
      </c>
      <c r="AZ29" s="6" t="s">
        <v>42</v>
      </c>
      <c r="BA29" s="9"/>
      <c r="BB29" s="9" t="s">
        <v>860</v>
      </c>
      <c r="BC29" s="9">
        <v>1</v>
      </c>
      <c r="BD29" s="9">
        <v>1</v>
      </c>
      <c r="BE29" s="9" t="s">
        <v>78</v>
      </c>
      <c r="BF29" s="9">
        <v>0.5</v>
      </c>
      <c r="BG29" s="9" t="s">
        <v>93</v>
      </c>
      <c r="BH29" s="9" t="s">
        <v>42</v>
      </c>
      <c r="BI29" s="8"/>
      <c r="BJ29" s="8" t="s">
        <v>861</v>
      </c>
      <c r="BK29" s="8">
        <v>1</v>
      </c>
      <c r="BL29" s="8">
        <v>1</v>
      </c>
      <c r="BM29" s="8" t="s">
        <v>862</v>
      </c>
      <c r="BN29" s="8">
        <v>0</v>
      </c>
      <c r="BO29" s="8" t="s">
        <v>93</v>
      </c>
      <c r="BP29" s="8" t="s">
        <v>42</v>
      </c>
      <c r="BQ29" s="11"/>
      <c r="BR29" s="11" t="s">
        <v>863</v>
      </c>
      <c r="BS29" s="11">
        <v>1</v>
      </c>
      <c r="BT29" s="11">
        <v>1</v>
      </c>
      <c r="BU29" s="11" t="s">
        <v>864</v>
      </c>
      <c r="BV29" s="11" t="s">
        <v>865</v>
      </c>
      <c r="BW29" s="11">
        <v>3</v>
      </c>
      <c r="BX29" s="11" t="s">
        <v>62</v>
      </c>
      <c r="BY29" s="11">
        <v>0</v>
      </c>
      <c r="BZ29" s="11" t="s">
        <v>93</v>
      </c>
      <c r="CA29" s="11" t="s">
        <v>42</v>
      </c>
      <c r="CB29" s="22"/>
    </row>
    <row r="30" spans="1:80" s="31" customFormat="1" ht="18" customHeight="1">
      <c r="A30">
        <v>10029</v>
      </c>
      <c r="B30" s="8"/>
      <c r="C30" s="8" t="s">
        <v>255</v>
      </c>
      <c r="D30" s="5">
        <v>1</v>
      </c>
      <c r="E30" s="5">
        <v>1</v>
      </c>
      <c r="F30" s="8" t="s">
        <v>135</v>
      </c>
      <c r="G30" s="8"/>
      <c r="H30" s="8">
        <v>0</v>
      </c>
      <c r="I30" s="8" t="s">
        <v>866</v>
      </c>
      <c r="J30" s="8" t="s">
        <v>42</v>
      </c>
      <c r="K30" s="6"/>
      <c r="L30" s="6" t="s">
        <v>230</v>
      </c>
      <c r="M30" s="6">
        <v>1</v>
      </c>
      <c r="N30" s="6">
        <v>1</v>
      </c>
      <c r="O30" s="6" t="s">
        <v>867</v>
      </c>
      <c r="P30" s="6" t="s">
        <v>868</v>
      </c>
      <c r="Q30" s="7">
        <v>3</v>
      </c>
      <c r="R30" s="6" t="s">
        <v>869</v>
      </c>
      <c r="S30" s="6">
        <v>0.5</v>
      </c>
      <c r="T30" s="6" t="s">
        <v>207</v>
      </c>
      <c r="U30" s="6" t="s">
        <v>43</v>
      </c>
      <c r="V30" s="9"/>
      <c r="W30" s="9" t="s">
        <v>263</v>
      </c>
      <c r="X30" s="9">
        <v>1</v>
      </c>
      <c r="Y30" s="9">
        <v>1</v>
      </c>
      <c r="Z30" s="9" t="s">
        <v>205</v>
      </c>
      <c r="AA30" s="9" t="s">
        <v>870</v>
      </c>
      <c r="AB30" s="9">
        <v>0</v>
      </c>
      <c r="AC30" s="32" t="s">
        <v>157</v>
      </c>
      <c r="AD30" s="9">
        <v>0.5</v>
      </c>
      <c r="AE30" s="9" t="s">
        <v>871</v>
      </c>
      <c r="AF30" s="9" t="s">
        <v>64</v>
      </c>
      <c r="AG30" s="11"/>
      <c r="AH30" s="11" t="s">
        <v>238</v>
      </c>
      <c r="AI30" s="11">
        <v>1</v>
      </c>
      <c r="AJ30" s="11">
        <v>1</v>
      </c>
      <c r="AK30" s="11" t="s">
        <v>872</v>
      </c>
      <c r="AL30" s="11">
        <v>1</v>
      </c>
      <c r="AM30" s="11" t="s">
        <v>873</v>
      </c>
      <c r="AN30" s="11" t="s">
        <v>42</v>
      </c>
      <c r="AO30" s="6"/>
      <c r="AP30" s="6" t="s">
        <v>241</v>
      </c>
      <c r="AQ30" s="6">
        <v>1</v>
      </c>
      <c r="AR30" s="6">
        <v>1</v>
      </c>
      <c r="AS30" s="6" t="s">
        <v>100</v>
      </c>
      <c r="AT30" s="6" t="s">
        <v>874</v>
      </c>
      <c r="AU30" s="6">
        <v>0</v>
      </c>
      <c r="AV30" s="7">
        <v>0</v>
      </c>
      <c r="AW30" s="6" t="s">
        <v>62</v>
      </c>
      <c r="AX30" s="6">
        <v>0.5</v>
      </c>
      <c r="AY30" s="6" t="s">
        <v>875</v>
      </c>
      <c r="AZ30" s="6" t="s">
        <v>67</v>
      </c>
      <c r="BA30" s="9"/>
      <c r="BB30" s="9" t="s">
        <v>573</v>
      </c>
      <c r="BC30" s="9">
        <v>1</v>
      </c>
      <c r="BD30" s="9">
        <v>1</v>
      </c>
      <c r="BE30" s="9" t="s">
        <v>876</v>
      </c>
      <c r="BF30" s="9">
        <v>1</v>
      </c>
      <c r="BG30" s="9" t="s">
        <v>877</v>
      </c>
      <c r="BH30" s="9" t="s">
        <v>63</v>
      </c>
      <c r="BI30" s="8"/>
      <c r="BJ30" s="8" t="s">
        <v>276</v>
      </c>
      <c r="BK30" s="8">
        <v>1</v>
      </c>
      <c r="BL30" s="8">
        <v>1</v>
      </c>
      <c r="BM30" s="8" t="s">
        <v>62</v>
      </c>
      <c r="BN30" s="8">
        <v>1</v>
      </c>
      <c r="BO30" s="8" t="s">
        <v>878</v>
      </c>
      <c r="BP30" s="8" t="s">
        <v>64</v>
      </c>
      <c r="BQ30" s="11"/>
      <c r="BR30" s="11" t="s">
        <v>250</v>
      </c>
      <c r="BS30" s="11">
        <v>1</v>
      </c>
      <c r="BT30" s="11">
        <v>1</v>
      </c>
      <c r="BU30" s="11" t="s">
        <v>879</v>
      </c>
      <c r="BV30" s="11" t="s">
        <v>880</v>
      </c>
      <c r="BW30" s="11">
        <v>3</v>
      </c>
      <c r="BX30" s="11" t="s">
        <v>881</v>
      </c>
      <c r="BY30" s="11">
        <v>0.5</v>
      </c>
      <c r="BZ30" s="11" t="s">
        <v>882</v>
      </c>
      <c r="CA30" s="11" t="s">
        <v>64</v>
      </c>
      <c r="CB30" s="22"/>
    </row>
    <row r="31" spans="1:80" s="31" customFormat="1" ht="18" customHeight="1">
      <c r="A31">
        <v>10030</v>
      </c>
      <c r="B31" s="8"/>
      <c r="C31" s="8" t="s">
        <v>228</v>
      </c>
      <c r="D31" s="5">
        <v>1</v>
      </c>
      <c r="E31" s="5">
        <v>1</v>
      </c>
      <c r="F31" s="8" t="s">
        <v>883</v>
      </c>
      <c r="G31" s="8"/>
      <c r="H31" s="8">
        <v>1</v>
      </c>
      <c r="I31" s="8" t="s">
        <v>884</v>
      </c>
      <c r="J31" s="8" t="s">
        <v>42</v>
      </c>
      <c r="K31" s="6"/>
      <c r="L31" s="6" t="s">
        <v>258</v>
      </c>
      <c r="M31" s="6">
        <v>1</v>
      </c>
      <c r="N31" s="6">
        <v>1</v>
      </c>
      <c r="O31" s="6" t="s">
        <v>885</v>
      </c>
      <c r="P31" s="6" t="s">
        <v>886</v>
      </c>
      <c r="Q31" s="7">
        <v>1</v>
      </c>
      <c r="R31" s="6" t="s">
        <v>887</v>
      </c>
      <c r="S31" s="6">
        <v>0.5</v>
      </c>
      <c r="T31" s="6" t="s">
        <v>888</v>
      </c>
      <c r="U31" s="6" t="s">
        <v>67</v>
      </c>
      <c r="V31" s="9"/>
      <c r="W31" s="9" t="s">
        <v>263</v>
      </c>
      <c r="X31" s="9">
        <v>1</v>
      </c>
      <c r="Y31" s="9">
        <v>1</v>
      </c>
      <c r="Z31" s="9" t="s">
        <v>889</v>
      </c>
      <c r="AA31" s="9" t="s">
        <v>890</v>
      </c>
      <c r="AB31" s="9">
        <v>1</v>
      </c>
      <c r="AC31" s="32" t="s">
        <v>133</v>
      </c>
      <c r="AD31" s="9">
        <v>0.5</v>
      </c>
      <c r="AE31" s="9" t="s">
        <v>891</v>
      </c>
      <c r="AF31" s="9" t="s">
        <v>42</v>
      </c>
      <c r="AG31" s="11"/>
      <c r="AH31" s="11" t="s">
        <v>892</v>
      </c>
      <c r="AI31" s="11">
        <v>1</v>
      </c>
      <c r="AJ31" s="11">
        <v>1</v>
      </c>
      <c r="AK31" s="11" t="s">
        <v>893</v>
      </c>
      <c r="AL31" s="11">
        <v>1</v>
      </c>
      <c r="AM31" s="11" t="s">
        <v>894</v>
      </c>
      <c r="AN31" s="11" t="s">
        <v>42</v>
      </c>
      <c r="AO31" s="6"/>
      <c r="AP31" s="6" t="s">
        <v>450</v>
      </c>
      <c r="AQ31" s="6">
        <v>1</v>
      </c>
      <c r="AR31" s="6">
        <v>1</v>
      </c>
      <c r="AS31" s="6" t="s">
        <v>895</v>
      </c>
      <c r="AT31" s="6" t="s">
        <v>896</v>
      </c>
      <c r="AU31" s="6">
        <v>3</v>
      </c>
      <c r="AV31" s="7">
        <v>0</v>
      </c>
      <c r="AW31" s="6" t="s">
        <v>162</v>
      </c>
      <c r="AX31" s="6">
        <v>0.5</v>
      </c>
      <c r="AY31" s="6" t="s">
        <v>93</v>
      </c>
      <c r="AZ31" s="6" t="s">
        <v>42</v>
      </c>
      <c r="BA31" s="9"/>
      <c r="BB31" s="9" t="s">
        <v>897</v>
      </c>
      <c r="BC31" s="9">
        <v>1</v>
      </c>
      <c r="BD31" s="9">
        <v>1</v>
      </c>
      <c r="BE31" s="9" t="s">
        <v>61</v>
      </c>
      <c r="BF31" s="9">
        <v>0.5</v>
      </c>
      <c r="BG31" s="9" t="s">
        <v>169</v>
      </c>
      <c r="BH31" s="9" t="s">
        <v>37</v>
      </c>
      <c r="BI31" s="8"/>
      <c r="BJ31" s="8" t="s">
        <v>898</v>
      </c>
      <c r="BK31" s="8">
        <v>1</v>
      </c>
      <c r="BL31" s="8">
        <v>1</v>
      </c>
      <c r="BM31" s="8" t="s">
        <v>55</v>
      </c>
      <c r="BN31" s="8">
        <v>0</v>
      </c>
      <c r="BO31" s="8" t="s">
        <v>93</v>
      </c>
      <c r="BP31" s="8" t="s">
        <v>42</v>
      </c>
      <c r="BQ31" s="11"/>
      <c r="BR31" s="11" t="s">
        <v>279</v>
      </c>
      <c r="BS31" s="11">
        <v>1</v>
      </c>
      <c r="BT31" s="11">
        <v>1</v>
      </c>
      <c r="BU31" s="11" t="s">
        <v>899</v>
      </c>
      <c r="BV31" s="11" t="s">
        <v>900</v>
      </c>
      <c r="BW31" s="11">
        <v>2</v>
      </c>
      <c r="BX31" s="11" t="s">
        <v>62</v>
      </c>
      <c r="BY31" s="11">
        <v>0</v>
      </c>
      <c r="BZ31" s="11" t="s">
        <v>93</v>
      </c>
      <c r="CA31" s="11" t="s">
        <v>42</v>
      </c>
      <c r="CB31" s="22"/>
    </row>
    <row r="32" spans="1:80" s="31" customFormat="1" ht="18" customHeight="1">
      <c r="A32">
        <v>10031</v>
      </c>
      <c r="B32" s="8"/>
      <c r="C32" s="8" t="s">
        <v>901</v>
      </c>
      <c r="D32" s="5">
        <v>1</v>
      </c>
      <c r="E32" s="5">
        <v>1</v>
      </c>
      <c r="F32" s="8" t="s">
        <v>902</v>
      </c>
      <c r="G32" s="8"/>
      <c r="H32" s="8">
        <v>2</v>
      </c>
      <c r="I32" s="8" t="s">
        <v>903</v>
      </c>
      <c r="J32" s="8" t="s">
        <v>42</v>
      </c>
      <c r="K32" s="6"/>
      <c r="L32" s="6" t="s">
        <v>904</v>
      </c>
      <c r="M32" s="6">
        <v>1</v>
      </c>
      <c r="N32" s="6">
        <v>0.5</v>
      </c>
      <c r="O32" s="6" t="s">
        <v>905</v>
      </c>
      <c r="P32" s="6" t="s">
        <v>906</v>
      </c>
      <c r="Q32" s="7">
        <v>3</v>
      </c>
      <c r="R32" s="6" t="s">
        <v>153</v>
      </c>
      <c r="S32" s="6">
        <v>0.5</v>
      </c>
      <c r="T32" s="6" t="s">
        <v>907</v>
      </c>
      <c r="U32" s="6" t="s">
        <v>42</v>
      </c>
      <c r="V32" s="9"/>
      <c r="W32" s="9" t="s">
        <v>908</v>
      </c>
      <c r="X32" s="9">
        <v>0.5</v>
      </c>
      <c r="Y32" s="9">
        <v>0.5</v>
      </c>
      <c r="Z32" s="9" t="s">
        <v>909</v>
      </c>
      <c r="AA32" s="9" t="s">
        <v>910</v>
      </c>
      <c r="AB32" s="9">
        <v>3</v>
      </c>
      <c r="AC32" s="32" t="s">
        <v>911</v>
      </c>
      <c r="AD32" s="9">
        <v>1</v>
      </c>
      <c r="AE32" s="9" t="s">
        <v>912</v>
      </c>
      <c r="AF32" s="9" t="s">
        <v>42</v>
      </c>
      <c r="AG32" s="11"/>
      <c r="AH32" s="11" t="s">
        <v>913</v>
      </c>
      <c r="AI32" s="11">
        <v>1</v>
      </c>
      <c r="AJ32" s="11">
        <v>1</v>
      </c>
      <c r="AK32" s="11" t="s">
        <v>914</v>
      </c>
      <c r="AL32" s="11">
        <v>0.5</v>
      </c>
      <c r="AM32" s="11" t="s">
        <v>915</v>
      </c>
      <c r="AN32" s="11" t="s">
        <v>42</v>
      </c>
      <c r="AO32" s="6"/>
      <c r="AP32" s="6" t="s">
        <v>916</v>
      </c>
      <c r="AQ32" s="6">
        <v>0.5</v>
      </c>
      <c r="AR32" s="6">
        <v>0.5</v>
      </c>
      <c r="AS32" s="6" t="s">
        <v>917</v>
      </c>
      <c r="AT32" s="6" t="s">
        <v>918</v>
      </c>
      <c r="AU32" s="6">
        <v>3</v>
      </c>
      <c r="AV32" s="7">
        <v>3</v>
      </c>
      <c r="AW32" s="6" t="s">
        <v>919</v>
      </c>
      <c r="AX32" s="6">
        <v>1</v>
      </c>
      <c r="AY32" s="6" t="s">
        <v>915</v>
      </c>
      <c r="AZ32" s="6" t="s">
        <v>42</v>
      </c>
      <c r="BA32" s="9"/>
      <c r="BB32" s="9" t="s">
        <v>920</v>
      </c>
      <c r="BC32" s="9">
        <v>0.5</v>
      </c>
      <c r="BD32" s="9">
        <v>0.5</v>
      </c>
      <c r="BE32" s="9" t="s">
        <v>921</v>
      </c>
      <c r="BF32" s="9">
        <v>0.5</v>
      </c>
      <c r="BG32" s="9" t="s">
        <v>922</v>
      </c>
      <c r="BH32" s="9" t="s">
        <v>42</v>
      </c>
      <c r="BI32" s="8"/>
      <c r="BJ32" s="8" t="s">
        <v>923</v>
      </c>
      <c r="BK32" s="8">
        <v>1</v>
      </c>
      <c r="BL32" s="8">
        <v>0.5</v>
      </c>
      <c r="BM32" s="8" t="s">
        <v>608</v>
      </c>
      <c r="BN32" s="8">
        <v>0</v>
      </c>
      <c r="BO32" s="8"/>
      <c r="BP32" s="8" t="s">
        <v>37</v>
      </c>
      <c r="BQ32" s="11"/>
      <c r="BR32" s="11" t="s">
        <v>924</v>
      </c>
      <c r="BS32" s="11">
        <v>0.5</v>
      </c>
      <c r="BT32" s="11">
        <v>0.5</v>
      </c>
      <c r="BU32" s="11" t="s">
        <v>925</v>
      </c>
      <c r="BV32" s="11" t="s">
        <v>926</v>
      </c>
      <c r="BW32" s="11">
        <v>2</v>
      </c>
      <c r="BX32" s="11" t="s">
        <v>927</v>
      </c>
      <c r="BY32" s="11">
        <v>0</v>
      </c>
      <c r="BZ32" s="11" t="s">
        <v>915</v>
      </c>
      <c r="CA32" s="11" t="s">
        <v>42</v>
      </c>
      <c r="CB32" s="22"/>
    </row>
    <row r="33" spans="1:80" s="31" customFormat="1" ht="18" customHeight="1">
      <c r="A33">
        <v>10032</v>
      </c>
      <c r="B33" s="8"/>
      <c r="C33" s="8" t="s">
        <v>928</v>
      </c>
      <c r="D33" s="5">
        <v>1</v>
      </c>
      <c r="E33" s="5">
        <v>0.5</v>
      </c>
      <c r="F33" s="8" t="s">
        <v>929</v>
      </c>
      <c r="G33" s="8"/>
      <c r="H33" s="8">
        <v>0</v>
      </c>
      <c r="I33" s="8" t="s">
        <v>930</v>
      </c>
      <c r="J33" s="8" t="s">
        <v>43</v>
      </c>
      <c r="K33" s="6"/>
      <c r="L33" s="6" t="s">
        <v>931</v>
      </c>
      <c r="M33" s="6">
        <v>1</v>
      </c>
      <c r="N33" s="6">
        <v>0</v>
      </c>
      <c r="O33" s="6" t="s">
        <v>932</v>
      </c>
      <c r="P33" s="6" t="s">
        <v>933</v>
      </c>
      <c r="Q33" s="7">
        <v>3</v>
      </c>
      <c r="R33" s="6" t="s">
        <v>934</v>
      </c>
      <c r="S33" s="6">
        <v>1</v>
      </c>
      <c r="T33" s="6" t="s">
        <v>935</v>
      </c>
      <c r="U33" s="6" t="s">
        <v>43</v>
      </c>
      <c r="V33" s="9"/>
      <c r="W33" s="9" t="s">
        <v>936</v>
      </c>
      <c r="X33" s="9">
        <v>1</v>
      </c>
      <c r="Y33" s="9">
        <v>0.5</v>
      </c>
      <c r="Z33" s="9" t="s">
        <v>937</v>
      </c>
      <c r="AA33" s="9" t="s">
        <v>938</v>
      </c>
      <c r="AB33" s="9">
        <v>1</v>
      </c>
      <c r="AC33" s="32" t="s">
        <v>939</v>
      </c>
      <c r="AD33" s="9">
        <v>0.5</v>
      </c>
      <c r="AE33" s="9" t="s">
        <v>940</v>
      </c>
      <c r="AF33" s="9" t="s">
        <v>42</v>
      </c>
      <c r="AG33" s="11"/>
      <c r="AH33" s="11" t="s">
        <v>941</v>
      </c>
      <c r="AI33" s="11">
        <v>1</v>
      </c>
      <c r="AJ33" s="11">
        <v>1</v>
      </c>
      <c r="AK33" s="11" t="s">
        <v>942</v>
      </c>
      <c r="AL33" s="11">
        <v>1</v>
      </c>
      <c r="AM33" s="11" t="s">
        <v>943</v>
      </c>
      <c r="AN33" s="11" t="s">
        <v>67</v>
      </c>
      <c r="AO33" s="6"/>
      <c r="AP33" s="6" t="s">
        <v>944</v>
      </c>
      <c r="AQ33" s="6">
        <v>0.5</v>
      </c>
      <c r="AR33" s="6">
        <v>0.5</v>
      </c>
      <c r="AS33" s="6" t="s">
        <v>945</v>
      </c>
      <c r="AT33" s="6" t="s">
        <v>946</v>
      </c>
      <c r="AU33" s="6">
        <v>3</v>
      </c>
      <c r="AV33" s="7">
        <v>3</v>
      </c>
      <c r="AW33" s="6" t="s">
        <v>947</v>
      </c>
      <c r="AX33" s="6">
        <v>1</v>
      </c>
      <c r="AY33" s="6" t="s">
        <v>948</v>
      </c>
      <c r="AZ33" s="6" t="s">
        <v>43</v>
      </c>
      <c r="BA33" s="9"/>
      <c r="BB33" s="9" t="s">
        <v>949</v>
      </c>
      <c r="BC33" s="9">
        <v>1</v>
      </c>
      <c r="BD33" s="9">
        <v>0.5</v>
      </c>
      <c r="BE33" s="9" t="s">
        <v>950</v>
      </c>
      <c r="BF33" s="9">
        <v>1</v>
      </c>
      <c r="BG33" s="9" t="s">
        <v>951</v>
      </c>
      <c r="BH33" s="9" t="s">
        <v>37</v>
      </c>
      <c r="BI33" s="8"/>
      <c r="BJ33" s="8" t="s">
        <v>952</v>
      </c>
      <c r="BK33" s="8">
        <v>1</v>
      </c>
      <c r="BL33" s="8">
        <v>0.5</v>
      </c>
      <c r="BM33" s="8" t="s">
        <v>953</v>
      </c>
      <c r="BN33" s="8">
        <v>0</v>
      </c>
      <c r="BO33" s="8" t="s">
        <v>954</v>
      </c>
      <c r="BP33" s="8" t="s">
        <v>67</v>
      </c>
      <c r="BQ33" s="11"/>
      <c r="BR33" s="11" t="s">
        <v>955</v>
      </c>
      <c r="BS33" s="11">
        <v>0.5</v>
      </c>
      <c r="BT33" s="11">
        <v>0.5</v>
      </c>
      <c r="BU33" s="11" t="s">
        <v>956</v>
      </c>
      <c r="BV33" s="11" t="s">
        <v>957</v>
      </c>
      <c r="BW33" s="11">
        <v>3</v>
      </c>
      <c r="BX33" s="11" t="s">
        <v>958</v>
      </c>
      <c r="BY33" s="11">
        <v>0</v>
      </c>
      <c r="BZ33" s="11" t="s">
        <v>959</v>
      </c>
      <c r="CA33" s="11" t="s">
        <v>67</v>
      </c>
      <c r="CB33" s="22"/>
    </row>
    <row r="34" spans="1:80" s="31" customFormat="1" ht="18" customHeight="1">
      <c r="A34">
        <v>10033</v>
      </c>
      <c r="B34" s="8"/>
      <c r="C34" s="8" t="s">
        <v>960</v>
      </c>
      <c r="D34" s="5">
        <v>1</v>
      </c>
      <c r="E34" s="5">
        <v>1</v>
      </c>
      <c r="F34" s="8" t="s">
        <v>961</v>
      </c>
      <c r="G34" s="8"/>
      <c r="H34" s="8">
        <v>1</v>
      </c>
      <c r="I34" s="8" t="s">
        <v>74</v>
      </c>
      <c r="J34" s="8" t="s">
        <v>42</v>
      </c>
      <c r="K34" s="6"/>
      <c r="L34" s="6" t="s">
        <v>962</v>
      </c>
      <c r="M34" s="6">
        <v>1</v>
      </c>
      <c r="N34" s="6">
        <v>1</v>
      </c>
      <c r="O34" s="6" t="s">
        <v>963</v>
      </c>
      <c r="P34" s="6" t="s">
        <v>964</v>
      </c>
      <c r="Q34" s="7">
        <v>3</v>
      </c>
      <c r="R34" s="6" t="s">
        <v>965</v>
      </c>
      <c r="S34" s="6">
        <v>0.5</v>
      </c>
      <c r="T34" s="6" t="s">
        <v>966</v>
      </c>
      <c r="U34" s="6" t="s">
        <v>37</v>
      </c>
      <c r="V34" s="9"/>
      <c r="W34" s="9" t="s">
        <v>967</v>
      </c>
      <c r="X34" s="9">
        <v>1</v>
      </c>
      <c r="Y34" s="9">
        <v>0.5</v>
      </c>
      <c r="Z34" s="9" t="s">
        <v>968</v>
      </c>
      <c r="AA34" s="9" t="s">
        <v>969</v>
      </c>
      <c r="AB34" s="9">
        <v>3</v>
      </c>
      <c r="AC34" s="32" t="s">
        <v>970</v>
      </c>
      <c r="AD34" s="9">
        <v>0.5</v>
      </c>
      <c r="AE34" s="9" t="s">
        <v>102</v>
      </c>
      <c r="AF34" s="9" t="s">
        <v>37</v>
      </c>
      <c r="AG34" s="11"/>
      <c r="AH34" s="11" t="s">
        <v>971</v>
      </c>
      <c r="AI34" s="11">
        <v>1</v>
      </c>
      <c r="AJ34" s="11">
        <v>1</v>
      </c>
      <c r="AK34" s="11" t="s">
        <v>972</v>
      </c>
      <c r="AL34" s="11">
        <v>0</v>
      </c>
      <c r="AM34" s="11" t="s">
        <v>102</v>
      </c>
      <c r="AN34" s="11" t="s">
        <v>37</v>
      </c>
      <c r="AO34" s="6"/>
      <c r="AP34" s="6" t="s">
        <v>973</v>
      </c>
      <c r="AQ34" s="6">
        <v>0.5</v>
      </c>
      <c r="AR34" s="6">
        <v>0.5</v>
      </c>
      <c r="AS34" s="6" t="s">
        <v>974</v>
      </c>
      <c r="AT34" s="6" t="s">
        <v>975</v>
      </c>
      <c r="AU34" s="6">
        <v>3</v>
      </c>
      <c r="AV34" s="7">
        <v>3</v>
      </c>
      <c r="AW34" s="6" t="s">
        <v>976</v>
      </c>
      <c r="AX34" s="6">
        <v>0.5</v>
      </c>
      <c r="AY34" s="6" t="s">
        <v>977</v>
      </c>
      <c r="AZ34" s="6" t="s">
        <v>37</v>
      </c>
      <c r="BA34" s="9"/>
      <c r="BB34" s="9" t="s">
        <v>978</v>
      </c>
      <c r="BC34" s="9">
        <v>1</v>
      </c>
      <c r="BD34" s="9">
        <v>1</v>
      </c>
      <c r="BE34" s="9" t="s">
        <v>979</v>
      </c>
      <c r="BF34" s="9">
        <v>1</v>
      </c>
      <c r="BG34" s="9" t="s">
        <v>977</v>
      </c>
      <c r="BH34" s="9" t="s">
        <v>37</v>
      </c>
      <c r="BI34" s="8"/>
      <c r="BJ34" s="8" t="s">
        <v>980</v>
      </c>
      <c r="BK34" s="8">
        <v>1</v>
      </c>
      <c r="BL34" s="8">
        <v>1</v>
      </c>
      <c r="BM34" s="8" t="s">
        <v>981</v>
      </c>
      <c r="BN34" s="8">
        <v>0</v>
      </c>
      <c r="BO34" s="8" t="s">
        <v>982</v>
      </c>
      <c r="BP34" s="8" t="s">
        <v>37</v>
      </c>
      <c r="BQ34" s="11"/>
      <c r="BR34" s="11" t="s">
        <v>983</v>
      </c>
      <c r="BS34" s="11">
        <v>1</v>
      </c>
      <c r="BT34" s="11">
        <v>0.5</v>
      </c>
      <c r="BU34" s="11" t="s">
        <v>984</v>
      </c>
      <c r="BV34" s="11" t="s">
        <v>985</v>
      </c>
      <c r="BW34" s="11">
        <v>2</v>
      </c>
      <c r="BX34" s="11" t="s">
        <v>986</v>
      </c>
      <c r="BY34" s="11">
        <v>0.5</v>
      </c>
      <c r="BZ34" s="11" t="s">
        <v>987</v>
      </c>
      <c r="CA34" s="11" t="s">
        <v>37</v>
      </c>
      <c r="CB34" s="22"/>
    </row>
    <row r="35" spans="1:80" s="31" customFormat="1" ht="18" customHeight="1">
      <c r="A35">
        <v>10034</v>
      </c>
      <c r="B35" s="8"/>
      <c r="C35" s="8" t="s">
        <v>462</v>
      </c>
      <c r="D35" s="5">
        <v>1</v>
      </c>
      <c r="E35" s="5">
        <v>1</v>
      </c>
      <c r="F35" s="8" t="s">
        <v>988</v>
      </c>
      <c r="G35" s="8"/>
      <c r="H35" s="8">
        <v>3</v>
      </c>
      <c r="I35" s="8" t="s">
        <v>989</v>
      </c>
      <c r="J35" s="8" t="s">
        <v>42</v>
      </c>
      <c r="K35" s="6"/>
      <c r="L35" s="6" t="s">
        <v>258</v>
      </c>
      <c r="M35" s="6">
        <v>1</v>
      </c>
      <c r="N35" s="6">
        <v>1</v>
      </c>
      <c r="O35" s="6" t="s">
        <v>990</v>
      </c>
      <c r="P35" s="6" t="s">
        <v>991</v>
      </c>
      <c r="Q35" s="7">
        <v>3</v>
      </c>
      <c r="R35" s="6" t="s">
        <v>992</v>
      </c>
      <c r="S35" s="6">
        <v>0.5</v>
      </c>
      <c r="T35" s="6" t="s">
        <v>993</v>
      </c>
      <c r="U35" s="6" t="s">
        <v>37</v>
      </c>
      <c r="V35" s="9"/>
      <c r="W35" s="9" t="s">
        <v>712</v>
      </c>
      <c r="X35" s="9">
        <v>1</v>
      </c>
      <c r="Y35" s="9">
        <v>1</v>
      </c>
      <c r="Z35" s="9" t="s">
        <v>994</v>
      </c>
      <c r="AA35" s="9" t="s">
        <v>995</v>
      </c>
      <c r="AB35" s="9">
        <v>3</v>
      </c>
      <c r="AC35" s="32" t="s">
        <v>996</v>
      </c>
      <c r="AD35" s="9">
        <v>0</v>
      </c>
      <c r="AE35" s="9" t="s">
        <v>997</v>
      </c>
      <c r="AF35" s="9" t="s">
        <v>64</v>
      </c>
      <c r="AG35" s="11"/>
      <c r="AH35" s="11" t="s">
        <v>998</v>
      </c>
      <c r="AI35" s="11">
        <v>1</v>
      </c>
      <c r="AJ35" s="11">
        <v>1</v>
      </c>
      <c r="AK35" s="11" t="s">
        <v>999</v>
      </c>
      <c r="AL35" s="11">
        <v>1</v>
      </c>
      <c r="AM35" s="11" t="s">
        <v>1000</v>
      </c>
      <c r="AN35" s="11" t="s">
        <v>67</v>
      </c>
      <c r="AO35" s="6"/>
      <c r="AP35" s="6" t="s">
        <v>1001</v>
      </c>
      <c r="AQ35" s="6">
        <v>1</v>
      </c>
      <c r="AR35" s="6">
        <v>1</v>
      </c>
      <c r="AS35" s="6" t="s">
        <v>1002</v>
      </c>
      <c r="AT35" s="6" t="s">
        <v>1003</v>
      </c>
      <c r="AU35" s="6">
        <v>3</v>
      </c>
      <c r="AV35" s="7">
        <v>3</v>
      </c>
      <c r="AW35" s="6" t="s">
        <v>1004</v>
      </c>
      <c r="AX35" s="6">
        <v>1</v>
      </c>
      <c r="AY35" s="6" t="s">
        <v>1005</v>
      </c>
      <c r="AZ35" s="6" t="s">
        <v>67</v>
      </c>
      <c r="BA35" s="9"/>
      <c r="BB35" s="9" t="s">
        <v>1006</v>
      </c>
      <c r="BC35" s="9">
        <v>1</v>
      </c>
      <c r="BD35" s="9">
        <v>1</v>
      </c>
      <c r="BE35" s="9" t="s">
        <v>1007</v>
      </c>
      <c r="BF35" s="9">
        <v>1</v>
      </c>
      <c r="BG35" s="9" t="s">
        <v>1008</v>
      </c>
      <c r="BH35" s="9" t="s">
        <v>42</v>
      </c>
      <c r="BI35" s="8"/>
      <c r="BJ35" s="8" t="s">
        <v>1009</v>
      </c>
      <c r="BK35" s="8">
        <v>1</v>
      </c>
      <c r="BL35" s="8">
        <v>1</v>
      </c>
      <c r="BM35" s="8" t="s">
        <v>1010</v>
      </c>
      <c r="BN35" s="8">
        <v>0</v>
      </c>
      <c r="BO35" s="8" t="s">
        <v>1011</v>
      </c>
      <c r="BP35" s="8" t="s">
        <v>37</v>
      </c>
      <c r="BQ35" s="11"/>
      <c r="BR35" s="11" t="s">
        <v>1012</v>
      </c>
      <c r="BS35" s="11">
        <v>1</v>
      </c>
      <c r="BT35" s="11">
        <v>0.5</v>
      </c>
      <c r="BU35" s="11" t="s">
        <v>1013</v>
      </c>
      <c r="BV35" s="11" t="s">
        <v>1014</v>
      </c>
      <c r="BW35" s="11">
        <v>2</v>
      </c>
      <c r="BX35" s="11" t="s">
        <v>1015</v>
      </c>
      <c r="BY35" s="11">
        <v>0</v>
      </c>
      <c r="BZ35" s="11" t="s">
        <v>1016</v>
      </c>
      <c r="CA35" s="11" t="s">
        <v>37</v>
      </c>
      <c r="CB35" s="22"/>
    </row>
    <row r="36" spans="1:80" s="31" customFormat="1" ht="18" customHeight="1">
      <c r="A36">
        <v>10035</v>
      </c>
      <c r="B36" s="8"/>
      <c r="C36" s="8" t="s">
        <v>228</v>
      </c>
      <c r="D36" s="5">
        <v>1</v>
      </c>
      <c r="E36" s="5">
        <v>1</v>
      </c>
      <c r="F36" s="8" t="s">
        <v>1017</v>
      </c>
      <c r="G36" s="8"/>
      <c r="H36" s="8">
        <v>3</v>
      </c>
      <c r="I36" s="8" t="s">
        <v>1018</v>
      </c>
      <c r="J36" s="8" t="s">
        <v>42</v>
      </c>
      <c r="K36" s="6"/>
      <c r="L36" s="6" t="s">
        <v>230</v>
      </c>
      <c r="M36" s="6">
        <v>1</v>
      </c>
      <c r="N36" s="6">
        <v>1</v>
      </c>
      <c r="O36" s="6" t="s">
        <v>1019</v>
      </c>
      <c r="P36" s="6" t="s">
        <v>1020</v>
      </c>
      <c r="Q36" s="7">
        <v>3</v>
      </c>
      <c r="R36" s="6" t="s">
        <v>52</v>
      </c>
      <c r="S36" s="6">
        <v>0.5</v>
      </c>
      <c r="T36" s="6" t="s">
        <v>1021</v>
      </c>
      <c r="U36" s="6" t="s">
        <v>42</v>
      </c>
      <c r="V36" s="9"/>
      <c r="W36" s="9" t="s">
        <v>565</v>
      </c>
      <c r="X36" s="9">
        <v>1</v>
      </c>
      <c r="Y36" s="9">
        <v>1</v>
      </c>
      <c r="Z36" s="9" t="s">
        <v>1022</v>
      </c>
      <c r="AA36" s="9" t="s">
        <v>1023</v>
      </c>
      <c r="AB36" s="9">
        <v>3</v>
      </c>
      <c r="AC36" s="32" t="s">
        <v>1024</v>
      </c>
      <c r="AD36" s="9">
        <v>0.5</v>
      </c>
      <c r="AE36" s="9" t="s">
        <v>1025</v>
      </c>
      <c r="AF36" s="9" t="s">
        <v>37</v>
      </c>
      <c r="AG36" s="11"/>
      <c r="AH36" s="11" t="s">
        <v>612</v>
      </c>
      <c r="AI36" s="11">
        <v>1</v>
      </c>
      <c r="AJ36" s="11">
        <v>1</v>
      </c>
      <c r="AK36" s="11" t="s">
        <v>1026</v>
      </c>
      <c r="AL36" s="11">
        <v>0.5</v>
      </c>
      <c r="AM36" s="11" t="s">
        <v>1027</v>
      </c>
      <c r="AN36" s="11" t="s">
        <v>64</v>
      </c>
      <c r="AO36" s="6"/>
      <c r="AP36" s="6" t="s">
        <v>450</v>
      </c>
      <c r="AQ36" s="6">
        <v>1</v>
      </c>
      <c r="AR36" s="6">
        <v>1</v>
      </c>
      <c r="AS36" s="6" t="s">
        <v>1028</v>
      </c>
      <c r="AT36" s="6" t="s">
        <v>1029</v>
      </c>
      <c r="AU36" s="6">
        <v>3</v>
      </c>
      <c r="AV36" s="7">
        <v>0</v>
      </c>
      <c r="AW36" s="6" t="s">
        <v>1030</v>
      </c>
      <c r="AX36" s="6">
        <v>1</v>
      </c>
      <c r="AY36" s="6" t="s">
        <v>1031</v>
      </c>
      <c r="AZ36" s="6" t="s">
        <v>64</v>
      </c>
      <c r="BA36" s="9"/>
      <c r="BB36" s="9" t="s">
        <v>1032</v>
      </c>
      <c r="BC36" s="9">
        <v>1</v>
      </c>
      <c r="BD36" s="9">
        <v>1</v>
      </c>
      <c r="BE36" s="9" t="s">
        <v>81</v>
      </c>
      <c r="BF36" s="9">
        <v>0.5</v>
      </c>
      <c r="BG36" s="9" t="s">
        <v>1033</v>
      </c>
      <c r="BH36" s="9" t="s">
        <v>42</v>
      </c>
      <c r="BI36" s="8"/>
      <c r="BJ36" s="8" t="s">
        <v>248</v>
      </c>
      <c r="BK36" s="8">
        <v>1</v>
      </c>
      <c r="BL36" s="8">
        <v>1</v>
      </c>
      <c r="BM36" s="8" t="s">
        <v>1034</v>
      </c>
      <c r="BN36" s="8">
        <v>0.5</v>
      </c>
      <c r="BO36" s="8" t="s">
        <v>1035</v>
      </c>
      <c r="BP36" s="8" t="s">
        <v>37</v>
      </c>
      <c r="BQ36" s="11"/>
      <c r="BR36" s="11" t="s">
        <v>383</v>
      </c>
      <c r="BS36" s="11">
        <v>1</v>
      </c>
      <c r="BT36" s="11">
        <v>1</v>
      </c>
      <c r="BU36" s="11" t="s">
        <v>1036</v>
      </c>
      <c r="BV36" s="11" t="s">
        <v>1037</v>
      </c>
      <c r="BW36" s="11">
        <v>3</v>
      </c>
      <c r="BX36" s="11" t="s">
        <v>1038</v>
      </c>
      <c r="BY36" s="11">
        <v>0.5</v>
      </c>
      <c r="BZ36" s="11" t="s">
        <v>1039</v>
      </c>
      <c r="CA36" s="11" t="s">
        <v>37</v>
      </c>
      <c r="CB36" s="22"/>
    </row>
    <row r="37" spans="1:80" s="31" customFormat="1" ht="18" customHeight="1">
      <c r="A37">
        <v>10036</v>
      </c>
      <c r="B37" s="8"/>
      <c r="C37" s="8" t="s">
        <v>1040</v>
      </c>
      <c r="D37" s="5">
        <v>1</v>
      </c>
      <c r="E37" s="5">
        <v>1</v>
      </c>
      <c r="F37" s="8" t="s">
        <v>1041</v>
      </c>
      <c r="G37" s="8"/>
      <c r="H37" s="8">
        <v>0</v>
      </c>
      <c r="I37" s="8" t="s">
        <v>1042</v>
      </c>
      <c r="J37" s="8" t="s">
        <v>64</v>
      </c>
      <c r="K37" s="6"/>
      <c r="L37" s="6" t="s">
        <v>1043</v>
      </c>
      <c r="M37" s="6">
        <v>1</v>
      </c>
      <c r="N37" s="6">
        <v>1</v>
      </c>
      <c r="O37" s="6" t="s">
        <v>1044</v>
      </c>
      <c r="P37" s="6" t="s">
        <v>1045</v>
      </c>
      <c r="Q37" s="7">
        <v>3</v>
      </c>
      <c r="R37" s="6" t="s">
        <v>1046</v>
      </c>
      <c r="S37" s="6">
        <v>1</v>
      </c>
      <c r="T37" s="6" t="s">
        <v>1047</v>
      </c>
      <c r="U37" s="6" t="s">
        <v>36</v>
      </c>
      <c r="V37" s="9"/>
      <c r="W37" s="9" t="s">
        <v>1048</v>
      </c>
      <c r="X37" s="9">
        <v>1</v>
      </c>
      <c r="Y37" s="9">
        <v>1</v>
      </c>
      <c r="Z37" s="9" t="s">
        <v>1049</v>
      </c>
      <c r="AA37" s="9" t="s">
        <v>1050</v>
      </c>
      <c r="AB37" s="9">
        <v>3</v>
      </c>
      <c r="AC37" s="32" t="s">
        <v>1051</v>
      </c>
      <c r="AD37" s="9">
        <v>0.5</v>
      </c>
      <c r="AE37" s="9" t="s">
        <v>1052</v>
      </c>
      <c r="AF37" s="9" t="s">
        <v>42</v>
      </c>
      <c r="AG37" s="11"/>
      <c r="AH37" s="11" t="s">
        <v>1053</v>
      </c>
      <c r="AI37" s="11">
        <v>1</v>
      </c>
      <c r="AJ37" s="11">
        <v>1</v>
      </c>
      <c r="AK37" s="11" t="s">
        <v>355</v>
      </c>
      <c r="AL37" s="11">
        <v>0.5</v>
      </c>
      <c r="AM37" s="11" t="s">
        <v>1054</v>
      </c>
      <c r="AN37" s="11" t="s">
        <v>67</v>
      </c>
      <c r="AO37" s="6"/>
      <c r="AP37" s="6" t="s">
        <v>1055</v>
      </c>
      <c r="AQ37" s="6">
        <v>0.5</v>
      </c>
      <c r="AR37" s="6">
        <v>0.5</v>
      </c>
      <c r="AS37" s="6" t="s">
        <v>1056</v>
      </c>
      <c r="AT37" s="6" t="s">
        <v>1057</v>
      </c>
      <c r="AU37" s="6">
        <v>3</v>
      </c>
      <c r="AV37" s="7">
        <v>3</v>
      </c>
      <c r="AW37" s="6" t="s">
        <v>1058</v>
      </c>
      <c r="AX37" s="6">
        <v>0</v>
      </c>
      <c r="AY37" s="6" t="s">
        <v>1059</v>
      </c>
      <c r="AZ37" s="6" t="s">
        <v>43</v>
      </c>
      <c r="BA37" s="9"/>
      <c r="BB37" s="9" t="s">
        <v>1060</v>
      </c>
      <c r="BC37" s="9">
        <v>1</v>
      </c>
      <c r="BD37" s="9">
        <v>1</v>
      </c>
      <c r="BE37" s="9" t="s">
        <v>61</v>
      </c>
      <c r="BF37" s="9">
        <v>0.5</v>
      </c>
      <c r="BG37" s="9" t="s">
        <v>1061</v>
      </c>
      <c r="BH37" s="9" t="s">
        <v>42</v>
      </c>
      <c r="BI37" s="8"/>
      <c r="BJ37" s="8" t="s">
        <v>1062</v>
      </c>
      <c r="BK37" s="8">
        <v>1</v>
      </c>
      <c r="BL37" s="8">
        <v>1</v>
      </c>
      <c r="BM37" s="8" t="s">
        <v>1063</v>
      </c>
      <c r="BN37" s="8">
        <v>0.5</v>
      </c>
      <c r="BO37" s="8" t="s">
        <v>1064</v>
      </c>
      <c r="BP37" s="8" t="s">
        <v>67</v>
      </c>
      <c r="BQ37" s="11"/>
      <c r="BR37" s="11" t="s">
        <v>1065</v>
      </c>
      <c r="BS37" s="11">
        <v>1</v>
      </c>
      <c r="BT37" s="11">
        <v>0.5</v>
      </c>
      <c r="BU37" s="11" t="s">
        <v>1066</v>
      </c>
      <c r="BV37" s="11" t="s">
        <v>1067</v>
      </c>
      <c r="BW37" s="11">
        <v>0</v>
      </c>
      <c r="BX37" s="11" t="s">
        <v>1068</v>
      </c>
      <c r="BY37" s="11">
        <v>0</v>
      </c>
      <c r="BZ37" s="11" t="s">
        <v>1069</v>
      </c>
      <c r="CA37" s="11" t="s">
        <v>42</v>
      </c>
      <c r="CB37" s="22"/>
    </row>
    <row r="38" spans="1:80" s="31" customFormat="1" ht="18" customHeight="1">
      <c r="A38">
        <v>10037</v>
      </c>
      <c r="B38" s="8"/>
      <c r="C38" s="8" t="s">
        <v>228</v>
      </c>
      <c r="D38" s="5">
        <v>1</v>
      </c>
      <c r="E38" s="5">
        <v>1</v>
      </c>
      <c r="F38" s="8" t="s">
        <v>1070</v>
      </c>
      <c r="G38" s="8"/>
      <c r="H38" s="8">
        <v>3</v>
      </c>
      <c r="I38" s="8" t="s">
        <v>1071</v>
      </c>
      <c r="J38" s="8" t="s">
        <v>42</v>
      </c>
      <c r="K38" s="6"/>
      <c r="L38" s="6" t="s">
        <v>230</v>
      </c>
      <c r="M38" s="6">
        <v>1</v>
      </c>
      <c r="N38" s="6">
        <v>1</v>
      </c>
      <c r="O38" s="6" t="s">
        <v>1072</v>
      </c>
      <c r="P38" s="6" t="s">
        <v>1073</v>
      </c>
      <c r="Q38" s="7">
        <v>3</v>
      </c>
      <c r="R38" s="6" t="s">
        <v>1074</v>
      </c>
      <c r="S38" s="6">
        <v>1</v>
      </c>
      <c r="T38" s="6" t="s">
        <v>1075</v>
      </c>
      <c r="U38" s="6" t="s">
        <v>64</v>
      </c>
      <c r="V38" s="9"/>
      <c r="W38" s="9" t="s">
        <v>565</v>
      </c>
      <c r="X38" s="9">
        <v>1</v>
      </c>
      <c r="Y38" s="9">
        <v>1</v>
      </c>
      <c r="Z38" s="9" t="s">
        <v>1076</v>
      </c>
      <c r="AA38" s="9" t="s">
        <v>1077</v>
      </c>
      <c r="AB38" s="9">
        <v>3</v>
      </c>
      <c r="AC38" s="32" t="s">
        <v>1078</v>
      </c>
      <c r="AD38" s="9">
        <v>0.5</v>
      </c>
      <c r="AE38" s="9" t="s">
        <v>1079</v>
      </c>
      <c r="AF38" s="9" t="s">
        <v>42</v>
      </c>
      <c r="AG38" s="11"/>
      <c r="AH38" s="11" t="s">
        <v>238</v>
      </c>
      <c r="AI38" s="11">
        <v>1</v>
      </c>
      <c r="AJ38" s="11">
        <v>1</v>
      </c>
      <c r="AK38" s="11" t="s">
        <v>1080</v>
      </c>
      <c r="AL38" s="11">
        <v>0.5</v>
      </c>
      <c r="AM38" s="11" t="s">
        <v>1081</v>
      </c>
      <c r="AN38" s="11" t="s">
        <v>64</v>
      </c>
      <c r="AO38" s="6"/>
      <c r="AP38" s="6" t="s">
        <v>591</v>
      </c>
      <c r="AQ38" s="6">
        <v>1</v>
      </c>
      <c r="AR38" s="6">
        <v>1</v>
      </c>
      <c r="AS38" s="6" t="s">
        <v>1082</v>
      </c>
      <c r="AT38" s="6" t="s">
        <v>1083</v>
      </c>
      <c r="AU38" s="6">
        <v>3</v>
      </c>
      <c r="AV38" s="7">
        <v>0</v>
      </c>
      <c r="AW38" s="6" t="s">
        <v>1084</v>
      </c>
      <c r="AX38" s="6">
        <v>1</v>
      </c>
      <c r="AY38" s="6" t="s">
        <v>1085</v>
      </c>
      <c r="AZ38" s="6" t="s">
        <v>43</v>
      </c>
      <c r="BA38" s="9"/>
      <c r="BB38" s="9" t="s">
        <v>573</v>
      </c>
      <c r="BC38" s="9">
        <v>1</v>
      </c>
      <c r="BD38" s="9">
        <v>1</v>
      </c>
      <c r="BE38" s="9" t="s">
        <v>1086</v>
      </c>
      <c r="BF38" s="9">
        <v>0.5</v>
      </c>
      <c r="BG38" s="9" t="s">
        <v>1087</v>
      </c>
      <c r="BH38" s="9" t="s">
        <v>37</v>
      </c>
      <c r="BI38" s="8"/>
      <c r="BJ38" s="8" t="s">
        <v>248</v>
      </c>
      <c r="BK38" s="8">
        <v>1</v>
      </c>
      <c r="BL38" s="8">
        <v>1</v>
      </c>
      <c r="BM38" s="8" t="s">
        <v>1088</v>
      </c>
      <c r="BN38" s="8">
        <v>0.5</v>
      </c>
      <c r="BO38" s="8" t="s">
        <v>1089</v>
      </c>
      <c r="BP38" s="8" t="s">
        <v>42</v>
      </c>
      <c r="BQ38" s="11"/>
      <c r="BR38" s="11" t="s">
        <v>250</v>
      </c>
      <c r="BS38" s="11">
        <v>1</v>
      </c>
      <c r="BT38" s="11">
        <v>1</v>
      </c>
      <c r="BU38" s="11" t="s">
        <v>1090</v>
      </c>
      <c r="BV38" s="11" t="s">
        <v>1091</v>
      </c>
      <c r="BW38" s="11">
        <v>3</v>
      </c>
      <c r="BX38" s="11" t="s">
        <v>1092</v>
      </c>
      <c r="BY38" s="11">
        <v>0.5</v>
      </c>
      <c r="BZ38" s="11" t="s">
        <v>1093</v>
      </c>
      <c r="CA38" s="11" t="s">
        <v>43</v>
      </c>
      <c r="CB38" s="22"/>
    </row>
    <row r="39" spans="1:80" s="31" customFormat="1" ht="18" customHeight="1">
      <c r="A39">
        <v>10038</v>
      </c>
      <c r="B39" s="8"/>
      <c r="C39" s="8" t="s">
        <v>1094</v>
      </c>
      <c r="D39" s="5">
        <v>1</v>
      </c>
      <c r="E39" s="5">
        <v>1</v>
      </c>
      <c r="F39" s="8" t="s">
        <v>1095</v>
      </c>
      <c r="G39" s="8"/>
      <c r="H39" s="8">
        <v>3</v>
      </c>
      <c r="I39" s="8" t="s">
        <v>1096</v>
      </c>
      <c r="J39" s="8" t="s">
        <v>42</v>
      </c>
      <c r="K39" s="6"/>
      <c r="L39" s="6" t="s">
        <v>465</v>
      </c>
      <c r="M39" s="6">
        <v>1</v>
      </c>
      <c r="N39" s="6">
        <v>1</v>
      </c>
      <c r="O39" s="6" t="s">
        <v>1097</v>
      </c>
      <c r="P39" s="6" t="s">
        <v>1098</v>
      </c>
      <c r="Q39" s="7">
        <v>3</v>
      </c>
      <c r="R39" s="6" t="s">
        <v>47</v>
      </c>
      <c r="S39" s="6">
        <v>0.5</v>
      </c>
      <c r="T39" s="6" t="s">
        <v>1099</v>
      </c>
      <c r="U39" s="6" t="s">
        <v>43</v>
      </c>
      <c r="V39" s="9"/>
      <c r="W39" s="9" t="s">
        <v>1100</v>
      </c>
      <c r="X39" s="9">
        <v>1</v>
      </c>
      <c r="Y39" s="9">
        <v>1</v>
      </c>
      <c r="Z39" s="9" t="s">
        <v>1101</v>
      </c>
      <c r="AA39" s="9" t="s">
        <v>1102</v>
      </c>
      <c r="AB39" s="9">
        <v>3</v>
      </c>
      <c r="AC39" s="32" t="s">
        <v>1103</v>
      </c>
      <c r="AD39" s="9">
        <v>0.5</v>
      </c>
      <c r="AE39" s="9" t="s">
        <v>1104</v>
      </c>
      <c r="AF39" s="9" t="s">
        <v>43</v>
      </c>
      <c r="AG39" s="11"/>
      <c r="AH39" s="11" t="s">
        <v>1105</v>
      </c>
      <c r="AI39" s="11">
        <v>1</v>
      </c>
      <c r="AJ39" s="11">
        <v>1</v>
      </c>
      <c r="AK39" s="11" t="s">
        <v>1106</v>
      </c>
      <c r="AL39" s="11">
        <v>0.5</v>
      </c>
      <c r="AM39" s="11" t="s">
        <v>1107</v>
      </c>
      <c r="AN39" s="11" t="s">
        <v>43</v>
      </c>
      <c r="AO39" s="6"/>
      <c r="AP39" s="6" t="s">
        <v>1108</v>
      </c>
      <c r="AQ39" s="6">
        <v>0.5</v>
      </c>
      <c r="AR39" s="6">
        <v>0.5</v>
      </c>
      <c r="AS39" s="6" t="s">
        <v>1109</v>
      </c>
      <c r="AT39" s="6" t="s">
        <v>1110</v>
      </c>
      <c r="AU39" s="6">
        <v>3</v>
      </c>
      <c r="AV39" s="7">
        <v>3</v>
      </c>
      <c r="AW39" s="6" t="s">
        <v>105</v>
      </c>
      <c r="AX39" s="6">
        <v>0.5</v>
      </c>
      <c r="AY39" s="6" t="s">
        <v>1111</v>
      </c>
      <c r="AZ39" s="6" t="s">
        <v>67</v>
      </c>
      <c r="BA39" s="9"/>
      <c r="BB39" s="9" t="s">
        <v>1112</v>
      </c>
      <c r="BC39" s="9">
        <v>1</v>
      </c>
      <c r="BD39" s="9">
        <v>1</v>
      </c>
      <c r="BE39" s="9" t="s">
        <v>1113</v>
      </c>
      <c r="BF39" s="9">
        <v>0.5</v>
      </c>
      <c r="BG39" s="9" t="s">
        <v>1114</v>
      </c>
      <c r="BH39" s="9" t="s">
        <v>43</v>
      </c>
      <c r="BI39" s="8"/>
      <c r="BJ39" s="8" t="s">
        <v>1115</v>
      </c>
      <c r="BK39" s="8">
        <v>1</v>
      </c>
      <c r="BL39" s="8">
        <v>1</v>
      </c>
      <c r="BM39" s="8" t="s">
        <v>1116</v>
      </c>
      <c r="BN39" s="8">
        <v>0.5</v>
      </c>
      <c r="BO39" s="8" t="s">
        <v>1117</v>
      </c>
      <c r="BP39" s="8" t="s">
        <v>43</v>
      </c>
      <c r="BQ39" s="11"/>
      <c r="BR39" s="11" t="s">
        <v>279</v>
      </c>
      <c r="BS39" s="11">
        <v>1</v>
      </c>
      <c r="BT39" s="11">
        <v>1</v>
      </c>
      <c r="BU39" s="11" t="s">
        <v>1118</v>
      </c>
      <c r="BV39" s="11" t="s">
        <v>1119</v>
      </c>
      <c r="BW39" s="11">
        <v>2</v>
      </c>
      <c r="BX39" s="11" t="s">
        <v>105</v>
      </c>
      <c r="BY39" s="11">
        <v>0</v>
      </c>
      <c r="BZ39" s="11" t="s">
        <v>1120</v>
      </c>
      <c r="CA39" s="11" t="s">
        <v>67</v>
      </c>
      <c r="CB39" s="22"/>
    </row>
    <row r="40" spans="1:80" s="31" customFormat="1" ht="18" customHeight="1">
      <c r="A40">
        <v>10039</v>
      </c>
      <c r="B40" s="8"/>
      <c r="C40" s="8" t="s">
        <v>1121</v>
      </c>
      <c r="D40" s="5">
        <v>1</v>
      </c>
      <c r="E40" s="5">
        <v>1</v>
      </c>
      <c r="F40" s="8" t="s">
        <v>1122</v>
      </c>
      <c r="G40" s="8"/>
      <c r="H40" s="8">
        <v>1</v>
      </c>
      <c r="I40" s="8" t="s">
        <v>1123</v>
      </c>
      <c r="J40" s="8" t="s">
        <v>64</v>
      </c>
      <c r="K40" s="6"/>
      <c r="L40" s="6" t="s">
        <v>1124</v>
      </c>
      <c r="M40" s="6">
        <v>1</v>
      </c>
      <c r="N40" s="6">
        <v>1</v>
      </c>
      <c r="O40" s="6" t="s">
        <v>1125</v>
      </c>
      <c r="P40" s="6" t="s">
        <v>1126</v>
      </c>
      <c r="Q40" s="7">
        <v>3</v>
      </c>
      <c r="R40" s="6" t="s">
        <v>52</v>
      </c>
      <c r="S40" s="6">
        <v>0.5</v>
      </c>
      <c r="T40" s="6" t="s">
        <v>1127</v>
      </c>
      <c r="U40" s="6" t="s">
        <v>42</v>
      </c>
      <c r="V40" s="9"/>
      <c r="W40" s="9" t="s">
        <v>1128</v>
      </c>
      <c r="X40" s="9">
        <v>1</v>
      </c>
      <c r="Y40" s="9">
        <v>1</v>
      </c>
      <c r="Z40" s="9" t="s">
        <v>1129</v>
      </c>
      <c r="AA40" s="9" t="s">
        <v>1129</v>
      </c>
      <c r="AB40" s="9">
        <v>1</v>
      </c>
      <c r="AC40" s="32" t="s">
        <v>68</v>
      </c>
      <c r="AD40" s="9">
        <v>0.5</v>
      </c>
      <c r="AE40" s="9" t="s">
        <v>1130</v>
      </c>
      <c r="AF40" s="9" t="s">
        <v>64</v>
      </c>
      <c r="AG40" s="11"/>
      <c r="AH40" s="11" t="s">
        <v>1131</v>
      </c>
      <c r="AI40" s="11">
        <v>1</v>
      </c>
      <c r="AJ40" s="11">
        <v>1</v>
      </c>
      <c r="AK40" s="11" t="s">
        <v>79</v>
      </c>
      <c r="AL40" s="11">
        <v>0.5</v>
      </c>
      <c r="AM40" s="11" t="s">
        <v>1132</v>
      </c>
      <c r="AN40" s="11" t="s">
        <v>36</v>
      </c>
      <c r="AO40" s="6"/>
      <c r="AP40" s="6" t="s">
        <v>1133</v>
      </c>
      <c r="AQ40" s="6">
        <v>1</v>
      </c>
      <c r="AR40" s="6">
        <v>1</v>
      </c>
      <c r="AS40" s="6" t="s">
        <v>1134</v>
      </c>
      <c r="AT40" s="6" t="s">
        <v>95</v>
      </c>
      <c r="AU40" s="6">
        <v>2</v>
      </c>
      <c r="AV40" s="7">
        <v>0</v>
      </c>
      <c r="AW40" s="6" t="s">
        <v>194</v>
      </c>
      <c r="AX40" s="6">
        <v>0</v>
      </c>
      <c r="AY40" s="6" t="s">
        <v>1135</v>
      </c>
      <c r="AZ40" s="6" t="s">
        <v>36</v>
      </c>
      <c r="BA40" s="9"/>
      <c r="BB40" s="9" t="s">
        <v>1136</v>
      </c>
      <c r="BC40" s="9">
        <v>1</v>
      </c>
      <c r="BD40" s="9">
        <v>0.5</v>
      </c>
      <c r="BE40" s="9" t="s">
        <v>81</v>
      </c>
      <c r="BF40" s="9">
        <v>0.5</v>
      </c>
      <c r="BG40" s="9" t="s">
        <v>1137</v>
      </c>
      <c r="BH40" s="9" t="s">
        <v>42</v>
      </c>
      <c r="BI40" s="8"/>
      <c r="BJ40" s="8" t="s">
        <v>1138</v>
      </c>
      <c r="BK40" s="8">
        <v>1</v>
      </c>
      <c r="BL40" s="8">
        <v>1</v>
      </c>
      <c r="BM40" s="8" t="s">
        <v>1139</v>
      </c>
      <c r="BN40" s="8">
        <v>0</v>
      </c>
      <c r="BO40" s="8" t="s">
        <v>136</v>
      </c>
      <c r="BP40" s="8" t="s">
        <v>37</v>
      </c>
      <c r="BQ40" s="11"/>
      <c r="BR40" s="11" t="s">
        <v>1140</v>
      </c>
      <c r="BS40" s="11">
        <v>1</v>
      </c>
      <c r="BT40" s="11">
        <v>1</v>
      </c>
      <c r="BU40" s="11" t="s">
        <v>1141</v>
      </c>
      <c r="BV40" s="11" t="s">
        <v>1129</v>
      </c>
      <c r="BW40" s="11">
        <v>1</v>
      </c>
      <c r="BX40" s="11" t="s">
        <v>127</v>
      </c>
      <c r="BY40" s="11">
        <v>0.5</v>
      </c>
      <c r="BZ40" s="11" t="s">
        <v>136</v>
      </c>
      <c r="CA40" s="11" t="s">
        <v>37</v>
      </c>
      <c r="CB40" s="22"/>
    </row>
    <row r="41" spans="1:80" s="31" customFormat="1" ht="18" customHeight="1">
      <c r="A41">
        <v>10040</v>
      </c>
      <c r="B41" s="8"/>
      <c r="C41" s="8" t="s">
        <v>1142</v>
      </c>
      <c r="D41" s="5">
        <v>1</v>
      </c>
      <c r="E41" s="5">
        <v>1</v>
      </c>
      <c r="F41" s="8" t="s">
        <v>1143</v>
      </c>
      <c r="G41" s="8"/>
      <c r="H41" s="8">
        <v>2</v>
      </c>
      <c r="I41" s="8" t="s">
        <v>1144</v>
      </c>
      <c r="J41" s="8" t="s">
        <v>35</v>
      </c>
      <c r="K41" s="6"/>
      <c r="L41" s="6" t="s">
        <v>1145</v>
      </c>
      <c r="M41" s="6">
        <v>1</v>
      </c>
      <c r="N41" s="6">
        <v>1</v>
      </c>
      <c r="O41" s="6" t="s">
        <v>1146</v>
      </c>
      <c r="P41" s="6" t="s">
        <v>1147</v>
      </c>
      <c r="Q41" s="7">
        <v>3</v>
      </c>
      <c r="R41" s="6" t="s">
        <v>1148</v>
      </c>
      <c r="S41" s="6">
        <v>1</v>
      </c>
      <c r="T41" s="6" t="s">
        <v>1149</v>
      </c>
      <c r="U41" s="6" t="s">
        <v>67</v>
      </c>
      <c r="V41" s="9"/>
      <c r="W41" s="9" t="s">
        <v>1150</v>
      </c>
      <c r="X41" s="9">
        <v>1</v>
      </c>
      <c r="Y41" s="9">
        <v>1</v>
      </c>
      <c r="Z41" s="9" t="s">
        <v>1151</v>
      </c>
      <c r="AA41" s="9" t="s">
        <v>1152</v>
      </c>
      <c r="AB41" s="9">
        <v>3</v>
      </c>
      <c r="AC41" s="32" t="s">
        <v>1153</v>
      </c>
      <c r="AD41" s="9">
        <v>0.5</v>
      </c>
      <c r="AE41" s="9" t="s">
        <v>1154</v>
      </c>
      <c r="AF41" s="9" t="s">
        <v>37</v>
      </c>
      <c r="AG41" s="11"/>
      <c r="AH41" s="11" t="s">
        <v>1155</v>
      </c>
      <c r="AI41" s="11">
        <v>1</v>
      </c>
      <c r="AJ41" s="11">
        <v>1</v>
      </c>
      <c r="AK41" s="11" t="s">
        <v>1156</v>
      </c>
      <c r="AL41" s="11">
        <v>1</v>
      </c>
      <c r="AM41" s="11" t="s">
        <v>1157</v>
      </c>
      <c r="AN41" s="11" t="s">
        <v>43</v>
      </c>
      <c r="AO41" s="6"/>
      <c r="AP41" s="6" t="s">
        <v>1158</v>
      </c>
      <c r="AQ41" s="6">
        <v>0.5</v>
      </c>
      <c r="AR41" s="6">
        <v>0.5</v>
      </c>
      <c r="AS41" s="6" t="s">
        <v>1159</v>
      </c>
      <c r="AT41" s="6" t="s">
        <v>1160</v>
      </c>
      <c r="AU41" s="6">
        <v>3</v>
      </c>
      <c r="AV41" s="7">
        <v>3</v>
      </c>
      <c r="AW41" s="6" t="s">
        <v>179</v>
      </c>
      <c r="AX41" s="6">
        <v>0.5</v>
      </c>
      <c r="AY41" s="6" t="s">
        <v>1161</v>
      </c>
      <c r="AZ41" s="6" t="s">
        <v>67</v>
      </c>
      <c r="BA41" s="9"/>
      <c r="BB41" s="9" t="s">
        <v>1162</v>
      </c>
      <c r="BC41" s="9">
        <v>1</v>
      </c>
      <c r="BD41" s="9">
        <v>1</v>
      </c>
      <c r="BE41" s="9" t="s">
        <v>113</v>
      </c>
      <c r="BF41" s="9">
        <v>0.5</v>
      </c>
      <c r="BG41" s="9" t="s">
        <v>1163</v>
      </c>
      <c r="BH41" s="9" t="s">
        <v>37</v>
      </c>
      <c r="BI41" s="8"/>
      <c r="BJ41" s="8" t="s">
        <v>1164</v>
      </c>
      <c r="BK41" s="8">
        <v>1</v>
      </c>
      <c r="BL41" s="8">
        <v>1</v>
      </c>
      <c r="BM41" s="8" t="s">
        <v>1165</v>
      </c>
      <c r="BN41" s="8">
        <v>0</v>
      </c>
      <c r="BO41" s="8" t="s">
        <v>1166</v>
      </c>
      <c r="BP41" s="8" t="s">
        <v>37</v>
      </c>
      <c r="BQ41" s="11"/>
      <c r="BR41" s="11" t="s">
        <v>1167</v>
      </c>
      <c r="BS41" s="11">
        <v>1</v>
      </c>
      <c r="BT41" s="11">
        <v>0.5</v>
      </c>
      <c r="BU41" s="11" t="s">
        <v>1168</v>
      </c>
      <c r="BV41" s="11" t="s">
        <v>1169</v>
      </c>
      <c r="BW41" s="11">
        <v>0</v>
      </c>
      <c r="BX41" s="11" t="s">
        <v>1170</v>
      </c>
      <c r="BY41" s="11">
        <v>0</v>
      </c>
      <c r="BZ41" s="11" t="s">
        <v>1171</v>
      </c>
      <c r="CA41" s="11" t="s">
        <v>43</v>
      </c>
      <c r="CB41" s="22"/>
    </row>
    <row r="42" spans="1:80" s="31" customFormat="1" ht="18" customHeight="1">
      <c r="A42">
        <v>10041</v>
      </c>
      <c r="B42" s="8"/>
      <c r="C42" s="8" t="s">
        <v>1172</v>
      </c>
      <c r="D42" s="5">
        <v>1</v>
      </c>
      <c r="E42" s="5">
        <v>1</v>
      </c>
      <c r="F42" s="8" t="s">
        <v>1173</v>
      </c>
      <c r="G42" s="8"/>
      <c r="H42" s="8">
        <v>3</v>
      </c>
      <c r="I42" s="8" t="s">
        <v>620</v>
      </c>
      <c r="J42" s="8" t="s">
        <v>37</v>
      </c>
      <c r="K42" s="6"/>
      <c r="L42" s="6" t="s">
        <v>1174</v>
      </c>
      <c r="M42" s="6">
        <v>1</v>
      </c>
      <c r="N42" s="6">
        <v>1</v>
      </c>
      <c r="O42" s="6" t="s">
        <v>1175</v>
      </c>
      <c r="P42" s="6" t="s">
        <v>1176</v>
      </c>
      <c r="Q42" s="7">
        <v>3</v>
      </c>
      <c r="R42" s="6" t="s">
        <v>1177</v>
      </c>
      <c r="S42" s="6">
        <v>1</v>
      </c>
      <c r="T42" s="6" t="s">
        <v>1178</v>
      </c>
      <c r="U42" s="6" t="s">
        <v>42</v>
      </c>
      <c r="V42" s="9"/>
      <c r="W42" s="9" t="s">
        <v>1179</v>
      </c>
      <c r="X42" s="9">
        <v>1</v>
      </c>
      <c r="Y42" s="9">
        <v>1</v>
      </c>
      <c r="Z42" s="9" t="s">
        <v>1180</v>
      </c>
      <c r="AA42" s="9" t="s">
        <v>1181</v>
      </c>
      <c r="AB42" s="9">
        <v>3</v>
      </c>
      <c r="AC42" s="32" t="s">
        <v>1182</v>
      </c>
      <c r="AD42" s="9">
        <v>1</v>
      </c>
      <c r="AE42" s="9" t="s">
        <v>1183</v>
      </c>
      <c r="AF42" s="9" t="s">
        <v>42</v>
      </c>
      <c r="AG42" s="11"/>
      <c r="AH42" s="11" t="s">
        <v>1184</v>
      </c>
      <c r="AI42" s="11">
        <v>1</v>
      </c>
      <c r="AJ42" s="11">
        <v>1</v>
      </c>
      <c r="AK42" s="11" t="s">
        <v>1185</v>
      </c>
      <c r="AL42" s="11">
        <v>1</v>
      </c>
      <c r="AM42" s="11" t="s">
        <v>56</v>
      </c>
      <c r="AN42" s="11" t="s">
        <v>42</v>
      </c>
      <c r="AO42" s="6"/>
      <c r="AP42" s="6" t="s">
        <v>1186</v>
      </c>
      <c r="AQ42" s="6">
        <v>0.5</v>
      </c>
      <c r="AR42" s="6">
        <v>0.5</v>
      </c>
      <c r="AS42" s="6" t="s">
        <v>1187</v>
      </c>
      <c r="AT42" s="6" t="s">
        <v>1188</v>
      </c>
      <c r="AU42" s="6">
        <v>0</v>
      </c>
      <c r="AV42" s="7">
        <v>0</v>
      </c>
      <c r="AW42" s="6" t="s">
        <v>1189</v>
      </c>
      <c r="AX42" s="6">
        <v>1</v>
      </c>
      <c r="AY42" s="6" t="s">
        <v>46</v>
      </c>
      <c r="AZ42" s="6" t="s">
        <v>42</v>
      </c>
      <c r="BA42" s="9"/>
      <c r="BB42" s="9" t="s">
        <v>1190</v>
      </c>
      <c r="BC42" s="9">
        <v>1</v>
      </c>
      <c r="BD42" s="9">
        <v>0.5</v>
      </c>
      <c r="BE42" s="9" t="s">
        <v>1191</v>
      </c>
      <c r="BF42" s="9">
        <v>0.5</v>
      </c>
      <c r="BG42" s="9" t="s">
        <v>1192</v>
      </c>
      <c r="BH42" s="9" t="s">
        <v>36</v>
      </c>
      <c r="BI42" s="8"/>
      <c r="BJ42" s="8" t="s">
        <v>1193</v>
      </c>
      <c r="BK42" s="8">
        <v>1</v>
      </c>
      <c r="BL42" s="8">
        <v>1</v>
      </c>
      <c r="BM42" s="8" t="s">
        <v>1194</v>
      </c>
      <c r="BN42" s="8">
        <v>0</v>
      </c>
      <c r="BO42" s="8" t="s">
        <v>46</v>
      </c>
      <c r="BP42" s="8" t="s">
        <v>42</v>
      </c>
      <c r="BQ42" s="11"/>
      <c r="BR42" s="11" t="s">
        <v>1195</v>
      </c>
      <c r="BS42" s="11">
        <v>1</v>
      </c>
      <c r="BT42" s="11">
        <v>0.5</v>
      </c>
      <c r="BU42" s="11" t="s">
        <v>1196</v>
      </c>
      <c r="BV42" s="11" t="s">
        <v>1197</v>
      </c>
      <c r="BW42" s="11">
        <v>2</v>
      </c>
      <c r="BX42" s="11" t="s">
        <v>1198</v>
      </c>
      <c r="BY42" s="11">
        <v>0</v>
      </c>
      <c r="BZ42" s="11" t="s">
        <v>1199</v>
      </c>
      <c r="CA42" s="11" t="s">
        <v>37</v>
      </c>
      <c r="CB42" s="22"/>
    </row>
    <row r="43" spans="1:80" s="31" customFormat="1" ht="18" customHeight="1">
      <c r="A43">
        <v>10042</v>
      </c>
      <c r="B43" s="8"/>
      <c r="C43" s="8" t="s">
        <v>1200</v>
      </c>
      <c r="D43" s="5">
        <v>1</v>
      </c>
      <c r="E43" s="5">
        <v>1</v>
      </c>
      <c r="F43" s="8" t="s">
        <v>1201</v>
      </c>
      <c r="G43" s="8"/>
      <c r="H43" s="8">
        <v>3</v>
      </c>
      <c r="I43" s="8" t="s">
        <v>1202</v>
      </c>
      <c r="J43" s="8" t="s">
        <v>42</v>
      </c>
      <c r="K43" s="6"/>
      <c r="L43" s="6" t="s">
        <v>1203</v>
      </c>
      <c r="M43" s="6">
        <v>1</v>
      </c>
      <c r="N43" s="6">
        <v>1</v>
      </c>
      <c r="O43" s="6" t="s">
        <v>1204</v>
      </c>
      <c r="P43" s="6" t="s">
        <v>1205</v>
      </c>
      <c r="Q43" s="7">
        <v>3</v>
      </c>
      <c r="R43" s="6" t="s">
        <v>1206</v>
      </c>
      <c r="S43" s="6">
        <v>0.5</v>
      </c>
      <c r="T43" s="6" t="s">
        <v>1207</v>
      </c>
      <c r="U43" s="6" t="s">
        <v>35</v>
      </c>
      <c r="V43" s="9"/>
      <c r="W43" s="9" t="s">
        <v>712</v>
      </c>
      <c r="X43" s="9">
        <v>1</v>
      </c>
      <c r="Y43" s="9">
        <v>1</v>
      </c>
      <c r="Z43" s="9" t="s">
        <v>1208</v>
      </c>
      <c r="AA43" s="9" t="s">
        <v>1209</v>
      </c>
      <c r="AB43" s="9">
        <v>3</v>
      </c>
      <c r="AC43" s="32" t="s">
        <v>62</v>
      </c>
      <c r="AD43" s="9">
        <v>0</v>
      </c>
      <c r="AE43" s="9" t="s">
        <v>1210</v>
      </c>
      <c r="AF43" s="9" t="s">
        <v>67</v>
      </c>
      <c r="AG43" s="11"/>
      <c r="AH43" s="11" t="s">
        <v>771</v>
      </c>
      <c r="AI43" s="11">
        <v>1</v>
      </c>
      <c r="AJ43" s="11">
        <v>1</v>
      </c>
      <c r="AK43" s="11" t="s">
        <v>1211</v>
      </c>
      <c r="AL43" s="11">
        <v>0.5</v>
      </c>
      <c r="AM43" s="11" t="s">
        <v>1212</v>
      </c>
      <c r="AN43" s="11" t="s">
        <v>35</v>
      </c>
      <c r="AO43" s="6"/>
      <c r="AP43" s="6" t="s">
        <v>1213</v>
      </c>
      <c r="AQ43" s="6">
        <v>1</v>
      </c>
      <c r="AR43" s="6">
        <v>1</v>
      </c>
      <c r="AS43" s="6" t="s">
        <v>1214</v>
      </c>
      <c r="AT43" s="6" t="s">
        <v>1215</v>
      </c>
      <c r="AU43" s="6">
        <v>3</v>
      </c>
      <c r="AV43" s="7">
        <v>3</v>
      </c>
      <c r="AW43" s="6" t="s">
        <v>62</v>
      </c>
      <c r="AX43" s="6">
        <v>0.5</v>
      </c>
      <c r="AY43" s="6" t="s">
        <v>1216</v>
      </c>
      <c r="AZ43" s="6" t="s">
        <v>67</v>
      </c>
      <c r="BA43" s="9"/>
      <c r="BB43" s="9" t="s">
        <v>1217</v>
      </c>
      <c r="BC43" s="9">
        <v>1</v>
      </c>
      <c r="BD43" s="9">
        <v>1</v>
      </c>
      <c r="BE43" s="9" t="s">
        <v>202</v>
      </c>
      <c r="BF43" s="9">
        <v>0.5</v>
      </c>
      <c r="BG43" s="9" t="s">
        <v>1212</v>
      </c>
      <c r="BH43" s="9" t="s">
        <v>35</v>
      </c>
      <c r="BI43" s="8"/>
      <c r="BJ43" s="8" t="s">
        <v>1218</v>
      </c>
      <c r="BK43" s="8">
        <v>1</v>
      </c>
      <c r="BL43" s="8">
        <v>1</v>
      </c>
      <c r="BM43" s="8" t="s">
        <v>1219</v>
      </c>
      <c r="BN43" s="8">
        <v>0</v>
      </c>
      <c r="BO43" s="8" t="s">
        <v>1212</v>
      </c>
      <c r="BP43" s="8" t="s">
        <v>35</v>
      </c>
      <c r="BQ43" s="11"/>
      <c r="BR43" s="11" t="s">
        <v>279</v>
      </c>
      <c r="BS43" s="11">
        <v>1</v>
      </c>
      <c r="BT43" s="11">
        <v>1</v>
      </c>
      <c r="BU43" s="11" t="s">
        <v>1220</v>
      </c>
      <c r="BV43" s="11" t="s">
        <v>1221</v>
      </c>
      <c r="BW43" s="11">
        <v>3</v>
      </c>
      <c r="BX43" s="11" t="s">
        <v>62</v>
      </c>
      <c r="BY43" s="11">
        <v>0</v>
      </c>
      <c r="BZ43" s="11" t="s">
        <v>1222</v>
      </c>
      <c r="CA43" s="11" t="s">
        <v>67</v>
      </c>
      <c r="CB43" s="22"/>
    </row>
    <row r="44" spans="1:80" s="31" customFormat="1" ht="18" customHeight="1">
      <c r="A44">
        <v>10043</v>
      </c>
      <c r="B44" s="8"/>
      <c r="C44" s="8" t="s">
        <v>1223</v>
      </c>
      <c r="D44" s="5">
        <v>1</v>
      </c>
      <c r="E44" s="5">
        <v>1</v>
      </c>
      <c r="F44" s="8" t="s">
        <v>1224</v>
      </c>
      <c r="G44" s="8"/>
      <c r="H44" s="8">
        <v>3</v>
      </c>
      <c r="I44" s="8" t="s">
        <v>1225</v>
      </c>
      <c r="J44" s="8" t="s">
        <v>42</v>
      </c>
      <c r="K44" s="6"/>
      <c r="L44" s="6" t="s">
        <v>1226</v>
      </c>
      <c r="M44" s="6">
        <v>1</v>
      </c>
      <c r="N44" s="6">
        <v>1</v>
      </c>
      <c r="O44" s="6" t="s">
        <v>1227</v>
      </c>
      <c r="P44" s="6" t="s">
        <v>1228</v>
      </c>
      <c r="Q44" s="7">
        <v>3</v>
      </c>
      <c r="R44" s="6" t="s">
        <v>1229</v>
      </c>
      <c r="S44" s="6">
        <v>0.5</v>
      </c>
      <c r="T44" s="6" t="s">
        <v>1230</v>
      </c>
      <c r="U44" s="6" t="s">
        <v>64</v>
      </c>
      <c r="V44" s="9"/>
      <c r="W44" s="9" t="s">
        <v>1231</v>
      </c>
      <c r="X44" s="9">
        <v>1</v>
      </c>
      <c r="Y44" s="9">
        <v>1</v>
      </c>
      <c r="Z44" s="9" t="s">
        <v>1232</v>
      </c>
      <c r="AA44" s="9" t="s">
        <v>1233</v>
      </c>
      <c r="AB44" s="9">
        <v>2</v>
      </c>
      <c r="AC44" s="32" t="s">
        <v>1234</v>
      </c>
      <c r="AD44" s="9">
        <v>0</v>
      </c>
      <c r="AE44" s="9" t="s">
        <v>1235</v>
      </c>
      <c r="AF44" s="9" t="s">
        <v>37</v>
      </c>
      <c r="AG44" s="11"/>
      <c r="AH44" s="11" t="s">
        <v>238</v>
      </c>
      <c r="AI44" s="11">
        <v>1</v>
      </c>
      <c r="AJ44" s="11">
        <v>1</v>
      </c>
      <c r="AK44" s="11" t="s">
        <v>1236</v>
      </c>
      <c r="AL44" s="11">
        <v>0.5</v>
      </c>
      <c r="AM44" s="11" t="s">
        <v>1237</v>
      </c>
      <c r="AN44" s="11" t="s">
        <v>67</v>
      </c>
      <c r="AO44" s="6"/>
      <c r="AP44" s="6" t="s">
        <v>1238</v>
      </c>
      <c r="AQ44" s="6">
        <v>0.5</v>
      </c>
      <c r="AR44" s="6">
        <v>0.5</v>
      </c>
      <c r="AS44" s="6" t="s">
        <v>1239</v>
      </c>
      <c r="AT44" s="6" t="s">
        <v>1240</v>
      </c>
      <c r="AU44" s="6">
        <v>3</v>
      </c>
      <c r="AV44" s="7">
        <v>0</v>
      </c>
      <c r="AW44" s="6" t="s">
        <v>1241</v>
      </c>
      <c r="AX44" s="6">
        <v>0.5</v>
      </c>
      <c r="AY44" s="6" t="s">
        <v>1242</v>
      </c>
      <c r="AZ44" s="6" t="s">
        <v>64</v>
      </c>
      <c r="BA44" s="9"/>
      <c r="BB44" s="9" t="s">
        <v>1243</v>
      </c>
      <c r="BC44" s="9">
        <v>1</v>
      </c>
      <c r="BD44" s="9">
        <v>1</v>
      </c>
      <c r="BE44" s="9" t="s">
        <v>113</v>
      </c>
      <c r="BF44" s="9">
        <v>0.5</v>
      </c>
      <c r="BG44" s="9" t="s">
        <v>1244</v>
      </c>
      <c r="BH44" s="9" t="s">
        <v>42</v>
      </c>
      <c r="BI44" s="8"/>
      <c r="BJ44" s="8" t="s">
        <v>1245</v>
      </c>
      <c r="BK44" s="8">
        <v>1</v>
      </c>
      <c r="BL44" s="8">
        <v>1</v>
      </c>
      <c r="BM44" s="8" t="s">
        <v>1246</v>
      </c>
      <c r="BN44" s="8">
        <v>0.5</v>
      </c>
      <c r="BO44" s="8" t="s">
        <v>1247</v>
      </c>
      <c r="BP44" s="8" t="s">
        <v>42</v>
      </c>
      <c r="BQ44" s="11"/>
      <c r="BR44" s="11" t="s">
        <v>1248</v>
      </c>
      <c r="BS44" s="11">
        <v>1</v>
      </c>
      <c r="BT44" s="11">
        <v>0.5</v>
      </c>
      <c r="BU44" s="11" t="s">
        <v>1249</v>
      </c>
      <c r="BV44" s="11" t="s">
        <v>1250</v>
      </c>
      <c r="BW44" s="11">
        <v>2</v>
      </c>
      <c r="BX44" s="11" t="s">
        <v>1251</v>
      </c>
      <c r="BY44" s="11">
        <v>0.5</v>
      </c>
      <c r="BZ44" s="11" t="s">
        <v>112</v>
      </c>
      <c r="CA44" s="11" t="s">
        <v>67</v>
      </c>
      <c r="CB44" s="22"/>
    </row>
    <row r="45" spans="1:80" s="31" customFormat="1" ht="18" customHeight="1">
      <c r="A45">
        <v>10044</v>
      </c>
      <c r="B45" s="8"/>
      <c r="C45" s="8" t="s">
        <v>1252</v>
      </c>
      <c r="D45" s="5">
        <v>1</v>
      </c>
      <c r="E45" s="5">
        <v>1</v>
      </c>
      <c r="F45" s="8" t="s">
        <v>1253</v>
      </c>
      <c r="G45" s="8"/>
      <c r="H45" s="8">
        <v>2</v>
      </c>
      <c r="I45" s="8" t="s">
        <v>1254</v>
      </c>
      <c r="J45" s="8" t="s">
        <v>42</v>
      </c>
      <c r="K45" s="6"/>
      <c r="L45" s="6" t="s">
        <v>1255</v>
      </c>
      <c r="M45" s="6">
        <v>1</v>
      </c>
      <c r="N45" s="6">
        <v>1</v>
      </c>
      <c r="O45" s="6" t="s">
        <v>1256</v>
      </c>
      <c r="P45" s="6" t="s">
        <v>1257</v>
      </c>
      <c r="Q45" s="7">
        <v>3</v>
      </c>
      <c r="R45" s="6" t="s">
        <v>1258</v>
      </c>
      <c r="S45" s="6">
        <v>0.5</v>
      </c>
      <c r="T45" s="6" t="s">
        <v>1259</v>
      </c>
      <c r="U45" s="6" t="s">
        <v>42</v>
      </c>
      <c r="V45" s="9"/>
      <c r="W45" s="9" t="s">
        <v>1260</v>
      </c>
      <c r="X45" s="9">
        <v>1</v>
      </c>
      <c r="Y45" s="9">
        <v>0.5</v>
      </c>
      <c r="Z45" s="9" t="s">
        <v>1261</v>
      </c>
      <c r="AA45" s="9" t="s">
        <v>1262</v>
      </c>
      <c r="AB45" s="9">
        <v>3</v>
      </c>
      <c r="AC45" s="32" t="s">
        <v>114</v>
      </c>
      <c r="AD45" s="9">
        <v>0.5</v>
      </c>
      <c r="AE45" s="9" t="s">
        <v>71</v>
      </c>
      <c r="AF45" s="9" t="s">
        <v>42</v>
      </c>
      <c r="AG45" s="11"/>
      <c r="AH45" s="11" t="s">
        <v>1263</v>
      </c>
      <c r="AI45" s="11">
        <v>1</v>
      </c>
      <c r="AJ45" s="11">
        <v>1</v>
      </c>
      <c r="AK45" s="11" t="s">
        <v>1264</v>
      </c>
      <c r="AL45" s="11">
        <v>0.5</v>
      </c>
      <c r="AM45" s="11" t="s">
        <v>1265</v>
      </c>
      <c r="AN45" s="11" t="s">
        <v>42</v>
      </c>
      <c r="AO45" s="6"/>
      <c r="AP45" s="6" t="s">
        <v>1266</v>
      </c>
      <c r="AQ45" s="6">
        <v>0.5</v>
      </c>
      <c r="AR45" s="6">
        <v>0.5</v>
      </c>
      <c r="AS45" s="6" t="s">
        <v>1267</v>
      </c>
      <c r="AT45" s="6" t="s">
        <v>1268</v>
      </c>
      <c r="AU45" s="6">
        <v>2</v>
      </c>
      <c r="AV45" s="7">
        <v>0</v>
      </c>
      <c r="AW45" s="6" t="s">
        <v>114</v>
      </c>
      <c r="AX45" s="6">
        <v>0.5</v>
      </c>
      <c r="AY45" s="6" t="s">
        <v>93</v>
      </c>
      <c r="AZ45" s="6" t="s">
        <v>42</v>
      </c>
      <c r="BA45" s="9"/>
      <c r="BB45" s="9" t="s">
        <v>1269</v>
      </c>
      <c r="BC45" s="9">
        <v>1</v>
      </c>
      <c r="BD45" s="9">
        <v>0.5</v>
      </c>
      <c r="BE45" s="9" t="s">
        <v>1270</v>
      </c>
      <c r="BF45" s="9">
        <v>1</v>
      </c>
      <c r="BG45" s="9" t="s">
        <v>1271</v>
      </c>
      <c r="BH45" s="9" t="s">
        <v>42</v>
      </c>
      <c r="BI45" s="8"/>
      <c r="BJ45" s="8" t="s">
        <v>1272</v>
      </c>
      <c r="BK45" s="8">
        <v>1</v>
      </c>
      <c r="BL45" s="8">
        <v>0.5</v>
      </c>
      <c r="BM45" s="8" t="s">
        <v>148</v>
      </c>
      <c r="BN45" s="8">
        <v>0</v>
      </c>
      <c r="BO45" s="8" t="s">
        <v>71</v>
      </c>
      <c r="BP45" s="8" t="s">
        <v>42</v>
      </c>
      <c r="BQ45" s="11"/>
      <c r="BR45" s="11" t="s">
        <v>1273</v>
      </c>
      <c r="BS45" s="11">
        <v>1</v>
      </c>
      <c r="BT45" s="11">
        <v>0.5</v>
      </c>
      <c r="BU45" s="11" t="s">
        <v>1274</v>
      </c>
      <c r="BV45" s="11" t="s">
        <v>1275</v>
      </c>
      <c r="BW45" s="11">
        <v>2</v>
      </c>
      <c r="BX45" s="11" t="s">
        <v>114</v>
      </c>
      <c r="BY45" s="11">
        <v>0</v>
      </c>
      <c r="BZ45" s="11" t="s">
        <v>1276</v>
      </c>
      <c r="CA45" s="11" t="s">
        <v>43</v>
      </c>
      <c r="CB45" s="22"/>
    </row>
    <row r="46" spans="1:80" s="31" customFormat="1" ht="18" customHeight="1">
      <c r="A46">
        <v>10045</v>
      </c>
      <c r="B46" s="8"/>
      <c r="C46" s="8" t="s">
        <v>1277</v>
      </c>
      <c r="D46" s="5">
        <v>1</v>
      </c>
      <c r="E46" s="5">
        <v>0.5</v>
      </c>
      <c r="F46" s="8" t="s">
        <v>1278</v>
      </c>
      <c r="G46" s="8"/>
      <c r="H46" s="8">
        <v>2</v>
      </c>
      <c r="I46" s="8" t="s">
        <v>1279</v>
      </c>
      <c r="J46" s="8" t="s">
        <v>64</v>
      </c>
      <c r="K46" s="6"/>
      <c r="L46" s="6" t="s">
        <v>1280</v>
      </c>
      <c r="M46" s="6">
        <v>1</v>
      </c>
      <c r="N46" s="6">
        <v>1</v>
      </c>
      <c r="O46" s="6" t="s">
        <v>1281</v>
      </c>
      <c r="P46" s="6" t="s">
        <v>1282</v>
      </c>
      <c r="Q46" s="7">
        <v>3</v>
      </c>
      <c r="R46" s="6" t="s">
        <v>1283</v>
      </c>
      <c r="S46" s="6">
        <v>0.5</v>
      </c>
      <c r="T46" s="6" t="s">
        <v>532</v>
      </c>
      <c r="U46" s="6" t="s">
        <v>64</v>
      </c>
      <c r="V46" s="9"/>
      <c r="W46" s="9" t="s">
        <v>1284</v>
      </c>
      <c r="X46" s="9">
        <v>1</v>
      </c>
      <c r="Y46" s="9">
        <v>0.5</v>
      </c>
      <c r="Z46" s="9" t="s">
        <v>1285</v>
      </c>
      <c r="AA46" s="9" t="s">
        <v>1286</v>
      </c>
      <c r="AB46" s="9">
        <v>0</v>
      </c>
      <c r="AC46" s="32" t="s">
        <v>1287</v>
      </c>
      <c r="AD46" s="9">
        <v>0.5</v>
      </c>
      <c r="AE46" s="9" t="s">
        <v>1288</v>
      </c>
      <c r="AF46" s="9" t="s">
        <v>42</v>
      </c>
      <c r="AG46" s="11"/>
      <c r="AH46" s="11" t="s">
        <v>1289</v>
      </c>
      <c r="AI46" s="11">
        <v>1</v>
      </c>
      <c r="AJ46" s="11">
        <v>1</v>
      </c>
      <c r="AK46" s="11" t="s">
        <v>59</v>
      </c>
      <c r="AL46" s="11">
        <v>0.5</v>
      </c>
      <c r="AM46" s="11" t="s">
        <v>1290</v>
      </c>
      <c r="AN46" s="11" t="s">
        <v>37</v>
      </c>
      <c r="AO46" s="6"/>
      <c r="AP46" s="6" t="s">
        <v>1291</v>
      </c>
      <c r="AQ46" s="6">
        <v>0.5</v>
      </c>
      <c r="AR46" s="6">
        <v>0.5</v>
      </c>
      <c r="AS46" s="6" t="s">
        <v>1292</v>
      </c>
      <c r="AT46" s="6" t="s">
        <v>1293</v>
      </c>
      <c r="AU46" s="6">
        <v>3</v>
      </c>
      <c r="AV46" s="7">
        <v>3</v>
      </c>
      <c r="AW46" s="6" t="s">
        <v>1294</v>
      </c>
      <c r="AX46" s="6">
        <v>1</v>
      </c>
      <c r="AY46" s="6" t="s">
        <v>1295</v>
      </c>
      <c r="AZ46" s="6" t="s">
        <v>67</v>
      </c>
      <c r="BA46" s="9"/>
      <c r="BB46" s="9" t="s">
        <v>1296</v>
      </c>
      <c r="BC46" s="9">
        <v>1</v>
      </c>
      <c r="BD46" s="9">
        <v>0.5</v>
      </c>
      <c r="BE46" s="9" t="s">
        <v>1297</v>
      </c>
      <c r="BF46" s="9">
        <v>1</v>
      </c>
      <c r="BG46" s="9" t="s">
        <v>191</v>
      </c>
      <c r="BH46" s="9" t="s">
        <v>42</v>
      </c>
      <c r="BI46" s="8"/>
      <c r="BJ46" s="8" t="s">
        <v>1298</v>
      </c>
      <c r="BK46" s="8">
        <v>1</v>
      </c>
      <c r="BL46" s="8">
        <v>0.5</v>
      </c>
      <c r="BM46" s="8" t="s">
        <v>1299</v>
      </c>
      <c r="BN46" s="8">
        <v>0</v>
      </c>
      <c r="BO46" s="8" t="s">
        <v>1300</v>
      </c>
      <c r="BP46" s="8" t="s">
        <v>64</v>
      </c>
      <c r="BQ46" s="11"/>
      <c r="BR46" s="11" t="s">
        <v>1301</v>
      </c>
      <c r="BS46" s="11">
        <v>1</v>
      </c>
      <c r="BT46" s="11">
        <v>0.5</v>
      </c>
      <c r="BU46" s="11" t="s">
        <v>1302</v>
      </c>
      <c r="BV46" s="11" t="s">
        <v>1303</v>
      </c>
      <c r="BW46" s="11">
        <v>0</v>
      </c>
      <c r="BX46" s="11" t="s">
        <v>1304</v>
      </c>
      <c r="BY46" s="11">
        <v>0.5</v>
      </c>
      <c r="BZ46" s="11" t="s">
        <v>1305</v>
      </c>
      <c r="CA46" s="11" t="s">
        <v>67</v>
      </c>
      <c r="CB46" s="22"/>
    </row>
    <row r="47" spans="1:80" s="31" customFormat="1" ht="18" customHeight="1">
      <c r="A47">
        <v>10046</v>
      </c>
      <c r="B47" s="8"/>
      <c r="C47" s="8" t="s">
        <v>1200</v>
      </c>
      <c r="D47" s="5">
        <v>1</v>
      </c>
      <c r="E47" s="5">
        <v>1</v>
      </c>
      <c r="F47" s="8" t="s">
        <v>1306</v>
      </c>
      <c r="G47" s="8"/>
      <c r="H47" s="8">
        <v>3</v>
      </c>
      <c r="I47" s="8" t="s">
        <v>1307</v>
      </c>
      <c r="J47" s="8" t="s">
        <v>42</v>
      </c>
      <c r="K47" s="6"/>
      <c r="L47" s="6" t="s">
        <v>1308</v>
      </c>
      <c r="M47" s="6">
        <v>1</v>
      </c>
      <c r="N47" s="6">
        <v>1</v>
      </c>
      <c r="O47" s="6" t="s">
        <v>1309</v>
      </c>
      <c r="P47" s="6" t="s">
        <v>1310</v>
      </c>
      <c r="Q47" s="7">
        <v>3</v>
      </c>
      <c r="R47" s="6" t="s">
        <v>52</v>
      </c>
      <c r="S47" s="6">
        <v>0.5</v>
      </c>
      <c r="T47" s="6" t="s">
        <v>1311</v>
      </c>
      <c r="U47" s="6" t="s">
        <v>42</v>
      </c>
      <c r="V47" s="9"/>
      <c r="W47" s="9" t="s">
        <v>263</v>
      </c>
      <c r="X47" s="9">
        <v>1</v>
      </c>
      <c r="Y47" s="9">
        <v>1</v>
      </c>
      <c r="Z47" s="9" t="s">
        <v>1312</v>
      </c>
      <c r="AA47" s="9" t="s">
        <v>1313</v>
      </c>
      <c r="AB47" s="9">
        <v>0</v>
      </c>
      <c r="AC47" s="32" t="s">
        <v>68</v>
      </c>
      <c r="AD47" s="9">
        <v>0.5</v>
      </c>
      <c r="AE47" s="9" t="s">
        <v>1314</v>
      </c>
      <c r="AF47" s="9" t="s">
        <v>42</v>
      </c>
      <c r="AG47" s="11"/>
      <c r="AH47" s="11" t="s">
        <v>771</v>
      </c>
      <c r="AI47" s="11">
        <v>1</v>
      </c>
      <c r="AJ47" s="11">
        <v>1</v>
      </c>
      <c r="AK47" s="11" t="s">
        <v>79</v>
      </c>
      <c r="AL47" s="11">
        <v>0.5</v>
      </c>
      <c r="AM47" s="11" t="s">
        <v>1315</v>
      </c>
      <c r="AN47" s="11" t="s">
        <v>67</v>
      </c>
      <c r="AO47" s="6"/>
      <c r="AP47" s="6" t="s">
        <v>241</v>
      </c>
      <c r="AQ47" s="6">
        <v>1</v>
      </c>
      <c r="AR47" s="6">
        <v>1</v>
      </c>
      <c r="AS47" s="6" t="s">
        <v>1316</v>
      </c>
      <c r="AT47" s="6" t="s">
        <v>1317</v>
      </c>
      <c r="AU47" s="6">
        <v>3</v>
      </c>
      <c r="AV47" s="7">
        <v>3</v>
      </c>
      <c r="AW47" s="6" t="s">
        <v>105</v>
      </c>
      <c r="AX47" s="6">
        <v>0.5</v>
      </c>
      <c r="AY47" s="6" t="s">
        <v>1318</v>
      </c>
      <c r="AZ47" s="6" t="s">
        <v>67</v>
      </c>
      <c r="BA47" s="9"/>
      <c r="BB47" s="9" t="s">
        <v>273</v>
      </c>
      <c r="BC47" s="9">
        <v>1</v>
      </c>
      <c r="BD47" s="9">
        <v>1</v>
      </c>
      <c r="BE47" s="9" t="s">
        <v>81</v>
      </c>
      <c r="BF47" s="9">
        <v>0.5</v>
      </c>
      <c r="BG47" s="9" t="s">
        <v>1319</v>
      </c>
      <c r="BH47" s="9" t="s">
        <v>42</v>
      </c>
      <c r="BI47" s="8"/>
      <c r="BJ47" s="8"/>
      <c r="BK47" s="8"/>
      <c r="BL47" s="8"/>
      <c r="BM47" s="8"/>
      <c r="BN47" s="8"/>
      <c r="BO47" s="8"/>
      <c r="BP47" s="8"/>
      <c r="BQ47" s="11"/>
      <c r="BR47" s="11"/>
      <c r="BS47" s="11"/>
      <c r="BT47" s="11"/>
      <c r="BU47" s="11"/>
      <c r="BV47" s="11"/>
      <c r="BW47" s="11"/>
      <c r="BX47" s="11"/>
      <c r="BY47" s="11"/>
      <c r="BZ47" s="11"/>
      <c r="CA47" s="11"/>
      <c r="CB47" s="22"/>
    </row>
    <row r="48" spans="1:80" s="31" customFormat="1" ht="18" customHeight="1">
      <c r="A48">
        <v>10047</v>
      </c>
      <c r="B48" s="8"/>
      <c r="C48" s="8" t="s">
        <v>1320</v>
      </c>
      <c r="D48" s="5">
        <v>1</v>
      </c>
      <c r="E48" s="5">
        <v>1</v>
      </c>
      <c r="F48" s="8" t="s">
        <v>1321</v>
      </c>
      <c r="G48" s="8"/>
      <c r="H48" s="8">
        <v>3</v>
      </c>
      <c r="I48" s="8" t="s">
        <v>1322</v>
      </c>
      <c r="J48" s="8" t="s">
        <v>67</v>
      </c>
      <c r="K48" s="6"/>
      <c r="L48" s="6" t="s">
        <v>1323</v>
      </c>
      <c r="M48" s="6">
        <v>1</v>
      </c>
      <c r="N48" s="6">
        <v>1</v>
      </c>
      <c r="O48" s="6" t="s">
        <v>1324</v>
      </c>
      <c r="P48" s="6" t="s">
        <v>1325</v>
      </c>
      <c r="Q48" s="7">
        <v>3</v>
      </c>
      <c r="R48" s="6" t="s">
        <v>1326</v>
      </c>
      <c r="S48" s="6">
        <v>0.5</v>
      </c>
      <c r="T48" s="6" t="s">
        <v>1327</v>
      </c>
      <c r="U48" s="6" t="s">
        <v>64</v>
      </c>
      <c r="V48" s="9"/>
      <c r="W48" s="9" t="s">
        <v>263</v>
      </c>
      <c r="X48" s="9">
        <v>1</v>
      </c>
      <c r="Y48" s="9">
        <v>1</v>
      </c>
      <c r="Z48" s="9" t="s">
        <v>1328</v>
      </c>
      <c r="AA48" s="9" t="s">
        <v>1329</v>
      </c>
      <c r="AB48" s="9">
        <v>3</v>
      </c>
      <c r="AC48" s="32" t="s">
        <v>1330</v>
      </c>
      <c r="AD48" s="9">
        <v>0.5</v>
      </c>
      <c r="AE48" s="9" t="s">
        <v>1331</v>
      </c>
      <c r="AF48" s="9" t="s">
        <v>37</v>
      </c>
      <c r="AG48" s="11"/>
      <c r="AH48" s="11" t="s">
        <v>1332</v>
      </c>
      <c r="AI48" s="11">
        <v>1</v>
      </c>
      <c r="AJ48" s="11">
        <v>1</v>
      </c>
      <c r="AK48" s="11" t="s">
        <v>1333</v>
      </c>
      <c r="AL48" s="11">
        <v>0.5</v>
      </c>
      <c r="AM48" s="11" t="s">
        <v>1334</v>
      </c>
      <c r="AN48" s="11" t="s">
        <v>67</v>
      </c>
      <c r="AO48" s="6"/>
      <c r="AP48" s="6" t="s">
        <v>450</v>
      </c>
      <c r="AQ48" s="6">
        <v>1</v>
      </c>
      <c r="AR48" s="6">
        <v>1</v>
      </c>
      <c r="AS48" s="6" t="s">
        <v>1335</v>
      </c>
      <c r="AT48" s="6" t="s">
        <v>1336</v>
      </c>
      <c r="AU48" s="6">
        <v>3</v>
      </c>
      <c r="AV48" s="7">
        <v>0</v>
      </c>
      <c r="AW48" s="6" t="s">
        <v>1337</v>
      </c>
      <c r="AX48" s="6">
        <v>1</v>
      </c>
      <c r="AY48" s="6" t="s">
        <v>1338</v>
      </c>
      <c r="AZ48" s="6" t="s">
        <v>64</v>
      </c>
      <c r="BA48" s="9"/>
      <c r="BB48" s="9" t="s">
        <v>1339</v>
      </c>
      <c r="BC48" s="9">
        <v>1</v>
      </c>
      <c r="BD48" s="9">
        <v>1</v>
      </c>
      <c r="BE48" s="9" t="s">
        <v>1340</v>
      </c>
      <c r="BF48" s="9">
        <v>1</v>
      </c>
      <c r="BG48" s="9" t="s">
        <v>1341</v>
      </c>
      <c r="BH48" s="9" t="s">
        <v>42</v>
      </c>
      <c r="BI48" s="8"/>
      <c r="BJ48" s="8" t="s">
        <v>1342</v>
      </c>
      <c r="BK48" s="8">
        <v>1</v>
      </c>
      <c r="BL48" s="8">
        <v>1</v>
      </c>
      <c r="BM48" s="8" t="s">
        <v>1343</v>
      </c>
      <c r="BN48" s="8">
        <v>0</v>
      </c>
      <c r="BO48" s="8" t="s">
        <v>1344</v>
      </c>
      <c r="BP48" s="8" t="s">
        <v>36</v>
      </c>
      <c r="BQ48" s="11"/>
      <c r="BR48" s="11" t="s">
        <v>1345</v>
      </c>
      <c r="BS48" s="11">
        <v>1</v>
      </c>
      <c r="BT48" s="11">
        <v>1</v>
      </c>
      <c r="BU48" s="11" t="s">
        <v>1346</v>
      </c>
      <c r="BV48" s="11" t="s">
        <v>1347</v>
      </c>
      <c r="BW48" s="11">
        <v>1</v>
      </c>
      <c r="BX48" s="11" t="s">
        <v>1348</v>
      </c>
      <c r="BY48" s="11">
        <v>0</v>
      </c>
      <c r="BZ48" s="11" t="s">
        <v>1349</v>
      </c>
      <c r="CA48" s="11" t="s">
        <v>42</v>
      </c>
      <c r="CB48" s="22"/>
    </row>
    <row r="49" spans="1:80" s="31" customFormat="1" ht="18" customHeight="1">
      <c r="A49">
        <v>10048</v>
      </c>
      <c r="B49" s="8"/>
      <c r="C49" s="8" t="s">
        <v>1350</v>
      </c>
      <c r="D49" s="5">
        <v>1</v>
      </c>
      <c r="E49" s="5">
        <v>1</v>
      </c>
      <c r="F49" s="8" t="s">
        <v>1351</v>
      </c>
      <c r="G49" s="8"/>
      <c r="H49" s="8">
        <v>3</v>
      </c>
      <c r="I49" s="8" t="s">
        <v>1352</v>
      </c>
      <c r="J49" s="8" t="s">
        <v>36</v>
      </c>
      <c r="K49" s="6"/>
      <c r="L49" s="6" t="s">
        <v>1353</v>
      </c>
      <c r="M49" s="6">
        <v>1</v>
      </c>
      <c r="N49" s="6">
        <v>1</v>
      </c>
      <c r="O49" s="6" t="s">
        <v>1354</v>
      </c>
      <c r="P49" s="6" t="s">
        <v>1355</v>
      </c>
      <c r="Q49" s="7">
        <v>0</v>
      </c>
      <c r="R49" s="6" t="s">
        <v>1356</v>
      </c>
      <c r="S49" s="6">
        <v>0.5</v>
      </c>
      <c r="T49" s="6" t="s">
        <v>1357</v>
      </c>
      <c r="U49" s="6" t="s">
        <v>64</v>
      </c>
      <c r="V49" s="9"/>
      <c r="W49" s="9" t="s">
        <v>565</v>
      </c>
      <c r="X49" s="9">
        <v>1</v>
      </c>
      <c r="Y49" s="9">
        <v>1</v>
      </c>
      <c r="Z49" s="9" t="s">
        <v>1358</v>
      </c>
      <c r="AA49" s="9" t="s">
        <v>1359</v>
      </c>
      <c r="AB49" s="9">
        <v>3</v>
      </c>
      <c r="AC49" s="32" t="s">
        <v>1360</v>
      </c>
      <c r="AD49" s="9">
        <v>0.5</v>
      </c>
      <c r="AE49" s="9" t="s">
        <v>1361</v>
      </c>
      <c r="AF49" s="9" t="s">
        <v>64</v>
      </c>
      <c r="AG49" s="11"/>
      <c r="AH49" s="11" t="s">
        <v>1362</v>
      </c>
      <c r="AI49" s="11">
        <v>1</v>
      </c>
      <c r="AJ49" s="11">
        <v>1</v>
      </c>
      <c r="AK49" s="11" t="s">
        <v>1363</v>
      </c>
      <c r="AL49" s="11">
        <v>1</v>
      </c>
      <c r="AM49" s="11" t="s">
        <v>1364</v>
      </c>
      <c r="AN49" s="11" t="s">
        <v>36</v>
      </c>
      <c r="AO49" s="6"/>
      <c r="AP49" s="6" t="s">
        <v>450</v>
      </c>
      <c r="AQ49" s="6">
        <v>1</v>
      </c>
      <c r="AR49" s="6">
        <v>1</v>
      </c>
      <c r="AS49" s="6" t="s">
        <v>1365</v>
      </c>
      <c r="AT49" s="6" t="s">
        <v>1366</v>
      </c>
      <c r="AU49" s="6">
        <v>3</v>
      </c>
      <c r="AV49" s="7">
        <v>3</v>
      </c>
      <c r="AW49" s="6" t="s">
        <v>1367</v>
      </c>
      <c r="AX49" s="6">
        <v>1</v>
      </c>
      <c r="AY49" s="6" t="s">
        <v>1368</v>
      </c>
      <c r="AZ49" s="6" t="s">
        <v>37</v>
      </c>
      <c r="BA49" s="9"/>
      <c r="BB49" s="9" t="s">
        <v>1369</v>
      </c>
      <c r="BC49" s="9">
        <v>1</v>
      </c>
      <c r="BD49" s="9">
        <v>1</v>
      </c>
      <c r="BE49" s="9" t="s">
        <v>1370</v>
      </c>
      <c r="BF49" s="9">
        <v>0.5</v>
      </c>
      <c r="BG49" s="9" t="s">
        <v>1371</v>
      </c>
      <c r="BH49" s="9" t="s">
        <v>42</v>
      </c>
      <c r="BI49" s="8"/>
      <c r="BJ49" s="8" t="s">
        <v>276</v>
      </c>
      <c r="BK49" s="8">
        <v>1</v>
      </c>
      <c r="BL49" s="8">
        <v>1</v>
      </c>
      <c r="BM49" s="8" t="s">
        <v>1372</v>
      </c>
      <c r="BN49" s="8">
        <v>0</v>
      </c>
      <c r="BO49" s="8" t="s">
        <v>1373</v>
      </c>
      <c r="BP49" s="8" t="s">
        <v>67</v>
      </c>
      <c r="BQ49" s="11"/>
      <c r="BR49" s="11" t="s">
        <v>1374</v>
      </c>
      <c r="BS49" s="11">
        <v>1</v>
      </c>
      <c r="BT49" s="11">
        <v>1</v>
      </c>
      <c r="BU49" s="11" t="s">
        <v>1375</v>
      </c>
      <c r="BV49" s="11" t="s">
        <v>1376</v>
      </c>
      <c r="BW49" s="11">
        <v>2</v>
      </c>
      <c r="BX49" s="11" t="s">
        <v>1377</v>
      </c>
      <c r="BY49" s="11">
        <v>0.5</v>
      </c>
      <c r="BZ49" s="11" t="s">
        <v>1378</v>
      </c>
      <c r="CA49" s="11" t="s">
        <v>42</v>
      </c>
      <c r="CB49" s="22"/>
    </row>
    <row r="50" spans="1:80" s="31" customFormat="1" ht="18" customHeight="1">
      <c r="A50">
        <v>10049</v>
      </c>
      <c r="B50" s="8"/>
      <c r="C50" s="8" t="s">
        <v>228</v>
      </c>
      <c r="D50" s="5">
        <v>1</v>
      </c>
      <c r="E50" s="5">
        <v>1</v>
      </c>
      <c r="F50" s="8" t="s">
        <v>101</v>
      </c>
      <c r="G50" s="8"/>
      <c r="H50" s="8">
        <v>0</v>
      </c>
      <c r="I50" s="8" t="s">
        <v>119</v>
      </c>
      <c r="J50" s="8" t="s">
        <v>42</v>
      </c>
      <c r="K50" s="6"/>
      <c r="L50" s="6" t="s">
        <v>230</v>
      </c>
      <c r="M50" s="6">
        <v>1</v>
      </c>
      <c r="N50" s="6">
        <v>1</v>
      </c>
      <c r="O50" s="6" t="s">
        <v>101</v>
      </c>
      <c r="P50" s="6" t="s">
        <v>101</v>
      </c>
      <c r="Q50" s="7">
        <v>0</v>
      </c>
      <c r="R50" s="6" t="s">
        <v>47</v>
      </c>
      <c r="S50" s="6">
        <v>0.5</v>
      </c>
      <c r="T50" s="6" t="s">
        <v>93</v>
      </c>
      <c r="U50" s="6" t="s">
        <v>42</v>
      </c>
      <c r="V50" s="9"/>
      <c r="W50" s="9" t="s">
        <v>313</v>
      </c>
      <c r="X50" s="9">
        <v>1</v>
      </c>
      <c r="Y50" s="9">
        <v>1</v>
      </c>
      <c r="Z50" s="9" t="s">
        <v>101</v>
      </c>
      <c r="AA50" s="9" t="s">
        <v>101</v>
      </c>
      <c r="AB50" s="9">
        <v>3</v>
      </c>
      <c r="AC50" s="32" t="s">
        <v>1103</v>
      </c>
      <c r="AD50" s="9">
        <v>0.5</v>
      </c>
      <c r="AE50" s="9" t="s">
        <v>119</v>
      </c>
      <c r="AF50" s="9" t="s">
        <v>42</v>
      </c>
      <c r="AG50" s="11"/>
      <c r="AH50" s="11" t="s">
        <v>238</v>
      </c>
      <c r="AI50" s="11">
        <v>1</v>
      </c>
      <c r="AJ50" s="11">
        <v>1</v>
      </c>
      <c r="AK50" s="11" t="s">
        <v>1379</v>
      </c>
      <c r="AL50" s="11">
        <v>0.5</v>
      </c>
      <c r="AM50" s="11" t="s">
        <v>119</v>
      </c>
      <c r="AN50" s="11" t="s">
        <v>42</v>
      </c>
      <c r="AO50" s="6"/>
      <c r="AP50" s="6" t="s">
        <v>591</v>
      </c>
      <c r="AQ50" s="6">
        <v>1</v>
      </c>
      <c r="AR50" s="6">
        <v>1</v>
      </c>
      <c r="AS50" s="6" t="s">
        <v>101</v>
      </c>
      <c r="AT50" s="6" t="s">
        <v>101</v>
      </c>
      <c r="AU50" s="6">
        <v>0</v>
      </c>
      <c r="AV50" s="7">
        <v>0</v>
      </c>
      <c r="AW50" s="6" t="s">
        <v>125</v>
      </c>
      <c r="AX50" s="6">
        <v>0.5</v>
      </c>
      <c r="AY50" s="6" t="s">
        <v>119</v>
      </c>
      <c r="AZ50" s="6" t="s">
        <v>42</v>
      </c>
      <c r="BA50" s="9"/>
      <c r="BB50" s="9" t="s">
        <v>1380</v>
      </c>
      <c r="BC50" s="9">
        <v>1</v>
      </c>
      <c r="BD50" s="9">
        <v>1</v>
      </c>
      <c r="BE50" s="9" t="s">
        <v>78</v>
      </c>
      <c r="BF50" s="9">
        <v>0.5</v>
      </c>
      <c r="BG50" s="9" t="s">
        <v>93</v>
      </c>
      <c r="BH50" s="9" t="s">
        <v>42</v>
      </c>
      <c r="BI50" s="8"/>
      <c r="BJ50" s="8" t="s">
        <v>483</v>
      </c>
      <c r="BK50" s="8">
        <v>1</v>
      </c>
      <c r="BL50" s="8">
        <v>1</v>
      </c>
      <c r="BM50" s="8" t="s">
        <v>1381</v>
      </c>
      <c r="BN50" s="8">
        <v>0.5</v>
      </c>
      <c r="BO50" s="8" t="s">
        <v>93</v>
      </c>
      <c r="BP50" s="8" t="s">
        <v>42</v>
      </c>
      <c r="BQ50" s="11"/>
      <c r="BR50" s="11" t="s">
        <v>383</v>
      </c>
      <c r="BS50" s="11">
        <v>1</v>
      </c>
      <c r="BT50" s="11">
        <v>1</v>
      </c>
      <c r="BU50" s="11" t="s">
        <v>101</v>
      </c>
      <c r="BV50" s="11" t="s">
        <v>101</v>
      </c>
      <c r="BW50" s="11">
        <v>0</v>
      </c>
      <c r="BX50" s="11" t="s">
        <v>125</v>
      </c>
      <c r="BY50" s="11">
        <v>0</v>
      </c>
      <c r="BZ50" s="11" t="s">
        <v>93</v>
      </c>
      <c r="CA50" s="11" t="s">
        <v>37</v>
      </c>
      <c r="CB50" s="22"/>
    </row>
    <row r="51" spans="1:80" s="31" customFormat="1" ht="18" customHeight="1">
      <c r="A51">
        <v>10050</v>
      </c>
      <c r="B51" s="8"/>
      <c r="C51" s="8" t="s">
        <v>1382</v>
      </c>
      <c r="D51" s="5">
        <v>1</v>
      </c>
      <c r="E51" s="5">
        <v>1</v>
      </c>
      <c r="F51" s="8" t="s">
        <v>1383</v>
      </c>
      <c r="G51" s="8"/>
      <c r="H51" s="8">
        <v>1</v>
      </c>
      <c r="I51" s="8" t="s">
        <v>1384</v>
      </c>
      <c r="J51" s="8" t="s">
        <v>42</v>
      </c>
      <c r="K51" s="6"/>
      <c r="L51" s="6" t="s">
        <v>1385</v>
      </c>
      <c r="M51" s="6">
        <v>1</v>
      </c>
      <c r="N51" s="6">
        <v>1</v>
      </c>
      <c r="O51" s="6" t="s">
        <v>1386</v>
      </c>
      <c r="P51" s="6" t="s">
        <v>1387</v>
      </c>
      <c r="Q51" s="7">
        <v>3</v>
      </c>
      <c r="R51" s="6" t="s">
        <v>566</v>
      </c>
      <c r="S51" s="6">
        <v>0</v>
      </c>
      <c r="T51" s="6" t="s">
        <v>45</v>
      </c>
      <c r="U51" s="6" t="s">
        <v>64</v>
      </c>
      <c r="V51" s="9"/>
      <c r="W51" s="9" t="s">
        <v>565</v>
      </c>
      <c r="X51" s="9">
        <v>1</v>
      </c>
      <c r="Y51" s="9">
        <v>1</v>
      </c>
      <c r="Z51" s="9" t="s">
        <v>1388</v>
      </c>
      <c r="AA51" s="9" t="s">
        <v>1389</v>
      </c>
      <c r="AB51" s="9">
        <v>0</v>
      </c>
      <c r="AC51" s="32" t="s">
        <v>1390</v>
      </c>
      <c r="AD51" s="9">
        <v>0</v>
      </c>
      <c r="AE51" s="9" t="s">
        <v>1391</v>
      </c>
      <c r="AF51" s="9" t="s">
        <v>64</v>
      </c>
      <c r="AG51" s="11"/>
      <c r="AH51" s="11" t="s">
        <v>238</v>
      </c>
      <c r="AI51" s="11">
        <v>1</v>
      </c>
      <c r="AJ51" s="11">
        <v>1</v>
      </c>
      <c r="AK51" s="11" t="s">
        <v>1392</v>
      </c>
      <c r="AL51" s="11">
        <v>1</v>
      </c>
      <c r="AM51" s="11" t="s">
        <v>1393</v>
      </c>
      <c r="AN51" s="11" t="s">
        <v>36</v>
      </c>
      <c r="AO51" s="6"/>
      <c r="AP51" s="6" t="s">
        <v>1394</v>
      </c>
      <c r="AQ51" s="6">
        <v>0.5</v>
      </c>
      <c r="AR51" s="6">
        <v>0.5</v>
      </c>
      <c r="AS51" s="6" t="s">
        <v>1395</v>
      </c>
      <c r="AT51" s="6" t="s">
        <v>1396</v>
      </c>
      <c r="AU51" s="6">
        <v>3</v>
      </c>
      <c r="AV51" s="7">
        <v>3</v>
      </c>
      <c r="AW51" s="6" t="s">
        <v>1397</v>
      </c>
      <c r="AX51" s="6">
        <v>1</v>
      </c>
      <c r="AY51" s="6" t="s">
        <v>1398</v>
      </c>
      <c r="AZ51" s="6" t="s">
        <v>67</v>
      </c>
      <c r="BA51" s="9"/>
      <c r="BB51" s="9" t="s">
        <v>1399</v>
      </c>
      <c r="BC51" s="9">
        <v>1</v>
      </c>
      <c r="BD51" s="9">
        <v>1</v>
      </c>
      <c r="BE51" s="9" t="s">
        <v>1400</v>
      </c>
      <c r="BF51" s="9">
        <v>1</v>
      </c>
      <c r="BG51" s="9" t="s">
        <v>1401</v>
      </c>
      <c r="BH51" s="9" t="s">
        <v>42</v>
      </c>
      <c r="BI51" s="8"/>
      <c r="BJ51" s="8" t="s">
        <v>248</v>
      </c>
      <c r="BK51" s="8">
        <v>1</v>
      </c>
      <c r="BL51" s="8">
        <v>1</v>
      </c>
      <c r="BM51" s="8" t="s">
        <v>1402</v>
      </c>
      <c r="BN51" s="8">
        <v>0</v>
      </c>
      <c r="BO51" s="8" t="s">
        <v>1403</v>
      </c>
      <c r="BP51" s="8" t="s">
        <v>43</v>
      </c>
      <c r="BQ51" s="11"/>
      <c r="BR51" s="11" t="s">
        <v>1404</v>
      </c>
      <c r="BS51" s="11">
        <v>1</v>
      </c>
      <c r="BT51" s="11">
        <v>0.5</v>
      </c>
      <c r="BU51" s="11" t="s">
        <v>1405</v>
      </c>
      <c r="BV51" s="11" t="s">
        <v>1406</v>
      </c>
      <c r="BW51" s="11">
        <v>3</v>
      </c>
      <c r="BX51" s="11" t="s">
        <v>1407</v>
      </c>
      <c r="BY51" s="11">
        <v>0</v>
      </c>
      <c r="BZ51" s="11" t="s">
        <v>1408</v>
      </c>
      <c r="CA51" s="11" t="s">
        <v>42</v>
      </c>
      <c r="CB51" s="22"/>
    </row>
    <row r="52" spans="1:80" s="31" customFormat="1" ht="18" customHeight="1">
      <c r="A52">
        <v>10051</v>
      </c>
      <c r="B52" s="8"/>
      <c r="C52" s="8" t="s">
        <v>1200</v>
      </c>
      <c r="D52" s="5">
        <v>1</v>
      </c>
      <c r="E52" s="5">
        <v>1</v>
      </c>
      <c r="F52" s="8" t="s">
        <v>1409</v>
      </c>
      <c r="G52" s="8"/>
      <c r="H52" s="8">
        <v>1</v>
      </c>
      <c r="I52" s="8" t="s">
        <v>1410</v>
      </c>
      <c r="J52" s="8" t="s">
        <v>42</v>
      </c>
      <c r="K52" s="6"/>
      <c r="L52" s="6" t="s">
        <v>708</v>
      </c>
      <c r="M52" s="6">
        <v>1</v>
      </c>
      <c r="N52" s="6">
        <v>1</v>
      </c>
      <c r="O52" s="6" t="s">
        <v>1411</v>
      </c>
      <c r="P52" s="6" t="s">
        <v>1412</v>
      </c>
      <c r="Q52" s="7">
        <v>3</v>
      </c>
      <c r="R52" s="6" t="s">
        <v>1413</v>
      </c>
      <c r="S52" s="6">
        <v>1</v>
      </c>
      <c r="T52" s="6" t="s">
        <v>1414</v>
      </c>
      <c r="U52" s="6" t="s">
        <v>64</v>
      </c>
      <c r="V52" s="9"/>
      <c r="W52" s="9" t="s">
        <v>609</v>
      </c>
      <c r="X52" s="9">
        <v>1</v>
      </c>
      <c r="Y52" s="9">
        <v>1</v>
      </c>
      <c r="Z52" s="9" t="s">
        <v>1415</v>
      </c>
      <c r="AA52" s="9" t="s">
        <v>1416</v>
      </c>
      <c r="AB52" s="9">
        <v>3</v>
      </c>
      <c r="AC52" s="32" t="s">
        <v>1417</v>
      </c>
      <c r="AD52" s="9">
        <v>0</v>
      </c>
      <c r="AE52" s="9" t="s">
        <v>1418</v>
      </c>
      <c r="AF52" s="9" t="s">
        <v>67</v>
      </c>
      <c r="AG52" s="11"/>
      <c r="AH52" s="11" t="s">
        <v>771</v>
      </c>
      <c r="AI52" s="11">
        <v>1</v>
      </c>
      <c r="AJ52" s="11">
        <v>1</v>
      </c>
      <c r="AK52" s="11" t="s">
        <v>1419</v>
      </c>
      <c r="AL52" s="11">
        <v>1</v>
      </c>
      <c r="AM52" s="11" t="s">
        <v>1420</v>
      </c>
      <c r="AN52" s="11" t="s">
        <v>36</v>
      </c>
      <c r="AO52" s="6"/>
      <c r="AP52" s="6" t="s">
        <v>352</v>
      </c>
      <c r="AQ52" s="6">
        <v>0.5</v>
      </c>
      <c r="AR52" s="6">
        <v>0.5</v>
      </c>
      <c r="AS52" s="6" t="s">
        <v>1421</v>
      </c>
      <c r="AT52" s="6" t="s">
        <v>1422</v>
      </c>
      <c r="AU52" s="6">
        <v>3</v>
      </c>
      <c r="AV52" s="7">
        <v>3</v>
      </c>
      <c r="AW52" s="6" t="s">
        <v>122</v>
      </c>
      <c r="AX52" s="6">
        <v>0.5</v>
      </c>
      <c r="AY52" s="6" t="s">
        <v>1423</v>
      </c>
      <c r="AZ52" s="6" t="s">
        <v>67</v>
      </c>
      <c r="BA52" s="9"/>
      <c r="BB52" s="9" t="s">
        <v>1424</v>
      </c>
      <c r="BC52" s="9">
        <v>1</v>
      </c>
      <c r="BD52" s="9">
        <v>1</v>
      </c>
      <c r="BE52" s="9" t="s">
        <v>1425</v>
      </c>
      <c r="BF52" s="9">
        <v>1</v>
      </c>
      <c r="BG52" s="9" t="s">
        <v>1426</v>
      </c>
      <c r="BH52" s="9" t="s">
        <v>42</v>
      </c>
      <c r="BI52" s="8"/>
      <c r="BJ52" s="8" t="s">
        <v>1009</v>
      </c>
      <c r="BK52" s="8">
        <v>1</v>
      </c>
      <c r="BL52" s="8">
        <v>1</v>
      </c>
      <c r="BM52" s="8" t="s">
        <v>1427</v>
      </c>
      <c r="BN52" s="8">
        <v>0.5</v>
      </c>
      <c r="BO52" s="8" t="s">
        <v>1428</v>
      </c>
      <c r="BP52" s="8" t="s">
        <v>67</v>
      </c>
      <c r="BQ52" s="11"/>
      <c r="BR52" s="11" t="s">
        <v>1429</v>
      </c>
      <c r="BS52" s="11">
        <v>1</v>
      </c>
      <c r="BT52" s="11">
        <v>1</v>
      </c>
      <c r="BU52" s="11" t="s">
        <v>1430</v>
      </c>
      <c r="BV52" s="11" t="s">
        <v>1431</v>
      </c>
      <c r="BW52" s="11">
        <v>3</v>
      </c>
      <c r="BX52" s="11" t="s">
        <v>1432</v>
      </c>
      <c r="BY52" s="11">
        <v>0.5</v>
      </c>
      <c r="BZ52" s="11" t="s">
        <v>1433</v>
      </c>
      <c r="CA52" s="11" t="s">
        <v>43</v>
      </c>
      <c r="CB52" s="22"/>
    </row>
    <row r="53" spans="1:80" s="31" customFormat="1" ht="18" customHeight="1">
      <c r="A53">
        <v>10052</v>
      </c>
      <c r="B53" s="8"/>
      <c r="C53" s="8" t="s">
        <v>1434</v>
      </c>
      <c r="D53" s="5">
        <v>1</v>
      </c>
      <c r="E53" s="5">
        <v>1</v>
      </c>
      <c r="F53" s="8" t="s">
        <v>1435</v>
      </c>
      <c r="G53" s="8"/>
      <c r="H53" s="8">
        <v>3</v>
      </c>
      <c r="I53" s="8" t="s">
        <v>1436</v>
      </c>
      <c r="J53" s="8" t="s">
        <v>67</v>
      </c>
      <c r="K53" s="6"/>
      <c r="L53" s="6" t="s">
        <v>1437</v>
      </c>
      <c r="M53" s="6">
        <v>1</v>
      </c>
      <c r="N53" s="6">
        <v>1</v>
      </c>
      <c r="O53" s="6" t="s">
        <v>1438</v>
      </c>
      <c r="P53" s="6" t="s">
        <v>1439</v>
      </c>
      <c r="Q53" s="7">
        <v>1</v>
      </c>
      <c r="R53" s="6" t="s">
        <v>1440</v>
      </c>
      <c r="S53" s="6">
        <v>0</v>
      </c>
      <c r="T53" s="6" t="s">
        <v>1441</v>
      </c>
      <c r="U53" s="6" t="s">
        <v>43</v>
      </c>
      <c r="V53" s="9"/>
      <c r="W53" s="9" t="s">
        <v>1442</v>
      </c>
      <c r="X53" s="9">
        <v>1</v>
      </c>
      <c r="Y53" s="9">
        <v>1</v>
      </c>
      <c r="Z53" s="9" t="s">
        <v>1443</v>
      </c>
      <c r="AA53" s="9" t="s">
        <v>1444</v>
      </c>
      <c r="AB53" s="9">
        <v>3</v>
      </c>
      <c r="AC53" s="32" t="s">
        <v>125</v>
      </c>
      <c r="AD53" s="9">
        <v>0</v>
      </c>
      <c r="AE53" s="9" t="s">
        <v>1445</v>
      </c>
      <c r="AF53" s="9" t="s">
        <v>42</v>
      </c>
      <c r="AG53" s="11"/>
      <c r="AH53" s="11" t="s">
        <v>1446</v>
      </c>
      <c r="AI53" s="11">
        <v>1</v>
      </c>
      <c r="AJ53" s="11">
        <v>1</v>
      </c>
      <c r="AK53" s="11" t="s">
        <v>1447</v>
      </c>
      <c r="AL53" s="11">
        <v>0.5</v>
      </c>
      <c r="AM53" s="11" t="s">
        <v>1448</v>
      </c>
      <c r="AN53" s="11" t="s">
        <v>42</v>
      </c>
      <c r="AO53" s="6"/>
      <c r="AP53" s="6" t="s">
        <v>1449</v>
      </c>
      <c r="AQ53" s="6">
        <v>1</v>
      </c>
      <c r="AR53" s="6">
        <v>1</v>
      </c>
      <c r="AS53" s="6" t="s">
        <v>1450</v>
      </c>
      <c r="AT53" s="6" t="s">
        <v>1451</v>
      </c>
      <c r="AU53" s="6">
        <v>3</v>
      </c>
      <c r="AV53" s="7">
        <v>0</v>
      </c>
      <c r="AW53" s="6" t="s">
        <v>62</v>
      </c>
      <c r="AX53" s="6">
        <v>0.5</v>
      </c>
      <c r="AY53" s="6" t="s">
        <v>1452</v>
      </c>
      <c r="AZ53" s="6" t="s">
        <v>35</v>
      </c>
      <c r="BA53" s="9"/>
      <c r="BB53" s="9" t="s">
        <v>1453</v>
      </c>
      <c r="BC53" s="9">
        <v>1</v>
      </c>
      <c r="BD53" s="9">
        <v>1</v>
      </c>
      <c r="BE53" s="9" t="s">
        <v>1454</v>
      </c>
      <c r="BF53" s="9">
        <v>0.5</v>
      </c>
      <c r="BG53" s="9" t="s">
        <v>1455</v>
      </c>
      <c r="BH53" s="9" t="s">
        <v>35</v>
      </c>
      <c r="BI53" s="8"/>
      <c r="BJ53" s="8" t="s">
        <v>1456</v>
      </c>
      <c r="BK53" s="8">
        <v>1</v>
      </c>
      <c r="BL53" s="8">
        <v>1</v>
      </c>
      <c r="BM53" s="8" t="s">
        <v>123</v>
      </c>
      <c r="BN53" s="8">
        <v>0</v>
      </c>
      <c r="BO53" s="8" t="s">
        <v>1457</v>
      </c>
      <c r="BP53" s="8" t="s">
        <v>67</v>
      </c>
      <c r="BQ53" s="11"/>
      <c r="BR53" s="11" t="s">
        <v>1458</v>
      </c>
      <c r="BS53" s="11">
        <v>1</v>
      </c>
      <c r="BT53" s="11">
        <v>1</v>
      </c>
      <c r="BU53" s="11" t="s">
        <v>1459</v>
      </c>
      <c r="BV53" s="11" t="s">
        <v>1460</v>
      </c>
      <c r="BW53" s="11">
        <v>3</v>
      </c>
      <c r="BX53" s="11" t="s">
        <v>62</v>
      </c>
      <c r="BY53" s="11">
        <v>0</v>
      </c>
      <c r="BZ53" s="11" t="s">
        <v>1461</v>
      </c>
      <c r="CA53" s="11" t="s">
        <v>43</v>
      </c>
      <c r="CB53" s="22"/>
    </row>
    <row r="54" spans="1:80" s="31" customFormat="1" ht="18" customHeight="1">
      <c r="A54">
        <v>10053</v>
      </c>
      <c r="B54" s="8"/>
      <c r="C54" s="8" t="s">
        <v>1462</v>
      </c>
      <c r="D54" s="5">
        <v>1</v>
      </c>
      <c r="E54" s="5">
        <v>1</v>
      </c>
      <c r="F54" s="8" t="s">
        <v>1463</v>
      </c>
      <c r="G54" s="8"/>
      <c r="H54" s="8">
        <v>2</v>
      </c>
      <c r="I54" s="8" t="s">
        <v>93</v>
      </c>
      <c r="J54" s="8" t="s">
        <v>42</v>
      </c>
      <c r="K54" s="6"/>
      <c r="L54" s="6" t="s">
        <v>1464</v>
      </c>
      <c r="M54" s="6">
        <v>1</v>
      </c>
      <c r="N54" s="6">
        <v>1</v>
      </c>
      <c r="O54" s="6" t="s">
        <v>1465</v>
      </c>
      <c r="P54" s="6" t="s">
        <v>1466</v>
      </c>
      <c r="Q54" s="7">
        <v>3</v>
      </c>
      <c r="R54" s="6" t="s">
        <v>1467</v>
      </c>
      <c r="S54" s="6">
        <v>0.5</v>
      </c>
      <c r="T54" s="6" t="s">
        <v>1468</v>
      </c>
      <c r="U54" s="6" t="s">
        <v>64</v>
      </c>
      <c r="V54" s="9"/>
      <c r="W54" s="9" t="s">
        <v>1469</v>
      </c>
      <c r="X54" s="9">
        <v>1</v>
      </c>
      <c r="Y54" s="9">
        <v>1</v>
      </c>
      <c r="Z54" s="9" t="s">
        <v>1470</v>
      </c>
      <c r="AA54" s="9" t="s">
        <v>1471</v>
      </c>
      <c r="AB54" s="9">
        <v>3</v>
      </c>
      <c r="AC54" s="32" t="s">
        <v>1472</v>
      </c>
      <c r="AD54" s="9">
        <v>0</v>
      </c>
      <c r="AE54" s="9" t="s">
        <v>98</v>
      </c>
      <c r="AF54" s="9" t="s">
        <v>67</v>
      </c>
      <c r="AG54" s="11"/>
      <c r="AH54" s="11" t="s">
        <v>1473</v>
      </c>
      <c r="AI54" s="11">
        <v>1</v>
      </c>
      <c r="AJ54" s="11">
        <v>1</v>
      </c>
      <c r="AK54" s="11" t="s">
        <v>104</v>
      </c>
      <c r="AL54" s="11">
        <v>0.5</v>
      </c>
      <c r="AM54" s="11" t="s">
        <v>1474</v>
      </c>
      <c r="AN54" s="11" t="s">
        <v>64</v>
      </c>
      <c r="AO54" s="6"/>
      <c r="AP54" s="6" t="s">
        <v>1475</v>
      </c>
      <c r="AQ54" s="6">
        <v>1</v>
      </c>
      <c r="AR54" s="6">
        <v>1</v>
      </c>
      <c r="AS54" s="6" t="s">
        <v>1476</v>
      </c>
      <c r="AT54" s="6" t="s">
        <v>1477</v>
      </c>
      <c r="AU54" s="6">
        <v>0</v>
      </c>
      <c r="AV54" s="7">
        <v>0</v>
      </c>
      <c r="AW54" s="6" t="s">
        <v>1478</v>
      </c>
      <c r="AX54" s="6">
        <v>0</v>
      </c>
      <c r="AY54" s="6" t="s">
        <v>1474</v>
      </c>
      <c r="AZ54" s="6" t="s">
        <v>64</v>
      </c>
      <c r="BA54" s="9"/>
      <c r="BB54" s="9" t="s">
        <v>1479</v>
      </c>
      <c r="BC54" s="9">
        <v>1</v>
      </c>
      <c r="BD54" s="9">
        <v>1</v>
      </c>
      <c r="BE54" s="9" t="s">
        <v>1480</v>
      </c>
      <c r="BF54" s="9">
        <v>0.5</v>
      </c>
      <c r="BG54" s="9" t="s">
        <v>93</v>
      </c>
      <c r="BH54" s="9" t="s">
        <v>42</v>
      </c>
      <c r="BI54" s="8"/>
      <c r="BJ54" s="8" t="s">
        <v>1481</v>
      </c>
      <c r="BK54" s="8">
        <v>1</v>
      </c>
      <c r="BL54" s="8">
        <v>1</v>
      </c>
      <c r="BM54" s="8" t="s">
        <v>1482</v>
      </c>
      <c r="BN54" s="8">
        <v>0</v>
      </c>
      <c r="BO54" s="8" t="s">
        <v>93</v>
      </c>
      <c r="BP54" s="8" t="s">
        <v>42</v>
      </c>
      <c r="BQ54" s="11"/>
      <c r="BR54" s="11" t="s">
        <v>1483</v>
      </c>
      <c r="BS54" s="11">
        <v>1</v>
      </c>
      <c r="BT54" s="11">
        <v>0.5</v>
      </c>
      <c r="BU54" s="11" t="s">
        <v>1484</v>
      </c>
      <c r="BV54" s="11" t="s">
        <v>1485</v>
      </c>
      <c r="BW54" s="11">
        <v>2</v>
      </c>
      <c r="BX54" s="11" t="s">
        <v>1486</v>
      </c>
      <c r="BY54" s="11">
        <v>0</v>
      </c>
      <c r="BZ54" s="11" t="s">
        <v>91</v>
      </c>
      <c r="CA54" s="11" t="s">
        <v>37</v>
      </c>
      <c r="CB54" s="22"/>
    </row>
    <row r="55" spans="1:80" s="31" customFormat="1" ht="18" customHeight="1">
      <c r="A55">
        <v>10054</v>
      </c>
      <c r="B55" s="8"/>
      <c r="C55" s="8" t="s">
        <v>228</v>
      </c>
      <c r="D55" s="5">
        <v>1</v>
      </c>
      <c r="E55" s="5">
        <v>1</v>
      </c>
      <c r="F55" s="8" t="s">
        <v>1487</v>
      </c>
      <c r="G55" s="8"/>
      <c r="H55" s="8">
        <v>3</v>
      </c>
      <c r="I55" s="8" t="s">
        <v>1488</v>
      </c>
      <c r="J55" s="8" t="s">
        <v>42</v>
      </c>
      <c r="K55" s="6"/>
      <c r="L55" s="6" t="s">
        <v>230</v>
      </c>
      <c r="M55" s="6">
        <v>1</v>
      </c>
      <c r="N55" s="6">
        <v>1</v>
      </c>
      <c r="O55" s="6" t="s">
        <v>1489</v>
      </c>
      <c r="P55" s="6" t="s">
        <v>132</v>
      </c>
      <c r="Q55" s="7">
        <v>3</v>
      </c>
      <c r="R55" s="6" t="s">
        <v>608</v>
      </c>
      <c r="S55" s="6">
        <v>0.5</v>
      </c>
      <c r="T55" s="6" t="s">
        <v>1490</v>
      </c>
      <c r="U55" s="6" t="s">
        <v>64</v>
      </c>
      <c r="V55" s="9"/>
      <c r="W55" s="9" t="s">
        <v>313</v>
      </c>
      <c r="X55" s="9">
        <v>1</v>
      </c>
      <c r="Y55" s="9">
        <v>1</v>
      </c>
      <c r="Z55" s="9" t="s">
        <v>1491</v>
      </c>
      <c r="AA55" s="9" t="s">
        <v>132</v>
      </c>
      <c r="AB55" s="9">
        <v>3</v>
      </c>
      <c r="AC55" s="32" t="s">
        <v>1492</v>
      </c>
      <c r="AD55" s="9">
        <v>0.5</v>
      </c>
      <c r="AE55" s="9" t="s">
        <v>1493</v>
      </c>
      <c r="AF55" s="9" t="s">
        <v>67</v>
      </c>
      <c r="AG55" s="11"/>
      <c r="AH55" s="11" t="s">
        <v>238</v>
      </c>
      <c r="AI55" s="11">
        <v>1</v>
      </c>
      <c r="AJ55" s="11">
        <v>1</v>
      </c>
      <c r="AK55" s="11" t="s">
        <v>1494</v>
      </c>
      <c r="AL55" s="11">
        <v>0.5</v>
      </c>
      <c r="AM55" s="11" t="s">
        <v>1495</v>
      </c>
      <c r="AN55" s="11" t="s">
        <v>36</v>
      </c>
      <c r="AO55" s="6"/>
      <c r="AP55" s="6" t="s">
        <v>1238</v>
      </c>
      <c r="AQ55" s="6">
        <v>0.5</v>
      </c>
      <c r="AR55" s="6">
        <v>0.5</v>
      </c>
      <c r="AS55" s="6" t="s">
        <v>1496</v>
      </c>
      <c r="AT55" s="6" t="s">
        <v>193</v>
      </c>
      <c r="AU55" s="6">
        <v>3</v>
      </c>
      <c r="AV55" s="7">
        <v>0</v>
      </c>
      <c r="AW55" s="6" t="s">
        <v>1497</v>
      </c>
      <c r="AX55" s="6">
        <v>0</v>
      </c>
      <c r="AY55" s="6" t="s">
        <v>1498</v>
      </c>
      <c r="AZ55" s="6" t="s">
        <v>43</v>
      </c>
      <c r="BA55" s="9"/>
      <c r="BB55" s="9" t="s">
        <v>1499</v>
      </c>
      <c r="BC55" s="9">
        <v>1</v>
      </c>
      <c r="BD55" s="9">
        <v>1</v>
      </c>
      <c r="BE55" s="9" t="s">
        <v>1500</v>
      </c>
      <c r="BF55" s="9">
        <v>0.5</v>
      </c>
      <c r="BG55" s="9" t="s">
        <v>1501</v>
      </c>
      <c r="BH55" s="9" t="s">
        <v>37</v>
      </c>
      <c r="BI55" s="8"/>
      <c r="BJ55" s="8" t="s">
        <v>328</v>
      </c>
      <c r="BK55" s="8">
        <v>1</v>
      </c>
      <c r="BL55" s="8">
        <v>1</v>
      </c>
      <c r="BM55" s="8" t="s">
        <v>1502</v>
      </c>
      <c r="BN55" s="8">
        <v>0</v>
      </c>
      <c r="BO55" s="8" t="s">
        <v>1503</v>
      </c>
      <c r="BP55" s="8" t="s">
        <v>42</v>
      </c>
      <c r="BQ55" s="11"/>
      <c r="BR55" s="11" t="s">
        <v>383</v>
      </c>
      <c r="BS55" s="11">
        <v>1</v>
      </c>
      <c r="BT55" s="11">
        <v>1</v>
      </c>
      <c r="BU55" s="11" t="s">
        <v>1504</v>
      </c>
      <c r="BV55" s="11" t="s">
        <v>1505</v>
      </c>
      <c r="BW55" s="11">
        <v>3</v>
      </c>
      <c r="BX55" s="11" t="s">
        <v>1506</v>
      </c>
      <c r="BY55" s="11">
        <v>0</v>
      </c>
      <c r="BZ55" s="11" t="s">
        <v>1507</v>
      </c>
      <c r="CA55" s="11" t="s">
        <v>67</v>
      </c>
      <c r="CB55" s="22"/>
    </row>
    <row r="56" spans="1:80" s="31" customFormat="1" ht="18" customHeight="1">
      <c r="A56">
        <v>10055</v>
      </c>
      <c r="B56" s="8"/>
      <c r="C56" s="8" t="s">
        <v>1508</v>
      </c>
      <c r="D56" s="5">
        <v>1</v>
      </c>
      <c r="E56" s="5">
        <v>1</v>
      </c>
      <c r="F56" s="8" t="s">
        <v>1509</v>
      </c>
      <c r="G56" s="8"/>
      <c r="H56" s="8">
        <v>3</v>
      </c>
      <c r="I56" s="8" t="s">
        <v>1510</v>
      </c>
      <c r="J56" s="8" t="s">
        <v>42</v>
      </c>
      <c r="K56" s="6"/>
      <c r="L56" s="6" t="s">
        <v>1511</v>
      </c>
      <c r="M56" s="6">
        <v>1</v>
      </c>
      <c r="N56" s="6">
        <v>1</v>
      </c>
      <c r="O56" s="6" t="s">
        <v>1512</v>
      </c>
      <c r="P56" s="6" t="s">
        <v>1513</v>
      </c>
      <c r="Q56" s="7">
        <v>3</v>
      </c>
      <c r="R56" s="6" t="s">
        <v>1514</v>
      </c>
      <c r="S56" s="6">
        <v>1</v>
      </c>
      <c r="T56" s="6" t="s">
        <v>1515</v>
      </c>
      <c r="U56" s="6" t="s">
        <v>35</v>
      </c>
      <c r="V56" s="9"/>
      <c r="W56" s="9" t="s">
        <v>1516</v>
      </c>
      <c r="X56" s="9">
        <v>1</v>
      </c>
      <c r="Y56" s="9">
        <v>1</v>
      </c>
      <c r="Z56" s="9" t="s">
        <v>1517</v>
      </c>
      <c r="AA56" s="9" t="s">
        <v>1518</v>
      </c>
      <c r="AB56" s="9">
        <v>3</v>
      </c>
      <c r="AC56" s="32" t="s">
        <v>1519</v>
      </c>
      <c r="AD56" s="9">
        <v>1</v>
      </c>
      <c r="AE56" s="9" t="s">
        <v>1510</v>
      </c>
      <c r="AF56" s="9" t="s">
        <v>67</v>
      </c>
      <c r="AG56" s="11"/>
      <c r="AH56" s="11" t="s">
        <v>1520</v>
      </c>
      <c r="AI56" s="11">
        <v>1</v>
      </c>
      <c r="AJ56" s="11">
        <v>1</v>
      </c>
      <c r="AK56" s="11" t="s">
        <v>1521</v>
      </c>
      <c r="AL56" s="11">
        <v>0.5</v>
      </c>
      <c r="AM56" s="11" t="s">
        <v>1522</v>
      </c>
      <c r="AN56" s="11" t="s">
        <v>42</v>
      </c>
      <c r="AO56" s="6"/>
      <c r="AP56" s="6" t="s">
        <v>1523</v>
      </c>
      <c r="AQ56" s="6">
        <v>0.5</v>
      </c>
      <c r="AR56" s="6">
        <v>0.5</v>
      </c>
      <c r="AS56" s="6" t="s">
        <v>1524</v>
      </c>
      <c r="AT56" s="6" t="s">
        <v>1525</v>
      </c>
      <c r="AU56" s="6">
        <v>0</v>
      </c>
      <c r="AV56" s="7">
        <v>0</v>
      </c>
      <c r="AW56" s="6" t="s">
        <v>62</v>
      </c>
      <c r="AX56" s="6">
        <v>0.5</v>
      </c>
      <c r="AY56" s="6" t="s">
        <v>1526</v>
      </c>
      <c r="AZ56" s="6" t="s">
        <v>35</v>
      </c>
      <c r="BA56" s="9"/>
      <c r="BB56" s="9" t="s">
        <v>1527</v>
      </c>
      <c r="BC56" s="9">
        <v>1</v>
      </c>
      <c r="BD56" s="9">
        <v>1</v>
      </c>
      <c r="BE56" s="9" t="s">
        <v>1528</v>
      </c>
      <c r="BF56" s="9">
        <v>1</v>
      </c>
      <c r="BG56" s="9" t="s">
        <v>1529</v>
      </c>
      <c r="BH56" s="9" t="s">
        <v>35</v>
      </c>
      <c r="BI56" s="8"/>
      <c r="BJ56" s="8" t="s">
        <v>1530</v>
      </c>
      <c r="BK56" s="8">
        <v>1</v>
      </c>
      <c r="BL56" s="8">
        <v>1</v>
      </c>
      <c r="BM56" s="8" t="s">
        <v>1531</v>
      </c>
      <c r="BN56" s="8">
        <v>1</v>
      </c>
      <c r="BO56" s="8" t="s">
        <v>1532</v>
      </c>
      <c r="BP56" s="8" t="s">
        <v>37</v>
      </c>
      <c r="BQ56" s="11"/>
      <c r="BR56" s="11" t="s">
        <v>1533</v>
      </c>
      <c r="BS56" s="11">
        <v>1</v>
      </c>
      <c r="BT56" s="11">
        <v>0.5</v>
      </c>
      <c r="BU56" s="11" t="s">
        <v>1534</v>
      </c>
      <c r="BV56" s="11" t="s">
        <v>1535</v>
      </c>
      <c r="BW56" s="11">
        <v>3</v>
      </c>
      <c r="BX56" s="11" t="s">
        <v>62</v>
      </c>
      <c r="BY56" s="11">
        <v>1</v>
      </c>
      <c r="BZ56" s="11" t="s">
        <v>1536</v>
      </c>
      <c r="CA56" s="11" t="s">
        <v>36</v>
      </c>
      <c r="CB56" s="22"/>
    </row>
    <row r="57" spans="1:80" s="31" customFormat="1" ht="18" customHeight="1">
      <c r="A57">
        <v>10056</v>
      </c>
      <c r="B57" s="8"/>
      <c r="C57" s="8" t="s">
        <v>1537</v>
      </c>
      <c r="D57" s="5">
        <v>1</v>
      </c>
      <c r="E57" s="5">
        <v>1</v>
      </c>
      <c r="F57" s="8" t="s">
        <v>1538</v>
      </c>
      <c r="G57" s="8"/>
      <c r="H57" s="8">
        <v>2</v>
      </c>
      <c r="I57" s="8" t="s">
        <v>1539</v>
      </c>
      <c r="J57" s="8" t="s">
        <v>67</v>
      </c>
      <c r="K57" s="6"/>
      <c r="L57" s="6" t="s">
        <v>1540</v>
      </c>
      <c r="M57" s="6">
        <v>1</v>
      </c>
      <c r="N57" s="6">
        <v>1</v>
      </c>
      <c r="O57" s="6" t="s">
        <v>1541</v>
      </c>
      <c r="P57" s="6" t="s">
        <v>1542</v>
      </c>
      <c r="Q57" s="7">
        <v>2</v>
      </c>
      <c r="R57" s="6" t="s">
        <v>1543</v>
      </c>
      <c r="S57" s="6">
        <v>1</v>
      </c>
      <c r="T57" s="6" t="s">
        <v>1544</v>
      </c>
      <c r="U57" s="6" t="s">
        <v>42</v>
      </c>
      <c r="V57" s="9"/>
      <c r="W57" s="9" t="s">
        <v>565</v>
      </c>
      <c r="X57" s="9">
        <v>1</v>
      </c>
      <c r="Y57" s="9">
        <v>1</v>
      </c>
      <c r="Z57" s="9" t="s">
        <v>1545</v>
      </c>
      <c r="AA57" s="9" t="s">
        <v>1546</v>
      </c>
      <c r="AB57" s="9">
        <v>2</v>
      </c>
      <c r="AC57" s="32" t="s">
        <v>1547</v>
      </c>
      <c r="AD57" s="9">
        <v>0.5</v>
      </c>
      <c r="AE57" s="9" t="s">
        <v>1548</v>
      </c>
      <c r="AF57" s="9" t="s">
        <v>42</v>
      </c>
      <c r="AG57" s="11"/>
      <c r="AH57" s="11" t="s">
        <v>1549</v>
      </c>
      <c r="AI57" s="11">
        <v>1</v>
      </c>
      <c r="AJ57" s="11">
        <v>1</v>
      </c>
      <c r="AK57" s="11" t="s">
        <v>1550</v>
      </c>
      <c r="AL57" s="11">
        <v>0.5</v>
      </c>
      <c r="AM57" s="11" t="s">
        <v>1551</v>
      </c>
      <c r="AN57" s="11" t="s">
        <v>64</v>
      </c>
      <c r="AO57" s="6"/>
      <c r="AP57" s="6" t="s">
        <v>1552</v>
      </c>
      <c r="AQ57" s="6">
        <v>0.5</v>
      </c>
      <c r="AR57" s="6">
        <v>0.5</v>
      </c>
      <c r="AS57" s="6" t="s">
        <v>135</v>
      </c>
      <c r="AT57" s="6" t="s">
        <v>1553</v>
      </c>
      <c r="AU57" s="6">
        <v>0</v>
      </c>
      <c r="AV57" s="7">
        <v>0</v>
      </c>
      <c r="AW57" s="6" t="s">
        <v>80</v>
      </c>
      <c r="AX57" s="6">
        <v>0.5</v>
      </c>
      <c r="AY57" s="6" t="s">
        <v>1554</v>
      </c>
      <c r="AZ57" s="6" t="s">
        <v>42</v>
      </c>
      <c r="BA57" s="9"/>
      <c r="BB57" s="9" t="s">
        <v>1555</v>
      </c>
      <c r="BC57" s="9">
        <v>1</v>
      </c>
      <c r="BD57" s="9">
        <v>1</v>
      </c>
      <c r="BE57" s="9" t="s">
        <v>81</v>
      </c>
      <c r="BF57" s="9">
        <v>0.5</v>
      </c>
      <c r="BG57" s="9" t="s">
        <v>1556</v>
      </c>
      <c r="BH57" s="9" t="s">
        <v>36</v>
      </c>
      <c r="BI57" s="8"/>
      <c r="BJ57" s="8" t="s">
        <v>1557</v>
      </c>
      <c r="BK57" s="8">
        <v>1</v>
      </c>
      <c r="BL57" s="8">
        <v>1</v>
      </c>
      <c r="BM57" s="8" t="s">
        <v>1558</v>
      </c>
      <c r="BN57" s="8">
        <v>0.5</v>
      </c>
      <c r="BO57" s="8" t="s">
        <v>1559</v>
      </c>
      <c r="BP57" s="8" t="s">
        <v>42</v>
      </c>
      <c r="BQ57" s="11"/>
      <c r="BR57" s="11" t="s">
        <v>1560</v>
      </c>
      <c r="BS57" s="11">
        <v>1</v>
      </c>
      <c r="BT57" s="11">
        <v>1</v>
      </c>
      <c r="BU57" s="11" t="s">
        <v>1561</v>
      </c>
      <c r="BV57" s="11" t="s">
        <v>1562</v>
      </c>
      <c r="BW57" s="11">
        <v>1</v>
      </c>
      <c r="BX57" s="11" t="s">
        <v>1563</v>
      </c>
      <c r="BY57" s="11">
        <v>0</v>
      </c>
      <c r="BZ57" s="11" t="s">
        <v>711</v>
      </c>
      <c r="CA57" s="11" t="s">
        <v>37</v>
      </c>
      <c r="CB57" s="22"/>
    </row>
    <row r="58" spans="1:80" s="31" customFormat="1" ht="18" customHeight="1">
      <c r="A58">
        <v>10057</v>
      </c>
      <c r="B58" s="8"/>
      <c r="C58" s="8" t="s">
        <v>228</v>
      </c>
      <c r="D58" s="5">
        <v>1</v>
      </c>
      <c r="E58" s="5">
        <v>1</v>
      </c>
      <c r="F58" s="8" t="s">
        <v>1564</v>
      </c>
      <c r="G58" s="8"/>
      <c r="H58" s="8">
        <v>0</v>
      </c>
      <c r="I58" s="8" t="s">
        <v>1565</v>
      </c>
      <c r="J58" s="8" t="s">
        <v>35</v>
      </c>
      <c r="K58" s="6"/>
      <c r="L58" s="6" t="s">
        <v>230</v>
      </c>
      <c r="M58" s="6">
        <v>1</v>
      </c>
      <c r="N58" s="6">
        <v>1</v>
      </c>
      <c r="O58" s="6" t="s">
        <v>1566</v>
      </c>
      <c r="P58" s="6" t="s">
        <v>1567</v>
      </c>
      <c r="Q58" s="7">
        <v>3</v>
      </c>
      <c r="R58" s="6" t="s">
        <v>1568</v>
      </c>
      <c r="S58" s="6">
        <v>0.5</v>
      </c>
      <c r="T58" s="6" t="s">
        <v>1569</v>
      </c>
      <c r="U58" s="6" t="s">
        <v>36</v>
      </c>
      <c r="V58" s="9"/>
      <c r="W58" s="9" t="s">
        <v>313</v>
      </c>
      <c r="X58" s="9">
        <v>1</v>
      </c>
      <c r="Y58" s="9">
        <v>1</v>
      </c>
      <c r="Z58" s="9" t="s">
        <v>1570</v>
      </c>
      <c r="AA58" s="9" t="s">
        <v>1571</v>
      </c>
      <c r="AB58" s="9">
        <v>3</v>
      </c>
      <c r="AC58" s="32" t="s">
        <v>1572</v>
      </c>
      <c r="AD58" s="9">
        <v>0.5</v>
      </c>
      <c r="AE58" s="9" t="s">
        <v>1573</v>
      </c>
      <c r="AF58" s="9" t="s">
        <v>42</v>
      </c>
      <c r="AG58" s="11"/>
      <c r="AH58" s="11" t="s">
        <v>1574</v>
      </c>
      <c r="AI58" s="11">
        <v>1</v>
      </c>
      <c r="AJ58" s="11">
        <v>1</v>
      </c>
      <c r="AK58" s="11" t="s">
        <v>1575</v>
      </c>
      <c r="AL58" s="11">
        <v>1</v>
      </c>
      <c r="AM58" s="11" t="s">
        <v>1576</v>
      </c>
      <c r="AN58" s="11" t="s">
        <v>42</v>
      </c>
      <c r="AO58" s="6"/>
      <c r="AP58" s="6" t="s">
        <v>591</v>
      </c>
      <c r="AQ58" s="6">
        <v>1</v>
      </c>
      <c r="AR58" s="6">
        <v>1</v>
      </c>
      <c r="AS58" s="6" t="s">
        <v>1577</v>
      </c>
      <c r="AT58" s="6" t="s">
        <v>1578</v>
      </c>
      <c r="AU58" s="6">
        <v>3</v>
      </c>
      <c r="AV58" s="7">
        <v>3</v>
      </c>
      <c r="AW58" s="6" t="s">
        <v>1579</v>
      </c>
      <c r="AX58" s="6">
        <v>1</v>
      </c>
      <c r="AY58" s="6" t="s">
        <v>1580</v>
      </c>
      <c r="AZ58" s="6" t="s">
        <v>67</v>
      </c>
      <c r="BA58" s="9"/>
      <c r="BB58" s="9" t="s">
        <v>1380</v>
      </c>
      <c r="BC58" s="9">
        <v>1</v>
      </c>
      <c r="BD58" s="9">
        <v>1</v>
      </c>
      <c r="BE58" s="9" t="s">
        <v>1581</v>
      </c>
      <c r="BF58" s="9">
        <v>1</v>
      </c>
      <c r="BG58" s="9" t="s">
        <v>1582</v>
      </c>
      <c r="BH58" s="9" t="s">
        <v>43</v>
      </c>
      <c r="BI58" s="8"/>
      <c r="BJ58" s="8" t="s">
        <v>248</v>
      </c>
      <c r="BK58" s="8">
        <v>1</v>
      </c>
      <c r="BL58" s="8">
        <v>1</v>
      </c>
      <c r="BM58" s="8" t="s">
        <v>1583</v>
      </c>
      <c r="BN58" s="8">
        <v>0</v>
      </c>
      <c r="BO58" s="8" t="s">
        <v>1584</v>
      </c>
      <c r="BP58" s="8" t="s">
        <v>37</v>
      </c>
      <c r="BQ58" s="11"/>
      <c r="BR58" s="11" t="s">
        <v>383</v>
      </c>
      <c r="BS58" s="11">
        <v>1</v>
      </c>
      <c r="BT58" s="11">
        <v>1</v>
      </c>
      <c r="BU58" s="11" t="s">
        <v>1585</v>
      </c>
      <c r="BV58" s="11" t="s">
        <v>1586</v>
      </c>
      <c r="BW58" s="11">
        <v>3</v>
      </c>
      <c r="BX58" s="11" t="s">
        <v>1587</v>
      </c>
      <c r="BY58" s="11">
        <v>0</v>
      </c>
      <c r="BZ58" s="11" t="s">
        <v>1588</v>
      </c>
      <c r="CA58" s="11" t="s">
        <v>67</v>
      </c>
      <c r="CB58" s="22"/>
    </row>
    <row r="59" spans="1:80" s="31" customFormat="1" ht="18" customHeight="1">
      <c r="A59">
        <v>10058</v>
      </c>
      <c r="B59" s="8"/>
      <c r="C59" s="8" t="s">
        <v>228</v>
      </c>
      <c r="D59" s="5">
        <v>1</v>
      </c>
      <c r="E59" s="5">
        <v>1</v>
      </c>
      <c r="F59" s="8" t="s">
        <v>1589</v>
      </c>
      <c r="G59" s="8"/>
      <c r="H59" s="8">
        <v>3</v>
      </c>
      <c r="I59" s="8" t="s">
        <v>1590</v>
      </c>
      <c r="J59" s="8" t="s">
        <v>42</v>
      </c>
      <c r="K59" s="6"/>
      <c r="L59" s="6" t="s">
        <v>230</v>
      </c>
      <c r="M59" s="6">
        <v>1</v>
      </c>
      <c r="N59" s="6">
        <v>1</v>
      </c>
      <c r="O59" s="6" t="s">
        <v>1591</v>
      </c>
      <c r="P59" s="6" t="s">
        <v>1592</v>
      </c>
      <c r="Q59" s="7">
        <v>3</v>
      </c>
      <c r="R59" s="6" t="s">
        <v>148</v>
      </c>
      <c r="S59" s="6">
        <v>0.5</v>
      </c>
      <c r="T59" s="6" t="s">
        <v>1593</v>
      </c>
      <c r="U59" s="6" t="s">
        <v>35</v>
      </c>
      <c r="V59" s="9"/>
      <c r="W59" s="9" t="s">
        <v>313</v>
      </c>
      <c r="X59" s="9">
        <v>1</v>
      </c>
      <c r="Y59" s="9">
        <v>1</v>
      </c>
      <c r="Z59" s="9" t="s">
        <v>1594</v>
      </c>
      <c r="AA59" s="9" t="s">
        <v>1595</v>
      </c>
      <c r="AB59" s="9">
        <v>3</v>
      </c>
      <c r="AC59" s="32" t="s">
        <v>125</v>
      </c>
      <c r="AD59" s="9">
        <v>0</v>
      </c>
      <c r="AE59" s="9" t="s">
        <v>1596</v>
      </c>
      <c r="AF59" s="9" t="s">
        <v>42</v>
      </c>
      <c r="AG59" s="11"/>
      <c r="AH59" s="11" t="s">
        <v>1597</v>
      </c>
      <c r="AI59" s="11">
        <v>1</v>
      </c>
      <c r="AJ59" s="11">
        <v>1</v>
      </c>
      <c r="AK59" s="11" t="s">
        <v>137</v>
      </c>
      <c r="AL59" s="11">
        <v>0.5</v>
      </c>
      <c r="AM59" s="11" t="s">
        <v>1598</v>
      </c>
      <c r="AN59" s="11" t="s">
        <v>36</v>
      </c>
      <c r="AO59" s="6"/>
      <c r="AP59" s="6" t="s">
        <v>320</v>
      </c>
      <c r="AQ59" s="6">
        <v>1</v>
      </c>
      <c r="AR59" s="6">
        <v>1</v>
      </c>
      <c r="AS59" s="6" t="s">
        <v>1599</v>
      </c>
      <c r="AT59" s="6" t="s">
        <v>1600</v>
      </c>
      <c r="AU59" s="6">
        <v>3</v>
      </c>
      <c r="AV59" s="7">
        <v>3</v>
      </c>
      <c r="AW59" s="6" t="s">
        <v>125</v>
      </c>
      <c r="AX59" s="6">
        <v>0.5</v>
      </c>
      <c r="AY59" s="6" t="s">
        <v>1601</v>
      </c>
      <c r="AZ59" s="6" t="s">
        <v>67</v>
      </c>
      <c r="BA59" s="9"/>
      <c r="BB59" s="9" t="s">
        <v>1602</v>
      </c>
      <c r="BC59" s="9">
        <v>1</v>
      </c>
      <c r="BD59" s="9">
        <v>1</v>
      </c>
      <c r="BE59" s="9" t="s">
        <v>69</v>
      </c>
      <c r="BF59" s="9">
        <v>0.5</v>
      </c>
      <c r="BG59" s="9" t="s">
        <v>1603</v>
      </c>
      <c r="BH59" s="9" t="s">
        <v>35</v>
      </c>
      <c r="BI59" s="8"/>
      <c r="BJ59" s="8" t="s">
        <v>248</v>
      </c>
      <c r="BK59" s="8">
        <v>1</v>
      </c>
      <c r="BL59" s="8">
        <v>1</v>
      </c>
      <c r="BM59" s="8" t="s">
        <v>1604</v>
      </c>
      <c r="BN59" s="8">
        <v>0</v>
      </c>
      <c r="BO59" s="8" t="s">
        <v>1605</v>
      </c>
      <c r="BP59" s="8" t="s">
        <v>35</v>
      </c>
      <c r="BQ59" s="11"/>
      <c r="BR59" s="11" t="s">
        <v>383</v>
      </c>
      <c r="BS59" s="11">
        <v>1</v>
      </c>
      <c r="BT59" s="11">
        <v>1</v>
      </c>
      <c r="BU59" s="11" t="s">
        <v>1606</v>
      </c>
      <c r="BV59" s="11" t="s">
        <v>1607</v>
      </c>
      <c r="BW59" s="11">
        <v>3</v>
      </c>
      <c r="BX59" s="11" t="s">
        <v>1608</v>
      </c>
      <c r="BY59" s="11">
        <v>0</v>
      </c>
      <c r="BZ59" s="11" t="s">
        <v>1609</v>
      </c>
      <c r="CA59" s="11" t="s">
        <v>67</v>
      </c>
      <c r="CB59" s="22"/>
    </row>
    <row r="60" spans="1:80" s="31" customFormat="1" ht="18" customHeight="1">
      <c r="A60">
        <v>10059</v>
      </c>
      <c r="B60" s="8"/>
      <c r="C60" s="8" t="s">
        <v>1610</v>
      </c>
      <c r="D60" s="5">
        <v>1</v>
      </c>
      <c r="E60" s="5">
        <v>1</v>
      </c>
      <c r="F60" s="8" t="s">
        <v>1611</v>
      </c>
      <c r="G60" s="8"/>
      <c r="H60" s="8">
        <v>3</v>
      </c>
      <c r="I60" s="8" t="s">
        <v>1612</v>
      </c>
      <c r="J60" s="8" t="s">
        <v>67</v>
      </c>
      <c r="K60" s="6"/>
      <c r="L60" s="6" t="s">
        <v>230</v>
      </c>
      <c r="M60" s="6">
        <v>1</v>
      </c>
      <c r="N60" s="6">
        <v>1</v>
      </c>
      <c r="O60" s="6" t="s">
        <v>1613</v>
      </c>
      <c r="P60" s="6" t="s">
        <v>1614</v>
      </c>
      <c r="Q60" s="7">
        <v>3</v>
      </c>
      <c r="R60" s="6" t="s">
        <v>1615</v>
      </c>
      <c r="S60" s="6">
        <v>1</v>
      </c>
      <c r="T60" s="6" t="s">
        <v>1616</v>
      </c>
      <c r="U60" s="6" t="s">
        <v>43</v>
      </c>
      <c r="V60" s="9"/>
      <c r="W60" s="9" t="s">
        <v>609</v>
      </c>
      <c r="X60" s="9">
        <v>1</v>
      </c>
      <c r="Y60" s="9">
        <v>1</v>
      </c>
      <c r="Z60" s="9" t="s">
        <v>1617</v>
      </c>
      <c r="AA60" s="9" t="s">
        <v>1618</v>
      </c>
      <c r="AB60" s="9">
        <v>2</v>
      </c>
      <c r="AC60" s="32" t="s">
        <v>1619</v>
      </c>
      <c r="AD60" s="9">
        <v>1</v>
      </c>
      <c r="AE60" s="9" t="s">
        <v>1620</v>
      </c>
      <c r="AF60" s="9" t="s">
        <v>64</v>
      </c>
      <c r="AG60" s="11"/>
      <c r="AH60" s="11" t="s">
        <v>1621</v>
      </c>
      <c r="AI60" s="11">
        <v>1</v>
      </c>
      <c r="AJ60" s="11">
        <v>1</v>
      </c>
      <c r="AK60" s="11" t="s">
        <v>1622</v>
      </c>
      <c r="AL60" s="11">
        <v>1</v>
      </c>
      <c r="AM60" s="11" t="s">
        <v>1623</v>
      </c>
      <c r="AN60" s="11" t="s">
        <v>67</v>
      </c>
      <c r="AO60" s="6"/>
      <c r="AP60" s="6" t="s">
        <v>1624</v>
      </c>
      <c r="AQ60" s="6">
        <v>0.5</v>
      </c>
      <c r="AR60" s="6">
        <v>0.5</v>
      </c>
      <c r="AS60" s="6" t="s">
        <v>1625</v>
      </c>
      <c r="AT60" s="6" t="s">
        <v>1626</v>
      </c>
      <c r="AU60" s="6">
        <v>3</v>
      </c>
      <c r="AV60" s="7">
        <v>3</v>
      </c>
      <c r="AW60" s="6" t="s">
        <v>1627</v>
      </c>
      <c r="AX60" s="6">
        <v>1</v>
      </c>
      <c r="AY60" s="6" t="s">
        <v>1628</v>
      </c>
      <c r="AZ60" s="6" t="s">
        <v>43</v>
      </c>
      <c r="BA60" s="9"/>
      <c r="BB60" s="9" t="s">
        <v>1629</v>
      </c>
      <c r="BC60" s="9">
        <v>1</v>
      </c>
      <c r="BD60" s="9">
        <v>1</v>
      </c>
      <c r="BE60" s="9" t="s">
        <v>1630</v>
      </c>
      <c r="BF60" s="9">
        <v>1</v>
      </c>
      <c r="BG60" s="9" t="s">
        <v>1631</v>
      </c>
      <c r="BH60" s="9" t="s">
        <v>37</v>
      </c>
      <c r="BI60" s="8"/>
      <c r="BJ60" s="8" t="s">
        <v>483</v>
      </c>
      <c r="BK60" s="8">
        <v>1</v>
      </c>
      <c r="BL60" s="8">
        <v>1</v>
      </c>
      <c r="BM60" s="8" t="s">
        <v>1632</v>
      </c>
      <c r="BN60" s="8">
        <v>0.5</v>
      </c>
      <c r="BO60" s="8" t="s">
        <v>1633</v>
      </c>
      <c r="BP60" s="8" t="s">
        <v>37</v>
      </c>
      <c r="BQ60" s="11"/>
      <c r="BR60" s="11" t="s">
        <v>1634</v>
      </c>
      <c r="BS60" s="11">
        <v>1</v>
      </c>
      <c r="BT60" s="11">
        <v>1</v>
      </c>
      <c r="BU60" s="11" t="s">
        <v>1635</v>
      </c>
      <c r="BV60" s="11" t="s">
        <v>1636</v>
      </c>
      <c r="BW60" s="11">
        <v>1</v>
      </c>
      <c r="BX60" s="11" t="s">
        <v>1637</v>
      </c>
      <c r="BY60" s="11">
        <v>0.5</v>
      </c>
      <c r="BZ60" s="11" t="s">
        <v>1638</v>
      </c>
      <c r="CA60" s="11" t="s">
        <v>37</v>
      </c>
      <c r="CB60" s="22"/>
    </row>
    <row r="61" spans="1:80" s="31" customFormat="1" ht="18" customHeight="1">
      <c r="A61">
        <v>10060</v>
      </c>
      <c r="B61" s="8"/>
      <c r="C61" s="8" t="s">
        <v>1639</v>
      </c>
      <c r="D61" s="5">
        <v>1</v>
      </c>
      <c r="E61" s="5">
        <v>1</v>
      </c>
      <c r="F61" s="8" t="s">
        <v>1640</v>
      </c>
      <c r="G61" s="8"/>
      <c r="H61" s="8">
        <v>2</v>
      </c>
      <c r="I61" s="8" t="s">
        <v>1641</v>
      </c>
      <c r="J61" s="8" t="s">
        <v>67</v>
      </c>
      <c r="K61" s="6"/>
      <c r="L61" s="6" t="s">
        <v>1642</v>
      </c>
      <c r="M61" s="6">
        <v>1</v>
      </c>
      <c r="N61" s="6">
        <v>1</v>
      </c>
      <c r="O61" s="6" t="s">
        <v>1643</v>
      </c>
      <c r="P61" s="6" t="s">
        <v>1644</v>
      </c>
      <c r="Q61" s="7">
        <v>3</v>
      </c>
      <c r="R61" s="6" t="s">
        <v>151</v>
      </c>
      <c r="S61" s="6">
        <v>0.5</v>
      </c>
      <c r="T61" s="6" t="s">
        <v>1645</v>
      </c>
      <c r="U61" s="6" t="s">
        <v>36</v>
      </c>
      <c r="V61" s="9"/>
      <c r="W61" s="9" t="s">
        <v>1646</v>
      </c>
      <c r="X61" s="9">
        <v>1</v>
      </c>
      <c r="Y61" s="9">
        <v>1</v>
      </c>
      <c r="Z61" s="9" t="s">
        <v>1647</v>
      </c>
      <c r="AA61" s="9" t="s">
        <v>1648</v>
      </c>
      <c r="AB61" s="9">
        <v>3</v>
      </c>
      <c r="AC61" s="32" t="s">
        <v>62</v>
      </c>
      <c r="AD61" s="9">
        <v>0</v>
      </c>
      <c r="AE61" s="9" t="s">
        <v>1649</v>
      </c>
      <c r="AF61" s="9" t="s">
        <v>43</v>
      </c>
      <c r="AG61" s="11"/>
      <c r="AH61" s="11" t="s">
        <v>1650</v>
      </c>
      <c r="AI61" s="11">
        <v>1</v>
      </c>
      <c r="AJ61" s="11">
        <v>1</v>
      </c>
      <c r="AK61" s="11" t="s">
        <v>151</v>
      </c>
      <c r="AL61" s="11">
        <v>1</v>
      </c>
      <c r="AM61" s="11" t="s">
        <v>1651</v>
      </c>
      <c r="AN61" s="11" t="s">
        <v>36</v>
      </c>
      <c r="AO61" s="6"/>
      <c r="AP61" s="6" t="s">
        <v>1652</v>
      </c>
      <c r="AQ61" s="6">
        <v>1</v>
      </c>
      <c r="AR61" s="6">
        <v>1</v>
      </c>
      <c r="AS61" s="6" t="s">
        <v>1653</v>
      </c>
      <c r="AT61" s="6" t="s">
        <v>1654</v>
      </c>
      <c r="AU61" s="6">
        <v>3</v>
      </c>
      <c r="AV61" s="7">
        <v>0</v>
      </c>
      <c r="AW61" s="6" t="s">
        <v>62</v>
      </c>
      <c r="AX61" s="6">
        <v>0.5</v>
      </c>
      <c r="AY61" s="6" t="s">
        <v>1655</v>
      </c>
      <c r="AZ61" s="6" t="s">
        <v>36</v>
      </c>
      <c r="BA61" s="9"/>
      <c r="BB61" s="9" t="s">
        <v>1656</v>
      </c>
      <c r="BC61" s="9">
        <v>1</v>
      </c>
      <c r="BD61" s="9">
        <v>1</v>
      </c>
      <c r="BE61" s="9" t="s">
        <v>151</v>
      </c>
      <c r="BF61" s="9">
        <v>1</v>
      </c>
      <c r="BG61" s="9" t="s">
        <v>1657</v>
      </c>
      <c r="BH61" s="9" t="s">
        <v>64</v>
      </c>
      <c r="BI61" s="8"/>
      <c r="BJ61" s="8" t="s">
        <v>1658</v>
      </c>
      <c r="BK61" s="8">
        <v>1</v>
      </c>
      <c r="BL61" s="8">
        <v>1</v>
      </c>
      <c r="BM61" s="8" t="s">
        <v>151</v>
      </c>
      <c r="BN61" s="8">
        <v>0</v>
      </c>
      <c r="BO61" s="8" t="s">
        <v>1659</v>
      </c>
      <c r="BP61" s="8" t="s">
        <v>43</v>
      </c>
      <c r="BQ61" s="11"/>
      <c r="BR61" s="11" t="s">
        <v>1660</v>
      </c>
      <c r="BS61" s="11">
        <v>1</v>
      </c>
      <c r="BT61" s="11">
        <v>1</v>
      </c>
      <c r="BU61" s="11" t="s">
        <v>1661</v>
      </c>
      <c r="BV61" s="11" t="s">
        <v>1662</v>
      </c>
      <c r="BW61" s="11">
        <v>0</v>
      </c>
      <c r="BX61" s="11" t="s">
        <v>62</v>
      </c>
      <c r="BY61" s="11">
        <v>0</v>
      </c>
      <c r="BZ61" s="11" t="s">
        <v>1663</v>
      </c>
      <c r="CA61" s="11" t="s">
        <v>67</v>
      </c>
      <c r="CB61" s="22"/>
    </row>
    <row r="62" spans="1:80" s="31" customFormat="1" ht="18" customHeight="1">
      <c r="A62">
        <v>10061</v>
      </c>
      <c r="B62" s="8"/>
      <c r="C62" s="8" t="s">
        <v>1664</v>
      </c>
      <c r="D62" s="5">
        <v>1</v>
      </c>
      <c r="E62" s="5">
        <v>1</v>
      </c>
      <c r="F62" s="8" t="s">
        <v>1665</v>
      </c>
      <c r="G62" s="8"/>
      <c r="H62" s="8">
        <v>3</v>
      </c>
      <c r="I62" s="8" t="s">
        <v>1666</v>
      </c>
      <c r="J62" s="8" t="s">
        <v>67</v>
      </c>
      <c r="K62" s="6"/>
      <c r="L62" s="6" t="s">
        <v>1667</v>
      </c>
      <c r="M62" s="6">
        <v>1</v>
      </c>
      <c r="N62" s="6">
        <v>1</v>
      </c>
      <c r="O62" s="6" t="s">
        <v>1668</v>
      </c>
      <c r="P62" s="6" t="s">
        <v>1669</v>
      </c>
      <c r="Q62" s="7">
        <v>3</v>
      </c>
      <c r="R62" s="6" t="s">
        <v>1670</v>
      </c>
      <c r="S62" s="6">
        <v>1</v>
      </c>
      <c r="T62" s="6" t="s">
        <v>1671</v>
      </c>
      <c r="U62" s="6" t="s">
        <v>36</v>
      </c>
      <c r="V62" s="9"/>
      <c r="W62" s="9" t="s">
        <v>1672</v>
      </c>
      <c r="X62" s="9">
        <v>1</v>
      </c>
      <c r="Y62" s="9">
        <v>0.5</v>
      </c>
      <c r="Z62" s="9" t="s">
        <v>1673</v>
      </c>
      <c r="AA62" s="9" t="s">
        <v>1674</v>
      </c>
      <c r="AB62" s="9">
        <v>2</v>
      </c>
      <c r="AC62" s="32" t="s">
        <v>1675</v>
      </c>
      <c r="AD62" s="9">
        <v>1</v>
      </c>
      <c r="AE62" s="9" t="s">
        <v>1676</v>
      </c>
      <c r="AF62" s="9" t="s">
        <v>67</v>
      </c>
      <c r="AG62" s="11"/>
      <c r="AH62" s="11" t="s">
        <v>1677</v>
      </c>
      <c r="AI62" s="11">
        <v>1</v>
      </c>
      <c r="AJ62" s="11">
        <v>1</v>
      </c>
      <c r="AK62" s="11" t="s">
        <v>1678</v>
      </c>
      <c r="AL62" s="11">
        <v>1</v>
      </c>
      <c r="AM62" s="11" t="s">
        <v>1679</v>
      </c>
      <c r="AN62" s="11" t="s">
        <v>37</v>
      </c>
      <c r="AO62" s="6"/>
      <c r="AP62" s="6" t="s">
        <v>1680</v>
      </c>
      <c r="AQ62" s="6">
        <v>0.5</v>
      </c>
      <c r="AR62" s="6">
        <v>0.5</v>
      </c>
      <c r="AS62" s="6" t="s">
        <v>1681</v>
      </c>
      <c r="AT62" s="6" t="s">
        <v>1682</v>
      </c>
      <c r="AU62" s="6">
        <v>3</v>
      </c>
      <c r="AV62" s="7">
        <v>3</v>
      </c>
      <c r="AW62" s="6" t="s">
        <v>1683</v>
      </c>
      <c r="AX62" s="6">
        <v>1</v>
      </c>
      <c r="AY62" s="6" t="s">
        <v>1684</v>
      </c>
      <c r="AZ62" s="6" t="s">
        <v>67</v>
      </c>
      <c r="BA62" s="9"/>
      <c r="BB62" s="9" t="s">
        <v>1685</v>
      </c>
      <c r="BC62" s="9">
        <v>1</v>
      </c>
      <c r="BD62" s="9">
        <v>0.5</v>
      </c>
      <c r="BE62" s="9" t="s">
        <v>1686</v>
      </c>
      <c r="BF62" s="9">
        <v>1</v>
      </c>
      <c r="BG62" s="9" t="s">
        <v>1676</v>
      </c>
      <c r="BH62" s="9" t="s">
        <v>37</v>
      </c>
      <c r="BI62" s="8"/>
      <c r="BJ62" s="8" t="s">
        <v>1687</v>
      </c>
      <c r="BK62" s="8">
        <v>1</v>
      </c>
      <c r="BL62" s="8">
        <v>0.5</v>
      </c>
      <c r="BM62" s="8" t="s">
        <v>1688</v>
      </c>
      <c r="BN62" s="8">
        <v>0.5</v>
      </c>
      <c r="BO62" s="8" t="s">
        <v>1689</v>
      </c>
      <c r="BP62" s="8" t="s">
        <v>67</v>
      </c>
      <c r="BQ62" s="11"/>
      <c r="BR62" s="11" t="s">
        <v>1690</v>
      </c>
      <c r="BS62" s="11">
        <v>1</v>
      </c>
      <c r="BT62" s="11">
        <v>0.5</v>
      </c>
      <c r="BU62" s="11" t="s">
        <v>1691</v>
      </c>
      <c r="BV62" s="11" t="s">
        <v>1692</v>
      </c>
      <c r="BW62" s="11">
        <v>2</v>
      </c>
      <c r="BX62" s="11" t="s">
        <v>1693</v>
      </c>
      <c r="BY62" s="11">
        <v>0.5</v>
      </c>
      <c r="BZ62" s="11" t="s">
        <v>1694</v>
      </c>
      <c r="CA62" s="11" t="s">
        <v>37</v>
      </c>
      <c r="CB62" s="22"/>
    </row>
    <row r="63" spans="1:80" s="31" customFormat="1" ht="18" customHeight="1">
      <c r="A63">
        <v>10062</v>
      </c>
      <c r="B63" s="8"/>
      <c r="C63" s="8" t="s">
        <v>228</v>
      </c>
      <c r="D63" s="5">
        <v>1</v>
      </c>
      <c r="E63" s="5">
        <v>1</v>
      </c>
      <c r="F63" s="8" t="s">
        <v>1695</v>
      </c>
      <c r="G63" s="8"/>
      <c r="H63" s="8">
        <v>0</v>
      </c>
      <c r="I63" s="8" t="s">
        <v>1696</v>
      </c>
      <c r="J63" s="8" t="s">
        <v>42</v>
      </c>
      <c r="K63" s="6"/>
      <c r="L63" s="6" t="s">
        <v>230</v>
      </c>
      <c r="M63" s="6">
        <v>1</v>
      </c>
      <c r="N63" s="6">
        <v>1</v>
      </c>
      <c r="O63" s="6" t="s">
        <v>1697</v>
      </c>
      <c r="P63" s="6" t="s">
        <v>1698</v>
      </c>
      <c r="Q63" s="7">
        <v>3</v>
      </c>
      <c r="R63" s="6" t="s">
        <v>1699</v>
      </c>
      <c r="S63" s="6">
        <v>0.5</v>
      </c>
      <c r="T63" s="6" t="s">
        <v>1700</v>
      </c>
      <c r="U63" s="6" t="s">
        <v>67</v>
      </c>
      <c r="V63" s="9"/>
      <c r="W63" s="9" t="s">
        <v>1231</v>
      </c>
      <c r="X63" s="9">
        <v>1</v>
      </c>
      <c r="Y63" s="9">
        <v>1</v>
      </c>
      <c r="Z63" s="9" t="s">
        <v>142</v>
      </c>
      <c r="AA63" s="9" t="s">
        <v>143</v>
      </c>
      <c r="AB63" s="9">
        <v>0</v>
      </c>
      <c r="AC63" s="32" t="s">
        <v>1701</v>
      </c>
      <c r="AD63" s="9">
        <v>0.5</v>
      </c>
      <c r="AE63" s="9" t="s">
        <v>1702</v>
      </c>
      <c r="AF63" s="9" t="s">
        <v>42</v>
      </c>
      <c r="AG63" s="11"/>
      <c r="AH63" s="11" t="s">
        <v>238</v>
      </c>
      <c r="AI63" s="11">
        <v>1</v>
      </c>
      <c r="AJ63" s="11">
        <v>1</v>
      </c>
      <c r="AK63" s="11" t="s">
        <v>1703</v>
      </c>
      <c r="AL63" s="11">
        <v>1</v>
      </c>
      <c r="AM63" s="11" t="s">
        <v>1704</v>
      </c>
      <c r="AN63" s="11" t="s">
        <v>64</v>
      </c>
      <c r="AO63" s="6"/>
      <c r="AP63" s="6" t="s">
        <v>1238</v>
      </c>
      <c r="AQ63" s="6">
        <v>0.5</v>
      </c>
      <c r="AR63" s="6">
        <v>0.5</v>
      </c>
      <c r="AS63" s="6" t="s">
        <v>1705</v>
      </c>
      <c r="AT63" s="6" t="s">
        <v>1706</v>
      </c>
      <c r="AU63" s="6">
        <v>3</v>
      </c>
      <c r="AV63" s="7">
        <v>0</v>
      </c>
      <c r="AW63" s="6" t="s">
        <v>125</v>
      </c>
      <c r="AX63" s="6">
        <v>0.5</v>
      </c>
      <c r="AY63" s="6" t="s">
        <v>1707</v>
      </c>
      <c r="AZ63" s="6" t="s">
        <v>67</v>
      </c>
      <c r="BA63" s="9"/>
      <c r="BB63" s="9" t="s">
        <v>1708</v>
      </c>
      <c r="BC63" s="9">
        <v>1</v>
      </c>
      <c r="BD63" s="9">
        <v>0.5</v>
      </c>
      <c r="BE63" s="9" t="s">
        <v>1709</v>
      </c>
      <c r="BF63" s="9">
        <v>1</v>
      </c>
      <c r="BG63" s="9" t="s">
        <v>1710</v>
      </c>
      <c r="BH63" s="9" t="s">
        <v>42</v>
      </c>
      <c r="BI63" s="8"/>
      <c r="BJ63" s="8" t="s">
        <v>248</v>
      </c>
      <c r="BK63" s="8">
        <v>1</v>
      </c>
      <c r="BL63" s="8">
        <v>1</v>
      </c>
      <c r="BM63" s="8" t="s">
        <v>125</v>
      </c>
      <c r="BN63" s="8">
        <v>0</v>
      </c>
      <c r="BO63" s="8" t="s">
        <v>1711</v>
      </c>
      <c r="BP63" s="8" t="s">
        <v>64</v>
      </c>
      <c r="BQ63" s="11"/>
      <c r="BR63" s="11" t="s">
        <v>331</v>
      </c>
      <c r="BS63" s="11">
        <v>1</v>
      </c>
      <c r="BT63" s="11">
        <v>1</v>
      </c>
      <c r="BU63" s="11" t="s">
        <v>1712</v>
      </c>
      <c r="BV63" s="11" t="s">
        <v>1713</v>
      </c>
      <c r="BW63" s="11">
        <v>0</v>
      </c>
      <c r="BX63" s="11" t="s">
        <v>1714</v>
      </c>
      <c r="BY63" s="11">
        <v>0.5</v>
      </c>
      <c r="BZ63" s="11" t="s">
        <v>1715</v>
      </c>
      <c r="CA63" s="11" t="s">
        <v>37</v>
      </c>
      <c r="CB63" s="22"/>
    </row>
    <row r="64" spans="1:80" s="31" customFormat="1" ht="18" customHeight="1">
      <c r="A64">
        <v>10063</v>
      </c>
      <c r="B64" s="8"/>
      <c r="C64" s="8" t="s">
        <v>1716</v>
      </c>
      <c r="D64" s="5">
        <v>1</v>
      </c>
      <c r="E64" s="5">
        <v>1</v>
      </c>
      <c r="F64" s="8" t="s">
        <v>1717</v>
      </c>
      <c r="G64" s="8"/>
      <c r="H64" s="8">
        <v>3</v>
      </c>
      <c r="I64" s="8" t="s">
        <v>1718</v>
      </c>
      <c r="J64" s="8" t="s">
        <v>67</v>
      </c>
      <c r="K64" s="6"/>
      <c r="L64" s="6" t="s">
        <v>1719</v>
      </c>
      <c r="M64" s="6">
        <v>1</v>
      </c>
      <c r="N64" s="6">
        <v>1</v>
      </c>
      <c r="O64" s="6" t="s">
        <v>1720</v>
      </c>
      <c r="P64" s="6" t="s">
        <v>1721</v>
      </c>
      <c r="Q64" s="7">
        <v>3</v>
      </c>
      <c r="R64" s="6" t="s">
        <v>1722</v>
      </c>
      <c r="S64" s="6">
        <v>1</v>
      </c>
      <c r="T64" s="6" t="s">
        <v>1723</v>
      </c>
      <c r="U64" s="6" t="s">
        <v>43</v>
      </c>
      <c r="V64" s="9"/>
      <c r="W64" s="9" t="s">
        <v>1724</v>
      </c>
      <c r="X64" s="9">
        <v>1</v>
      </c>
      <c r="Y64" s="9">
        <v>1</v>
      </c>
      <c r="Z64" s="9" t="s">
        <v>1725</v>
      </c>
      <c r="AA64" s="9" t="s">
        <v>1726</v>
      </c>
      <c r="AB64" s="9">
        <v>3</v>
      </c>
      <c r="AC64" s="32" t="s">
        <v>1727</v>
      </c>
      <c r="AD64" s="9">
        <v>0.5</v>
      </c>
      <c r="AE64" s="9" t="s">
        <v>1728</v>
      </c>
      <c r="AF64" s="9" t="s">
        <v>64</v>
      </c>
      <c r="AG64" s="11"/>
      <c r="AH64" s="11" t="s">
        <v>1729</v>
      </c>
      <c r="AI64" s="11">
        <v>1</v>
      </c>
      <c r="AJ64" s="11">
        <v>1</v>
      </c>
      <c r="AK64" s="11" t="s">
        <v>1730</v>
      </c>
      <c r="AL64" s="11">
        <v>1</v>
      </c>
      <c r="AM64" s="11" t="s">
        <v>1731</v>
      </c>
      <c r="AN64" s="11" t="s">
        <v>64</v>
      </c>
      <c r="AO64" s="6"/>
      <c r="AP64" s="6" t="s">
        <v>1732</v>
      </c>
      <c r="AQ64" s="6">
        <v>0.5</v>
      </c>
      <c r="AR64" s="6">
        <v>0.5</v>
      </c>
      <c r="AS64" s="6" t="s">
        <v>1733</v>
      </c>
      <c r="AT64" s="6" t="s">
        <v>1734</v>
      </c>
      <c r="AU64" s="6">
        <v>3</v>
      </c>
      <c r="AV64" s="7">
        <v>3</v>
      </c>
      <c r="AW64" s="6" t="s">
        <v>1735</v>
      </c>
      <c r="AX64" s="6">
        <v>1</v>
      </c>
      <c r="AY64" s="6" t="s">
        <v>1736</v>
      </c>
      <c r="AZ64" s="6" t="s">
        <v>43</v>
      </c>
      <c r="BA64" s="9"/>
      <c r="BB64" s="9" t="s">
        <v>1737</v>
      </c>
      <c r="BC64" s="9">
        <v>1</v>
      </c>
      <c r="BD64" s="9">
        <v>1</v>
      </c>
      <c r="BE64" s="9" t="s">
        <v>81</v>
      </c>
      <c r="BF64" s="9">
        <v>0.5</v>
      </c>
      <c r="BG64" s="9" t="s">
        <v>144</v>
      </c>
      <c r="BH64" s="9" t="s">
        <v>42</v>
      </c>
      <c r="BI64" s="8"/>
      <c r="BJ64" s="8" t="s">
        <v>1218</v>
      </c>
      <c r="BK64" s="8">
        <v>1</v>
      </c>
      <c r="BL64" s="8">
        <v>1</v>
      </c>
      <c r="BM64" s="8" t="s">
        <v>52</v>
      </c>
      <c r="BN64" s="8">
        <v>0</v>
      </c>
      <c r="BO64" s="8" t="s">
        <v>1731</v>
      </c>
      <c r="BP64" s="8" t="s">
        <v>35</v>
      </c>
      <c r="BQ64" s="11"/>
      <c r="BR64" s="11" t="s">
        <v>1738</v>
      </c>
      <c r="BS64" s="11">
        <v>1</v>
      </c>
      <c r="BT64" s="11">
        <v>0.5</v>
      </c>
      <c r="BU64" s="11" t="s">
        <v>1739</v>
      </c>
      <c r="BV64" s="11" t="s">
        <v>1740</v>
      </c>
      <c r="BW64" s="11">
        <v>3</v>
      </c>
      <c r="BX64" s="11" t="s">
        <v>1741</v>
      </c>
      <c r="BY64" s="11">
        <v>0</v>
      </c>
      <c r="BZ64" s="11" t="s">
        <v>1742</v>
      </c>
      <c r="CA64" s="11" t="s">
        <v>42</v>
      </c>
      <c r="CB64" s="22"/>
    </row>
    <row r="65" spans="1:80" s="31" customFormat="1" ht="18" customHeight="1">
      <c r="A65">
        <v>10064</v>
      </c>
      <c r="B65" s="8"/>
      <c r="C65" s="8" t="s">
        <v>1743</v>
      </c>
      <c r="D65" s="5">
        <v>1</v>
      </c>
      <c r="E65" s="5">
        <v>1</v>
      </c>
      <c r="F65" s="8" t="s">
        <v>1744</v>
      </c>
      <c r="G65" s="8"/>
      <c r="H65" s="8">
        <v>3</v>
      </c>
      <c r="I65" s="8" t="s">
        <v>93</v>
      </c>
      <c r="J65" s="8" t="s">
        <v>42</v>
      </c>
      <c r="K65" s="6"/>
      <c r="L65" s="6" t="s">
        <v>837</v>
      </c>
      <c r="M65" s="6">
        <v>1</v>
      </c>
      <c r="N65" s="6">
        <v>1</v>
      </c>
      <c r="O65" s="6" t="s">
        <v>1745</v>
      </c>
      <c r="P65" s="6" t="s">
        <v>1746</v>
      </c>
      <c r="Q65" s="7">
        <v>2</v>
      </c>
      <c r="R65" s="6" t="s">
        <v>1219</v>
      </c>
      <c r="S65" s="6">
        <v>0.5</v>
      </c>
      <c r="T65" s="6" t="s">
        <v>93</v>
      </c>
      <c r="U65" s="6" t="s">
        <v>42</v>
      </c>
      <c r="V65" s="9"/>
      <c r="W65" s="9" t="s">
        <v>1747</v>
      </c>
      <c r="X65" s="9">
        <v>1</v>
      </c>
      <c r="Y65" s="9">
        <v>0</v>
      </c>
      <c r="Z65" s="9" t="s">
        <v>1748</v>
      </c>
      <c r="AA65" s="9" t="s">
        <v>131</v>
      </c>
      <c r="AB65" s="9">
        <v>1</v>
      </c>
      <c r="AC65" s="32" t="s">
        <v>84</v>
      </c>
      <c r="AD65" s="9">
        <v>0</v>
      </c>
      <c r="AE65" s="9" t="s">
        <v>93</v>
      </c>
      <c r="AF65" s="9" t="s">
        <v>42</v>
      </c>
      <c r="AG65" s="11"/>
      <c r="AH65" s="11" t="s">
        <v>941</v>
      </c>
      <c r="AI65" s="11">
        <v>1</v>
      </c>
      <c r="AJ65" s="11">
        <v>1</v>
      </c>
      <c r="AK65" s="11" t="s">
        <v>84</v>
      </c>
      <c r="AL65" s="11">
        <v>0</v>
      </c>
      <c r="AM65" s="11" t="s">
        <v>93</v>
      </c>
      <c r="AN65" s="11" t="s">
        <v>42</v>
      </c>
      <c r="AO65" s="6"/>
      <c r="AP65" s="6" t="s">
        <v>1624</v>
      </c>
      <c r="AQ65" s="6">
        <v>0.5</v>
      </c>
      <c r="AR65" s="6">
        <v>0.5</v>
      </c>
      <c r="AS65" s="6" t="s">
        <v>1749</v>
      </c>
      <c r="AT65" s="6" t="s">
        <v>128</v>
      </c>
      <c r="AU65" s="6">
        <v>0</v>
      </c>
      <c r="AV65" s="7">
        <v>0</v>
      </c>
      <c r="AW65" s="6" t="s">
        <v>84</v>
      </c>
      <c r="AX65" s="6">
        <v>0</v>
      </c>
      <c r="AY65" s="6" t="s">
        <v>93</v>
      </c>
      <c r="AZ65" s="6" t="s">
        <v>42</v>
      </c>
      <c r="BA65" s="9"/>
      <c r="BB65" s="9" t="s">
        <v>1750</v>
      </c>
      <c r="BC65" s="9">
        <v>1</v>
      </c>
      <c r="BD65" s="9">
        <v>1</v>
      </c>
      <c r="BE65" s="9" t="s">
        <v>84</v>
      </c>
      <c r="BF65" s="9">
        <v>0</v>
      </c>
      <c r="BG65" s="9" t="s">
        <v>93</v>
      </c>
      <c r="BH65" s="9" t="s">
        <v>42</v>
      </c>
      <c r="BI65" s="8"/>
      <c r="BJ65" s="8" t="s">
        <v>1751</v>
      </c>
      <c r="BK65" s="8">
        <v>1</v>
      </c>
      <c r="BL65" s="8">
        <v>1</v>
      </c>
      <c r="BM65" s="8" t="s">
        <v>84</v>
      </c>
      <c r="BN65" s="8">
        <v>0</v>
      </c>
      <c r="BO65" s="8" t="s">
        <v>93</v>
      </c>
      <c r="BP65" s="8" t="s">
        <v>42</v>
      </c>
      <c r="BQ65" s="11"/>
      <c r="BR65" s="11" t="s">
        <v>1752</v>
      </c>
      <c r="BS65" s="11">
        <v>1</v>
      </c>
      <c r="BT65" s="11">
        <v>1</v>
      </c>
      <c r="BU65" s="11" t="s">
        <v>1753</v>
      </c>
      <c r="BV65" s="11" t="s">
        <v>57</v>
      </c>
      <c r="BW65" s="11">
        <v>0</v>
      </c>
      <c r="BX65" s="11" t="s">
        <v>84</v>
      </c>
      <c r="BY65" s="11">
        <v>0</v>
      </c>
      <c r="BZ65" s="11" t="s">
        <v>93</v>
      </c>
      <c r="CA65" s="11" t="s">
        <v>37</v>
      </c>
      <c r="CB65" s="22"/>
    </row>
    <row r="66" spans="1:80" s="31" customFormat="1" ht="18" customHeight="1">
      <c r="A66">
        <v>10065</v>
      </c>
      <c r="B66" s="8"/>
      <c r="C66" s="8" t="s">
        <v>1754</v>
      </c>
      <c r="D66" s="5">
        <v>1</v>
      </c>
      <c r="E66" s="5">
        <v>1</v>
      </c>
      <c r="F66" s="8" t="s">
        <v>1755</v>
      </c>
      <c r="G66" s="8"/>
      <c r="H66" s="8">
        <v>3</v>
      </c>
      <c r="I66" s="8" t="s">
        <v>1756</v>
      </c>
      <c r="J66" s="8" t="s">
        <v>43</v>
      </c>
      <c r="K66" s="6"/>
      <c r="L66" s="6" t="s">
        <v>258</v>
      </c>
      <c r="M66" s="6">
        <v>1</v>
      </c>
      <c r="N66" s="6">
        <v>1</v>
      </c>
      <c r="O66" s="6" t="s">
        <v>1757</v>
      </c>
      <c r="P66" s="6" t="s">
        <v>1758</v>
      </c>
      <c r="Q66" s="7">
        <v>3</v>
      </c>
      <c r="R66" s="6" t="s">
        <v>52</v>
      </c>
      <c r="S66" s="6">
        <v>0.5</v>
      </c>
      <c r="T66" s="6" t="s">
        <v>1059</v>
      </c>
      <c r="U66" s="6" t="s">
        <v>43</v>
      </c>
      <c r="V66" s="9"/>
      <c r="W66" s="9" t="s">
        <v>263</v>
      </c>
      <c r="X66" s="9">
        <v>1</v>
      </c>
      <c r="Y66" s="9">
        <v>1</v>
      </c>
      <c r="Z66" s="9" t="s">
        <v>1759</v>
      </c>
      <c r="AA66" s="9" t="s">
        <v>1760</v>
      </c>
      <c r="AB66" s="9">
        <v>3</v>
      </c>
      <c r="AC66" s="32" t="s">
        <v>68</v>
      </c>
      <c r="AD66" s="9">
        <v>0.5</v>
      </c>
      <c r="AE66" s="9" t="s">
        <v>1761</v>
      </c>
      <c r="AF66" s="9" t="s">
        <v>42</v>
      </c>
      <c r="AG66" s="11"/>
      <c r="AH66" s="11" t="s">
        <v>1105</v>
      </c>
      <c r="AI66" s="11">
        <v>1</v>
      </c>
      <c r="AJ66" s="11">
        <v>1</v>
      </c>
      <c r="AK66" s="11" t="s">
        <v>79</v>
      </c>
      <c r="AL66" s="11">
        <v>0.5</v>
      </c>
      <c r="AM66" s="11" t="s">
        <v>1059</v>
      </c>
      <c r="AN66" s="11" t="s">
        <v>43</v>
      </c>
      <c r="AO66" s="6"/>
      <c r="AP66" s="6" t="s">
        <v>1762</v>
      </c>
      <c r="AQ66" s="6">
        <v>0.5</v>
      </c>
      <c r="AR66" s="6">
        <v>0.5</v>
      </c>
      <c r="AS66" s="6" t="s">
        <v>1763</v>
      </c>
      <c r="AT66" s="6" t="s">
        <v>1764</v>
      </c>
      <c r="AU66" s="6">
        <v>3</v>
      </c>
      <c r="AV66" s="7">
        <v>3</v>
      </c>
      <c r="AW66" s="6" t="s">
        <v>62</v>
      </c>
      <c r="AX66" s="6">
        <v>0.5</v>
      </c>
      <c r="AY66" s="6" t="s">
        <v>174</v>
      </c>
      <c r="AZ66" s="6" t="s">
        <v>37</v>
      </c>
      <c r="BA66" s="9"/>
      <c r="BB66" s="9" t="s">
        <v>1765</v>
      </c>
      <c r="BC66" s="9">
        <v>1</v>
      </c>
      <c r="BD66" s="9">
        <v>1</v>
      </c>
      <c r="BE66" s="9" t="s">
        <v>81</v>
      </c>
      <c r="BF66" s="9">
        <v>0.5</v>
      </c>
      <c r="BG66" s="9" t="s">
        <v>1766</v>
      </c>
      <c r="BH66" s="9" t="s">
        <v>43</v>
      </c>
      <c r="BI66" s="8"/>
      <c r="BJ66" s="8" t="s">
        <v>248</v>
      </c>
      <c r="BK66" s="8">
        <v>1</v>
      </c>
      <c r="BL66" s="8">
        <v>1</v>
      </c>
      <c r="BM66" s="8" t="s">
        <v>52</v>
      </c>
      <c r="BN66" s="8">
        <v>0</v>
      </c>
      <c r="BO66" s="8" t="s">
        <v>1059</v>
      </c>
      <c r="BP66" s="8" t="s">
        <v>43</v>
      </c>
      <c r="BQ66" s="11"/>
      <c r="BR66" s="11" t="s">
        <v>383</v>
      </c>
      <c r="BS66" s="11">
        <v>1</v>
      </c>
      <c r="BT66" s="11">
        <v>1</v>
      </c>
      <c r="BU66" s="11" t="s">
        <v>1767</v>
      </c>
      <c r="BV66" s="11" t="s">
        <v>1768</v>
      </c>
      <c r="BW66" s="11">
        <v>3</v>
      </c>
      <c r="BX66" s="11" t="s">
        <v>62</v>
      </c>
      <c r="BY66" s="11">
        <v>0</v>
      </c>
      <c r="BZ66" s="11" t="s">
        <v>1059</v>
      </c>
      <c r="CA66" s="11" t="s">
        <v>43</v>
      </c>
      <c r="CB66" s="22"/>
    </row>
    <row r="67" spans="1:80" s="31" customFormat="1" ht="18" customHeight="1">
      <c r="A67">
        <v>10066</v>
      </c>
      <c r="B67" s="8"/>
      <c r="C67" s="8" t="s">
        <v>1769</v>
      </c>
      <c r="D67" s="5">
        <v>1</v>
      </c>
      <c r="E67" s="5">
        <v>1</v>
      </c>
      <c r="F67" s="8" t="s">
        <v>1770</v>
      </c>
      <c r="G67" s="8"/>
      <c r="H67" s="8">
        <v>1</v>
      </c>
      <c r="I67" s="8" t="s">
        <v>1771</v>
      </c>
      <c r="J67" s="8" t="s">
        <v>42</v>
      </c>
      <c r="K67" s="6"/>
      <c r="L67" s="6" t="s">
        <v>1772</v>
      </c>
      <c r="M67" s="6">
        <v>0</v>
      </c>
      <c r="N67" s="6">
        <v>1</v>
      </c>
      <c r="O67" s="6" t="s">
        <v>1773</v>
      </c>
      <c r="P67" s="6" t="s">
        <v>1774</v>
      </c>
      <c r="Q67" s="7">
        <v>3</v>
      </c>
      <c r="R67" s="6" t="s">
        <v>1775</v>
      </c>
      <c r="S67" s="6">
        <v>0.5</v>
      </c>
      <c r="T67" s="6" t="s">
        <v>1776</v>
      </c>
      <c r="U67" s="6" t="s">
        <v>64</v>
      </c>
      <c r="V67" s="9"/>
      <c r="W67" s="9" t="s">
        <v>1777</v>
      </c>
      <c r="X67" s="9">
        <v>1</v>
      </c>
      <c r="Y67" s="9">
        <v>1</v>
      </c>
      <c r="Z67" s="9" t="s">
        <v>1778</v>
      </c>
      <c r="AA67" s="9" t="s">
        <v>1779</v>
      </c>
      <c r="AB67" s="9">
        <v>1</v>
      </c>
      <c r="AC67" s="32" t="s">
        <v>1780</v>
      </c>
      <c r="AD67" s="9">
        <v>0.5</v>
      </c>
      <c r="AE67" s="9" t="s">
        <v>1781</v>
      </c>
      <c r="AF67" s="9" t="s">
        <v>67</v>
      </c>
      <c r="AG67" s="11"/>
      <c r="AH67" s="11" t="s">
        <v>1782</v>
      </c>
      <c r="AI67" s="11">
        <v>1</v>
      </c>
      <c r="AJ67" s="11">
        <v>1</v>
      </c>
      <c r="AK67" s="11" t="s">
        <v>1783</v>
      </c>
      <c r="AL67" s="11">
        <v>0.5</v>
      </c>
      <c r="AM67" s="11" t="s">
        <v>107</v>
      </c>
      <c r="AN67" s="11" t="s">
        <v>42</v>
      </c>
      <c r="AO67" s="6"/>
      <c r="AP67" s="6" t="s">
        <v>1784</v>
      </c>
      <c r="AQ67" s="6">
        <v>1</v>
      </c>
      <c r="AR67" s="6">
        <v>1</v>
      </c>
      <c r="AS67" s="6" t="s">
        <v>120</v>
      </c>
      <c r="AT67" s="6" t="s">
        <v>1785</v>
      </c>
      <c r="AU67" s="6">
        <v>2</v>
      </c>
      <c r="AV67" s="7">
        <v>0</v>
      </c>
      <c r="AW67" s="6" t="s">
        <v>1786</v>
      </c>
      <c r="AX67" s="6">
        <v>0.5</v>
      </c>
      <c r="AY67" s="6" t="s">
        <v>1787</v>
      </c>
      <c r="AZ67" s="6" t="s">
        <v>37</v>
      </c>
      <c r="BA67" s="9"/>
      <c r="BB67" s="9" t="s">
        <v>1788</v>
      </c>
      <c r="BC67" s="9">
        <v>0.5</v>
      </c>
      <c r="BD67" s="9">
        <v>0.5</v>
      </c>
      <c r="BE67" s="9" t="s">
        <v>1789</v>
      </c>
      <c r="BF67" s="9">
        <v>0.5</v>
      </c>
      <c r="BG67" s="9" t="s">
        <v>1790</v>
      </c>
      <c r="BH67" s="9" t="s">
        <v>42</v>
      </c>
      <c r="BI67" s="8"/>
      <c r="BJ67" s="8" t="s">
        <v>1791</v>
      </c>
      <c r="BK67" s="8">
        <v>1</v>
      </c>
      <c r="BL67" s="8">
        <v>1</v>
      </c>
      <c r="BM67" s="8" t="s">
        <v>1792</v>
      </c>
      <c r="BN67" s="8">
        <v>0</v>
      </c>
      <c r="BO67" s="8" t="s">
        <v>72</v>
      </c>
      <c r="BP67" s="8" t="s">
        <v>42</v>
      </c>
      <c r="BQ67" s="11"/>
      <c r="BR67" s="11" t="s">
        <v>1793</v>
      </c>
      <c r="BS67" s="11">
        <v>1</v>
      </c>
      <c r="BT67" s="11">
        <v>0.5</v>
      </c>
      <c r="BU67" s="11" t="s">
        <v>1794</v>
      </c>
      <c r="BV67" s="11" t="s">
        <v>1795</v>
      </c>
      <c r="BW67" s="11">
        <v>1</v>
      </c>
      <c r="BX67" s="11" t="s">
        <v>1796</v>
      </c>
      <c r="BY67" s="11">
        <v>0.5</v>
      </c>
      <c r="BZ67" s="11" t="s">
        <v>1797</v>
      </c>
      <c r="CA67" s="11" t="s">
        <v>43</v>
      </c>
      <c r="CB67" s="22"/>
    </row>
    <row r="68" spans="1:80" s="31" customFormat="1" ht="18" customHeight="1">
      <c r="A68">
        <v>10067</v>
      </c>
      <c r="B68" s="8"/>
      <c r="C68" s="8" t="s">
        <v>255</v>
      </c>
      <c r="D68" s="5">
        <v>1</v>
      </c>
      <c r="E68" s="5">
        <v>1</v>
      </c>
      <c r="F68" s="8" t="s">
        <v>1798</v>
      </c>
      <c r="G68" s="8"/>
      <c r="H68" s="8">
        <v>1</v>
      </c>
      <c r="I68" s="8" t="s">
        <v>1799</v>
      </c>
      <c r="J68" s="8" t="s">
        <v>42</v>
      </c>
      <c r="K68" s="6"/>
      <c r="L68" s="6" t="s">
        <v>465</v>
      </c>
      <c r="M68" s="6">
        <v>1</v>
      </c>
      <c r="N68" s="6">
        <v>1</v>
      </c>
      <c r="O68" s="6" t="s">
        <v>1800</v>
      </c>
      <c r="P68" s="6" t="s">
        <v>1801</v>
      </c>
      <c r="Q68" s="7">
        <v>3</v>
      </c>
      <c r="R68" s="6" t="s">
        <v>1802</v>
      </c>
      <c r="S68" s="6">
        <v>0.5</v>
      </c>
      <c r="T68" s="6" t="s">
        <v>1803</v>
      </c>
      <c r="U68" s="6" t="s">
        <v>42</v>
      </c>
      <c r="V68" s="9"/>
      <c r="W68" s="9" t="s">
        <v>609</v>
      </c>
      <c r="X68" s="9">
        <v>1</v>
      </c>
      <c r="Y68" s="9">
        <v>1</v>
      </c>
      <c r="Z68" s="9" t="s">
        <v>1804</v>
      </c>
      <c r="AA68" s="9" t="s">
        <v>1805</v>
      </c>
      <c r="AB68" s="9">
        <v>0</v>
      </c>
      <c r="AC68" s="32" t="s">
        <v>1806</v>
      </c>
      <c r="AD68" s="9">
        <v>0.5</v>
      </c>
      <c r="AE68" s="9" t="s">
        <v>1807</v>
      </c>
      <c r="AF68" s="9" t="s">
        <v>42</v>
      </c>
      <c r="AG68" s="11"/>
      <c r="AH68" s="11" t="s">
        <v>771</v>
      </c>
      <c r="AI68" s="11">
        <v>1</v>
      </c>
      <c r="AJ68" s="11">
        <v>1</v>
      </c>
      <c r="AK68" s="11" t="s">
        <v>1808</v>
      </c>
      <c r="AL68" s="11">
        <v>1</v>
      </c>
      <c r="AM68" s="11" t="s">
        <v>1809</v>
      </c>
      <c r="AN68" s="11" t="s">
        <v>36</v>
      </c>
      <c r="AO68" s="6"/>
      <c r="AP68" s="6" t="s">
        <v>1810</v>
      </c>
      <c r="AQ68" s="6">
        <v>1</v>
      </c>
      <c r="AR68" s="6">
        <v>1</v>
      </c>
      <c r="AS68" s="6" t="s">
        <v>1811</v>
      </c>
      <c r="AT68" s="6" t="s">
        <v>1812</v>
      </c>
      <c r="AU68" s="6">
        <v>3</v>
      </c>
      <c r="AV68" s="7">
        <v>2</v>
      </c>
      <c r="AW68" s="6" t="s">
        <v>84</v>
      </c>
      <c r="AX68" s="6">
        <v>0</v>
      </c>
      <c r="AY68" s="6" t="s">
        <v>1813</v>
      </c>
      <c r="AZ68" s="6" t="s">
        <v>43</v>
      </c>
      <c r="BA68" s="9"/>
      <c r="BB68" s="9" t="s">
        <v>1814</v>
      </c>
      <c r="BC68" s="9">
        <v>1</v>
      </c>
      <c r="BD68" s="9">
        <v>1</v>
      </c>
      <c r="BE68" s="9" t="s">
        <v>1815</v>
      </c>
      <c r="BF68" s="9">
        <v>1</v>
      </c>
      <c r="BG68" s="9" t="s">
        <v>1816</v>
      </c>
      <c r="BH68" s="9" t="s">
        <v>35</v>
      </c>
      <c r="BI68" s="8"/>
      <c r="BJ68" s="8" t="s">
        <v>1009</v>
      </c>
      <c r="BK68" s="8">
        <v>1</v>
      </c>
      <c r="BL68" s="8">
        <v>1</v>
      </c>
      <c r="BM68" s="8" t="s">
        <v>1817</v>
      </c>
      <c r="BN68" s="8">
        <v>0.5</v>
      </c>
      <c r="BO68" s="8" t="s">
        <v>1818</v>
      </c>
      <c r="BP68" s="8" t="s">
        <v>36</v>
      </c>
      <c r="BQ68" s="11"/>
      <c r="BR68" s="11" t="s">
        <v>250</v>
      </c>
      <c r="BS68" s="11">
        <v>1</v>
      </c>
      <c r="BT68" s="11">
        <v>1</v>
      </c>
      <c r="BU68" s="11" t="s">
        <v>1819</v>
      </c>
      <c r="BV68" s="11" t="s">
        <v>1820</v>
      </c>
      <c r="BW68" s="11">
        <v>3</v>
      </c>
      <c r="BX68" s="11" t="s">
        <v>84</v>
      </c>
      <c r="BY68" s="11">
        <v>0</v>
      </c>
      <c r="BZ68" s="11" t="s">
        <v>1821</v>
      </c>
      <c r="CA68" s="11" t="s">
        <v>67</v>
      </c>
      <c r="CB68" s="22"/>
    </row>
    <row r="69" spans="1:80" s="31" customFormat="1" ht="18" customHeight="1">
      <c r="A69">
        <v>10068</v>
      </c>
      <c r="B69" s="8"/>
      <c r="C69" s="8" t="s">
        <v>1822</v>
      </c>
      <c r="D69" s="5">
        <v>1</v>
      </c>
      <c r="E69" s="5">
        <v>1</v>
      </c>
      <c r="F69" s="8" t="s">
        <v>1823</v>
      </c>
      <c r="G69" s="8"/>
      <c r="H69" s="8">
        <v>2</v>
      </c>
      <c r="I69" s="8" t="s">
        <v>1824</v>
      </c>
      <c r="J69" s="8" t="s">
        <v>64</v>
      </c>
      <c r="K69" s="6"/>
      <c r="L69" s="6" t="s">
        <v>1825</v>
      </c>
      <c r="M69" s="6">
        <v>1</v>
      </c>
      <c r="N69" s="6">
        <v>1</v>
      </c>
      <c r="O69" s="6" t="s">
        <v>1826</v>
      </c>
      <c r="P69" s="6" t="s">
        <v>1827</v>
      </c>
      <c r="Q69" s="7">
        <v>3</v>
      </c>
      <c r="R69" s="6" t="s">
        <v>1604</v>
      </c>
      <c r="S69" s="6">
        <v>0.5</v>
      </c>
      <c r="T69" s="6" t="s">
        <v>1828</v>
      </c>
      <c r="U69" s="6" t="s">
        <v>43</v>
      </c>
      <c r="V69" s="9"/>
      <c r="W69" s="9" t="s">
        <v>1829</v>
      </c>
      <c r="X69" s="9">
        <v>1</v>
      </c>
      <c r="Y69" s="9">
        <v>1</v>
      </c>
      <c r="Z69" s="9" t="s">
        <v>1830</v>
      </c>
      <c r="AA69" s="9" t="s">
        <v>1831</v>
      </c>
      <c r="AB69" s="9">
        <v>3</v>
      </c>
      <c r="AC69" s="32" t="s">
        <v>1832</v>
      </c>
      <c r="AD69" s="9">
        <v>0.5</v>
      </c>
      <c r="AE69" s="9" t="s">
        <v>1833</v>
      </c>
      <c r="AF69" s="9" t="s">
        <v>36</v>
      </c>
      <c r="AG69" s="11"/>
      <c r="AH69" s="11" t="s">
        <v>1834</v>
      </c>
      <c r="AI69" s="11">
        <v>1</v>
      </c>
      <c r="AJ69" s="11">
        <v>1</v>
      </c>
      <c r="AK69" s="11" t="s">
        <v>1835</v>
      </c>
      <c r="AL69" s="11">
        <v>1</v>
      </c>
      <c r="AM69" s="11" t="s">
        <v>1836</v>
      </c>
      <c r="AN69" s="11" t="s">
        <v>64</v>
      </c>
      <c r="AO69" s="6"/>
      <c r="AP69" s="6" t="s">
        <v>1837</v>
      </c>
      <c r="AQ69" s="6">
        <v>1</v>
      </c>
      <c r="AR69" s="6">
        <v>1</v>
      </c>
      <c r="AS69" s="6" t="s">
        <v>1838</v>
      </c>
      <c r="AT69" s="6" t="s">
        <v>1839</v>
      </c>
      <c r="AU69" s="6">
        <v>3</v>
      </c>
      <c r="AV69" s="7">
        <v>0</v>
      </c>
      <c r="AW69" s="6" t="s">
        <v>1840</v>
      </c>
      <c r="AX69" s="6">
        <v>0</v>
      </c>
      <c r="AY69" s="6" t="s">
        <v>1841</v>
      </c>
      <c r="AZ69" s="6" t="s">
        <v>37</v>
      </c>
      <c r="BA69" s="9"/>
      <c r="BB69" s="9" t="s">
        <v>1842</v>
      </c>
      <c r="BC69" s="9">
        <v>0.5</v>
      </c>
      <c r="BD69" s="9">
        <v>0</v>
      </c>
      <c r="BE69" s="9" t="s">
        <v>115</v>
      </c>
      <c r="BF69" s="9">
        <v>0.5</v>
      </c>
      <c r="BG69" s="9" t="s">
        <v>1843</v>
      </c>
      <c r="BH69" s="9" t="s">
        <v>64</v>
      </c>
      <c r="BI69" s="8"/>
      <c r="BJ69" s="8" t="s">
        <v>1844</v>
      </c>
      <c r="BK69" s="8">
        <v>1</v>
      </c>
      <c r="BL69" s="8">
        <v>1</v>
      </c>
      <c r="BM69" s="8" t="s">
        <v>1845</v>
      </c>
      <c r="BN69" s="8">
        <v>0</v>
      </c>
      <c r="BO69" s="8" t="s">
        <v>1846</v>
      </c>
      <c r="BP69" s="8" t="s">
        <v>37</v>
      </c>
      <c r="BQ69" s="11"/>
      <c r="BR69" s="11" t="s">
        <v>1847</v>
      </c>
      <c r="BS69" s="11">
        <v>1</v>
      </c>
      <c r="BT69" s="11">
        <v>1</v>
      </c>
      <c r="BU69" s="11" t="s">
        <v>1848</v>
      </c>
      <c r="BV69" s="11" t="s">
        <v>1849</v>
      </c>
      <c r="BW69" s="11">
        <v>0</v>
      </c>
      <c r="BX69" s="11" t="s">
        <v>1850</v>
      </c>
      <c r="BY69" s="11">
        <v>0.5</v>
      </c>
      <c r="BZ69" s="11" t="s">
        <v>1851</v>
      </c>
      <c r="CA69" s="11" t="s">
        <v>42</v>
      </c>
      <c r="CB69" s="22"/>
    </row>
    <row r="70" spans="1:80" s="31" customFormat="1" ht="18" customHeight="1">
      <c r="A70">
        <v>10069</v>
      </c>
      <c r="B70" s="8"/>
      <c r="C70" s="8" t="s">
        <v>760</v>
      </c>
      <c r="D70" s="5">
        <v>1</v>
      </c>
      <c r="E70" s="5">
        <v>1</v>
      </c>
      <c r="F70" s="8" t="s">
        <v>1852</v>
      </c>
      <c r="G70" s="8"/>
      <c r="H70" s="8">
        <v>3</v>
      </c>
      <c r="I70" s="8" t="s">
        <v>1853</v>
      </c>
      <c r="J70" s="8" t="s">
        <v>67</v>
      </c>
      <c r="K70" s="6"/>
      <c r="L70" s="6" t="s">
        <v>230</v>
      </c>
      <c r="M70" s="6">
        <v>1</v>
      </c>
      <c r="N70" s="6">
        <v>1</v>
      </c>
      <c r="O70" s="6" t="s">
        <v>1854</v>
      </c>
      <c r="P70" s="6" t="s">
        <v>1855</v>
      </c>
      <c r="Q70" s="7">
        <v>3</v>
      </c>
      <c r="R70" s="6" t="s">
        <v>1856</v>
      </c>
      <c r="S70" s="6">
        <v>0.5</v>
      </c>
      <c r="T70" s="6" t="s">
        <v>1857</v>
      </c>
      <c r="U70" s="6" t="s">
        <v>42</v>
      </c>
      <c r="V70" s="9"/>
      <c r="W70" s="9" t="s">
        <v>565</v>
      </c>
      <c r="X70" s="9">
        <v>1</v>
      </c>
      <c r="Y70" s="9">
        <v>1</v>
      </c>
      <c r="Z70" s="9" t="s">
        <v>1858</v>
      </c>
      <c r="AA70" s="9" t="s">
        <v>1859</v>
      </c>
      <c r="AB70" s="9">
        <v>3</v>
      </c>
      <c r="AC70" s="32" t="s">
        <v>1860</v>
      </c>
      <c r="AD70" s="9">
        <v>0</v>
      </c>
      <c r="AE70" s="9" t="s">
        <v>1861</v>
      </c>
      <c r="AF70" s="9" t="s">
        <v>42</v>
      </c>
      <c r="AG70" s="11"/>
      <c r="AH70" s="11" t="s">
        <v>612</v>
      </c>
      <c r="AI70" s="11">
        <v>1</v>
      </c>
      <c r="AJ70" s="11">
        <v>1</v>
      </c>
      <c r="AK70" s="11" t="s">
        <v>206</v>
      </c>
      <c r="AL70" s="11">
        <v>1</v>
      </c>
      <c r="AM70" s="11" t="s">
        <v>150</v>
      </c>
      <c r="AN70" s="11" t="s">
        <v>35</v>
      </c>
      <c r="AO70" s="6"/>
      <c r="AP70" s="6" t="s">
        <v>450</v>
      </c>
      <c r="AQ70" s="6">
        <v>1</v>
      </c>
      <c r="AR70" s="6">
        <v>1</v>
      </c>
      <c r="AS70" s="6" t="s">
        <v>1862</v>
      </c>
      <c r="AT70" s="6" t="s">
        <v>154</v>
      </c>
      <c r="AU70" s="6">
        <v>3</v>
      </c>
      <c r="AV70" s="7">
        <v>1</v>
      </c>
      <c r="AW70" s="6" t="s">
        <v>187</v>
      </c>
      <c r="AX70" s="6">
        <v>0.5</v>
      </c>
      <c r="AY70" s="6" t="s">
        <v>150</v>
      </c>
      <c r="AZ70" s="6" t="s">
        <v>35</v>
      </c>
      <c r="BA70" s="9"/>
      <c r="BB70" s="9" t="s">
        <v>1863</v>
      </c>
      <c r="BC70" s="9">
        <v>1</v>
      </c>
      <c r="BD70" s="9">
        <v>1</v>
      </c>
      <c r="BE70" s="9" t="s">
        <v>206</v>
      </c>
      <c r="BF70" s="9">
        <v>1</v>
      </c>
      <c r="BG70" s="9" t="s">
        <v>1864</v>
      </c>
      <c r="BH70" s="9" t="s">
        <v>35</v>
      </c>
      <c r="BI70" s="8"/>
      <c r="BJ70" s="8" t="s">
        <v>248</v>
      </c>
      <c r="BK70" s="8">
        <v>1</v>
      </c>
      <c r="BL70" s="8">
        <v>1</v>
      </c>
      <c r="BM70" s="8" t="s">
        <v>149</v>
      </c>
      <c r="BN70" s="8">
        <v>0</v>
      </c>
      <c r="BO70" s="8" t="s">
        <v>150</v>
      </c>
      <c r="BP70" s="8" t="s">
        <v>35</v>
      </c>
      <c r="BQ70" s="11"/>
      <c r="BR70" s="11" t="s">
        <v>1865</v>
      </c>
      <c r="BS70" s="11">
        <v>1</v>
      </c>
      <c r="BT70" s="11">
        <v>1</v>
      </c>
      <c r="BU70" s="11" t="s">
        <v>1866</v>
      </c>
      <c r="BV70" s="11" t="s">
        <v>1867</v>
      </c>
      <c r="BW70" s="11">
        <v>3</v>
      </c>
      <c r="BX70" s="11" t="s">
        <v>149</v>
      </c>
      <c r="BY70" s="11">
        <v>0</v>
      </c>
      <c r="BZ70" s="11" t="s">
        <v>150</v>
      </c>
      <c r="CA70" s="11" t="s">
        <v>35</v>
      </c>
      <c r="CB70" s="22"/>
    </row>
    <row r="71" spans="1:80" s="31" customFormat="1" ht="18" customHeight="1">
      <c r="A71">
        <v>10070</v>
      </c>
      <c r="B71" s="8"/>
      <c r="C71" s="8" t="s">
        <v>1868</v>
      </c>
      <c r="D71" s="5">
        <v>1</v>
      </c>
      <c r="E71" s="5">
        <v>1</v>
      </c>
      <c r="F71" s="8" t="s">
        <v>1869</v>
      </c>
      <c r="G71" s="8"/>
      <c r="H71" s="8">
        <v>1</v>
      </c>
      <c r="I71" s="8" t="s">
        <v>1870</v>
      </c>
      <c r="J71" s="8" t="s">
        <v>42</v>
      </c>
      <c r="K71" s="6"/>
      <c r="L71" s="6" t="s">
        <v>465</v>
      </c>
      <c r="M71" s="6">
        <v>1</v>
      </c>
      <c r="N71" s="6">
        <v>1</v>
      </c>
      <c r="O71" s="6" t="s">
        <v>1871</v>
      </c>
      <c r="P71" s="6" t="s">
        <v>1872</v>
      </c>
      <c r="Q71" s="7">
        <v>3</v>
      </c>
      <c r="R71" s="6" t="s">
        <v>1873</v>
      </c>
      <c r="S71" s="6">
        <v>0.5</v>
      </c>
      <c r="T71" s="6" t="s">
        <v>1874</v>
      </c>
      <c r="U71" s="6" t="s">
        <v>43</v>
      </c>
      <c r="V71" s="9"/>
      <c r="W71" s="9" t="s">
        <v>712</v>
      </c>
      <c r="X71" s="9">
        <v>1</v>
      </c>
      <c r="Y71" s="9">
        <v>1</v>
      </c>
      <c r="Z71" s="9" t="s">
        <v>1875</v>
      </c>
      <c r="AA71" s="9" t="s">
        <v>1876</v>
      </c>
      <c r="AB71" s="9">
        <v>3</v>
      </c>
      <c r="AC71" s="32" t="s">
        <v>1877</v>
      </c>
      <c r="AD71" s="9">
        <v>0.5</v>
      </c>
      <c r="AE71" s="9" t="s">
        <v>1878</v>
      </c>
      <c r="AF71" s="9" t="s">
        <v>42</v>
      </c>
      <c r="AG71" s="11"/>
      <c r="AH71" s="11" t="s">
        <v>267</v>
      </c>
      <c r="AI71" s="11">
        <v>1</v>
      </c>
      <c r="AJ71" s="11">
        <v>1</v>
      </c>
      <c r="AK71" s="11" t="s">
        <v>1879</v>
      </c>
      <c r="AL71" s="11">
        <v>1</v>
      </c>
      <c r="AM71" s="11" t="s">
        <v>1880</v>
      </c>
      <c r="AN71" s="11" t="s">
        <v>35</v>
      </c>
      <c r="AO71" s="6"/>
      <c r="AP71" s="6" t="s">
        <v>1881</v>
      </c>
      <c r="AQ71" s="6">
        <v>1</v>
      </c>
      <c r="AR71" s="6">
        <v>1</v>
      </c>
      <c r="AS71" s="6" t="s">
        <v>97</v>
      </c>
      <c r="AT71" s="6" t="s">
        <v>1882</v>
      </c>
      <c r="AU71" s="6">
        <v>2</v>
      </c>
      <c r="AV71" s="7">
        <v>3</v>
      </c>
      <c r="AW71" s="6" t="s">
        <v>41</v>
      </c>
      <c r="AX71" s="6">
        <v>0.5</v>
      </c>
      <c r="AY71" s="6" t="s">
        <v>1883</v>
      </c>
      <c r="AZ71" s="6" t="s">
        <v>42</v>
      </c>
      <c r="BA71" s="9"/>
      <c r="BB71" s="9" t="s">
        <v>1884</v>
      </c>
      <c r="BC71" s="9">
        <v>1</v>
      </c>
      <c r="BD71" s="9">
        <v>1</v>
      </c>
      <c r="BE71" s="9" t="s">
        <v>61</v>
      </c>
      <c r="BF71" s="9">
        <v>0.5</v>
      </c>
      <c r="BG71" s="9" t="s">
        <v>1885</v>
      </c>
      <c r="BH71" s="9" t="s">
        <v>42</v>
      </c>
      <c r="BI71" s="8"/>
      <c r="BJ71" s="8" t="s">
        <v>1886</v>
      </c>
      <c r="BK71" s="8">
        <v>1</v>
      </c>
      <c r="BL71" s="8">
        <v>1</v>
      </c>
      <c r="BM71" s="8" t="s">
        <v>1887</v>
      </c>
      <c r="BN71" s="8">
        <v>0.5</v>
      </c>
      <c r="BO71" s="8" t="s">
        <v>1888</v>
      </c>
      <c r="BP71" s="8" t="s">
        <v>42</v>
      </c>
      <c r="BQ71" s="11"/>
      <c r="BR71" s="11" t="s">
        <v>1889</v>
      </c>
      <c r="BS71" s="11">
        <v>1</v>
      </c>
      <c r="BT71" s="11">
        <v>1</v>
      </c>
      <c r="BU71" s="11" t="s">
        <v>97</v>
      </c>
      <c r="BV71" s="11" t="s">
        <v>1890</v>
      </c>
      <c r="BW71" s="11">
        <v>1</v>
      </c>
      <c r="BX71" s="11" t="s">
        <v>109</v>
      </c>
      <c r="BY71" s="11">
        <v>0</v>
      </c>
      <c r="BZ71" s="11" t="s">
        <v>1891</v>
      </c>
      <c r="CA71" s="11" t="s">
        <v>43</v>
      </c>
      <c r="CB71" s="22"/>
    </row>
    <row r="72" spans="1:80" s="31" customFormat="1" ht="18" customHeight="1">
      <c r="A72">
        <v>10071</v>
      </c>
      <c r="B72" s="8"/>
      <c r="C72" s="8" t="s">
        <v>228</v>
      </c>
      <c r="D72" s="5">
        <v>1</v>
      </c>
      <c r="E72" s="5">
        <v>1</v>
      </c>
      <c r="F72" s="8" t="s">
        <v>1892</v>
      </c>
      <c r="G72" s="8"/>
      <c r="H72" s="8">
        <v>1</v>
      </c>
      <c r="I72" s="8" t="s">
        <v>1893</v>
      </c>
      <c r="J72" s="8" t="s">
        <v>42</v>
      </c>
      <c r="K72" s="6"/>
      <c r="L72" s="6" t="s">
        <v>230</v>
      </c>
      <c r="M72" s="6">
        <v>1</v>
      </c>
      <c r="N72" s="6">
        <v>1</v>
      </c>
      <c r="O72" s="6" t="s">
        <v>1894</v>
      </c>
      <c r="P72" s="6" t="s">
        <v>1895</v>
      </c>
      <c r="Q72" s="7">
        <v>3</v>
      </c>
      <c r="R72" s="6" t="s">
        <v>141</v>
      </c>
      <c r="S72" s="6">
        <v>1</v>
      </c>
      <c r="T72" s="6" t="s">
        <v>1896</v>
      </c>
      <c r="U72" s="6" t="s">
        <v>42</v>
      </c>
      <c r="V72" s="9"/>
      <c r="W72" s="9" t="s">
        <v>1231</v>
      </c>
      <c r="X72" s="9">
        <v>1</v>
      </c>
      <c r="Y72" s="9">
        <v>1</v>
      </c>
      <c r="Z72" s="9" t="s">
        <v>1897</v>
      </c>
      <c r="AA72" s="9" t="s">
        <v>1898</v>
      </c>
      <c r="AB72" s="9">
        <v>0</v>
      </c>
      <c r="AC72" s="32" t="s">
        <v>1850</v>
      </c>
      <c r="AD72" s="9">
        <v>0.5</v>
      </c>
      <c r="AE72" s="9" t="s">
        <v>1899</v>
      </c>
      <c r="AF72" s="9" t="s">
        <v>42</v>
      </c>
      <c r="AG72" s="11"/>
      <c r="AH72" s="11" t="s">
        <v>238</v>
      </c>
      <c r="AI72" s="11">
        <v>1</v>
      </c>
      <c r="AJ72" s="11">
        <v>1</v>
      </c>
      <c r="AK72" s="11" t="s">
        <v>1900</v>
      </c>
      <c r="AL72" s="11">
        <v>0.5</v>
      </c>
      <c r="AM72" s="11" t="s">
        <v>1901</v>
      </c>
      <c r="AN72" s="11" t="s">
        <v>42</v>
      </c>
      <c r="AO72" s="6"/>
      <c r="AP72" s="6" t="s">
        <v>1902</v>
      </c>
      <c r="AQ72" s="6">
        <v>0.5</v>
      </c>
      <c r="AR72" s="6">
        <v>0.5</v>
      </c>
      <c r="AS72" s="6" t="s">
        <v>1903</v>
      </c>
      <c r="AT72" s="6" t="s">
        <v>1904</v>
      </c>
      <c r="AU72" s="6">
        <v>3</v>
      </c>
      <c r="AV72" s="7">
        <v>3</v>
      </c>
      <c r="AW72" s="6" t="s">
        <v>141</v>
      </c>
      <c r="AX72" s="6">
        <v>0.5</v>
      </c>
      <c r="AY72" s="6" t="s">
        <v>1905</v>
      </c>
      <c r="AZ72" s="6" t="s">
        <v>42</v>
      </c>
      <c r="BA72" s="9"/>
      <c r="BB72" s="9" t="s">
        <v>1906</v>
      </c>
      <c r="BC72" s="9">
        <v>1</v>
      </c>
      <c r="BD72" s="9">
        <v>1</v>
      </c>
      <c r="BE72" s="9" t="s">
        <v>81</v>
      </c>
      <c r="BF72" s="9">
        <v>0.5</v>
      </c>
      <c r="BG72" s="9" t="s">
        <v>1907</v>
      </c>
      <c r="BH72" s="9" t="s">
        <v>42</v>
      </c>
      <c r="BI72" s="8"/>
      <c r="BJ72" s="8" t="s">
        <v>1115</v>
      </c>
      <c r="BK72" s="8">
        <v>1</v>
      </c>
      <c r="BL72" s="8">
        <v>1</v>
      </c>
      <c r="BM72" s="8" t="s">
        <v>1908</v>
      </c>
      <c r="BN72" s="8">
        <v>0.5</v>
      </c>
      <c r="BO72" s="8" t="s">
        <v>93</v>
      </c>
      <c r="BP72" s="8" t="s">
        <v>42</v>
      </c>
      <c r="BQ72" s="11"/>
      <c r="BR72" s="11" t="s">
        <v>1909</v>
      </c>
      <c r="BS72" s="11">
        <v>1</v>
      </c>
      <c r="BT72" s="11">
        <v>1</v>
      </c>
      <c r="BU72" s="11" t="s">
        <v>1910</v>
      </c>
      <c r="BV72" s="11" t="s">
        <v>1911</v>
      </c>
      <c r="BW72" s="11">
        <v>1</v>
      </c>
      <c r="BX72" s="11" t="s">
        <v>158</v>
      </c>
      <c r="BY72" s="11">
        <v>0</v>
      </c>
      <c r="BZ72" s="11" t="s">
        <v>1912</v>
      </c>
      <c r="CA72" s="11" t="s">
        <v>35</v>
      </c>
      <c r="CB72" s="22"/>
    </row>
    <row r="73" spans="1:80" s="31" customFormat="1" ht="18" customHeight="1">
      <c r="A73">
        <v>10072</v>
      </c>
      <c r="B73" s="8"/>
      <c r="C73" s="8" t="s">
        <v>1913</v>
      </c>
      <c r="D73" s="5">
        <v>1</v>
      </c>
      <c r="E73" s="5">
        <v>1</v>
      </c>
      <c r="F73" s="8" t="s">
        <v>1914</v>
      </c>
      <c r="G73" s="8"/>
      <c r="H73" s="8">
        <v>3</v>
      </c>
      <c r="I73" s="8" t="s">
        <v>1915</v>
      </c>
      <c r="J73" s="8" t="s">
        <v>67</v>
      </c>
      <c r="K73" s="6"/>
      <c r="L73" s="6" t="s">
        <v>1916</v>
      </c>
      <c r="M73" s="6">
        <v>0</v>
      </c>
      <c r="N73" s="6">
        <v>1</v>
      </c>
      <c r="O73" s="6" t="s">
        <v>1917</v>
      </c>
      <c r="P73" s="6" t="s">
        <v>1918</v>
      </c>
      <c r="Q73" s="7">
        <v>3</v>
      </c>
      <c r="R73" s="6" t="s">
        <v>52</v>
      </c>
      <c r="S73" s="6">
        <v>0.5</v>
      </c>
      <c r="T73" s="6" t="s">
        <v>1919</v>
      </c>
      <c r="U73" s="6" t="s">
        <v>64</v>
      </c>
      <c r="V73" s="9"/>
      <c r="W73" s="9" t="s">
        <v>1920</v>
      </c>
      <c r="X73" s="9">
        <v>1</v>
      </c>
      <c r="Y73" s="9">
        <v>1</v>
      </c>
      <c r="Z73" s="9" t="s">
        <v>1921</v>
      </c>
      <c r="AA73" s="9" t="s">
        <v>1922</v>
      </c>
      <c r="AB73" s="9">
        <v>2</v>
      </c>
      <c r="AC73" s="32" t="s">
        <v>109</v>
      </c>
      <c r="AD73" s="9">
        <v>0</v>
      </c>
      <c r="AE73" s="9" t="s">
        <v>1923</v>
      </c>
      <c r="AF73" s="9" t="s">
        <v>37</v>
      </c>
      <c r="AG73" s="11"/>
      <c r="AH73" s="11" t="s">
        <v>1924</v>
      </c>
      <c r="AI73" s="11">
        <v>1</v>
      </c>
      <c r="AJ73" s="11">
        <v>1</v>
      </c>
      <c r="AK73" s="11" t="s">
        <v>59</v>
      </c>
      <c r="AL73" s="11">
        <v>0.5</v>
      </c>
      <c r="AM73" s="11" t="s">
        <v>1925</v>
      </c>
      <c r="AN73" s="11" t="s">
        <v>64</v>
      </c>
      <c r="AO73" s="6"/>
      <c r="AP73" s="6" t="s">
        <v>1926</v>
      </c>
      <c r="AQ73" s="6">
        <v>0.5</v>
      </c>
      <c r="AR73" s="6">
        <v>0.5</v>
      </c>
      <c r="AS73" s="6" t="s">
        <v>1927</v>
      </c>
      <c r="AT73" s="6" t="s">
        <v>97</v>
      </c>
      <c r="AU73" s="6">
        <v>3</v>
      </c>
      <c r="AV73" s="7">
        <v>2</v>
      </c>
      <c r="AW73" s="6" t="s">
        <v>41</v>
      </c>
      <c r="AX73" s="6">
        <v>0.5</v>
      </c>
      <c r="AY73" s="6" t="s">
        <v>1928</v>
      </c>
      <c r="AZ73" s="6" t="s">
        <v>43</v>
      </c>
      <c r="BA73" s="9"/>
      <c r="BB73" s="9" t="s">
        <v>1929</v>
      </c>
      <c r="BC73" s="9">
        <v>1</v>
      </c>
      <c r="BD73" s="9">
        <v>1</v>
      </c>
      <c r="BE73" s="9" t="s">
        <v>81</v>
      </c>
      <c r="BF73" s="9">
        <v>0.5</v>
      </c>
      <c r="BG73" s="9" t="s">
        <v>1930</v>
      </c>
      <c r="BH73" s="9" t="s">
        <v>42</v>
      </c>
      <c r="BI73" s="8"/>
      <c r="BJ73" s="8" t="s">
        <v>1931</v>
      </c>
      <c r="BK73" s="8">
        <v>1</v>
      </c>
      <c r="BL73" s="8">
        <v>1</v>
      </c>
      <c r="BM73" s="8" t="s">
        <v>1873</v>
      </c>
      <c r="BN73" s="8">
        <v>0</v>
      </c>
      <c r="BO73" s="8" t="s">
        <v>107</v>
      </c>
      <c r="BP73" s="8" t="s">
        <v>42</v>
      </c>
      <c r="BQ73" s="11"/>
      <c r="BR73" s="11" t="s">
        <v>1932</v>
      </c>
      <c r="BS73" s="11">
        <v>0.5</v>
      </c>
      <c r="BT73" s="11">
        <v>1</v>
      </c>
      <c r="BU73" s="11" t="s">
        <v>1933</v>
      </c>
      <c r="BV73" s="11" t="s">
        <v>1934</v>
      </c>
      <c r="BW73" s="11">
        <v>1</v>
      </c>
      <c r="BX73" s="11" t="s">
        <v>109</v>
      </c>
      <c r="BY73" s="11">
        <v>0</v>
      </c>
      <c r="BZ73" s="11" t="s">
        <v>107</v>
      </c>
      <c r="CA73" s="11" t="s">
        <v>42</v>
      </c>
      <c r="CB73" s="22"/>
    </row>
    <row r="74" spans="1:80" s="31" customFormat="1" ht="18" customHeight="1">
      <c r="A74">
        <v>10073</v>
      </c>
      <c r="B74" s="8"/>
      <c r="C74" s="8" t="s">
        <v>1935</v>
      </c>
      <c r="D74" s="5">
        <v>1</v>
      </c>
      <c r="E74" s="5">
        <v>1</v>
      </c>
      <c r="F74" s="8" t="s">
        <v>1936</v>
      </c>
      <c r="G74" s="8"/>
      <c r="H74" s="8">
        <v>3</v>
      </c>
      <c r="I74" s="8" t="s">
        <v>1937</v>
      </c>
      <c r="J74" s="8" t="s">
        <v>42</v>
      </c>
      <c r="K74" s="6"/>
      <c r="L74" s="6" t="s">
        <v>1938</v>
      </c>
      <c r="M74" s="6">
        <v>1</v>
      </c>
      <c r="N74" s="6">
        <v>1</v>
      </c>
      <c r="O74" s="6" t="s">
        <v>1939</v>
      </c>
      <c r="P74" s="6" t="s">
        <v>1940</v>
      </c>
      <c r="Q74" s="7">
        <v>3</v>
      </c>
      <c r="R74" s="6" t="s">
        <v>608</v>
      </c>
      <c r="S74" s="6">
        <v>0.5</v>
      </c>
      <c r="T74" s="6" t="s">
        <v>1941</v>
      </c>
      <c r="U74" s="6" t="s">
        <v>42</v>
      </c>
      <c r="V74" s="9"/>
      <c r="W74" s="9" t="s">
        <v>1942</v>
      </c>
      <c r="X74" s="9">
        <v>1</v>
      </c>
      <c r="Y74" s="9">
        <v>1</v>
      </c>
      <c r="Z74" s="9" t="s">
        <v>1943</v>
      </c>
      <c r="AA74" s="9" t="s">
        <v>1944</v>
      </c>
      <c r="AB74" s="9">
        <v>3</v>
      </c>
      <c r="AC74" s="32" t="s">
        <v>1945</v>
      </c>
      <c r="AD74" s="9">
        <v>0.5</v>
      </c>
      <c r="AE74" s="9" t="s">
        <v>1946</v>
      </c>
      <c r="AF74" s="9" t="s">
        <v>42</v>
      </c>
      <c r="AG74" s="11"/>
      <c r="AH74" s="11" t="s">
        <v>1947</v>
      </c>
      <c r="AI74" s="11">
        <v>1</v>
      </c>
      <c r="AJ74" s="11">
        <v>1</v>
      </c>
      <c r="AK74" s="11" t="s">
        <v>1948</v>
      </c>
      <c r="AL74" s="11">
        <v>1</v>
      </c>
      <c r="AM74" s="11" t="s">
        <v>1949</v>
      </c>
      <c r="AN74" s="11" t="s">
        <v>67</v>
      </c>
      <c r="AO74" s="6"/>
      <c r="AP74" s="6" t="s">
        <v>1902</v>
      </c>
      <c r="AQ74" s="6">
        <v>0.5</v>
      </c>
      <c r="AR74" s="6">
        <v>0.5</v>
      </c>
      <c r="AS74" s="6" t="s">
        <v>1950</v>
      </c>
      <c r="AT74" s="6" t="s">
        <v>1951</v>
      </c>
      <c r="AU74" s="6">
        <v>0</v>
      </c>
      <c r="AV74" s="7">
        <v>0</v>
      </c>
      <c r="AW74" s="6" t="s">
        <v>1952</v>
      </c>
      <c r="AX74" s="6">
        <v>1</v>
      </c>
      <c r="AY74" s="6" t="s">
        <v>1953</v>
      </c>
      <c r="AZ74" s="6" t="s">
        <v>43</v>
      </c>
      <c r="BA74" s="9"/>
      <c r="BB74" s="9" t="s">
        <v>1954</v>
      </c>
      <c r="BC74" s="9">
        <v>1</v>
      </c>
      <c r="BD74" s="9">
        <v>1</v>
      </c>
      <c r="BE74" s="9" t="s">
        <v>1955</v>
      </c>
      <c r="BF74" s="9">
        <v>0.5</v>
      </c>
      <c r="BG74" s="9" t="s">
        <v>1956</v>
      </c>
      <c r="BH74" s="9" t="s">
        <v>67</v>
      </c>
      <c r="BI74" s="8"/>
      <c r="BJ74" s="8" t="s">
        <v>1957</v>
      </c>
      <c r="BK74" s="8">
        <v>1</v>
      </c>
      <c r="BL74" s="8">
        <v>1</v>
      </c>
      <c r="BM74" s="8" t="s">
        <v>1958</v>
      </c>
      <c r="BN74" s="8">
        <v>0.5</v>
      </c>
      <c r="BO74" s="8" t="s">
        <v>1959</v>
      </c>
      <c r="BP74" s="8" t="s">
        <v>37</v>
      </c>
      <c r="BQ74" s="11"/>
      <c r="BR74" s="11" t="s">
        <v>1960</v>
      </c>
      <c r="BS74" s="11">
        <v>1</v>
      </c>
      <c r="BT74" s="11">
        <v>1</v>
      </c>
      <c r="BU74" s="11" t="s">
        <v>1961</v>
      </c>
      <c r="BV74" s="11" t="s">
        <v>1962</v>
      </c>
      <c r="BW74" s="11">
        <v>3</v>
      </c>
      <c r="BX74" s="11" t="s">
        <v>1963</v>
      </c>
      <c r="BY74" s="11">
        <v>0.5</v>
      </c>
      <c r="BZ74" s="11" t="s">
        <v>1964</v>
      </c>
      <c r="CA74" s="11" t="s">
        <v>37</v>
      </c>
      <c r="CB74" s="22"/>
    </row>
    <row r="75" spans="1:80" s="31" customFormat="1" ht="18" customHeight="1">
      <c r="A75">
        <v>10074</v>
      </c>
      <c r="B75" s="8"/>
      <c r="C75" s="8" t="s">
        <v>1965</v>
      </c>
      <c r="D75" s="5">
        <v>1</v>
      </c>
      <c r="E75" s="5">
        <v>1</v>
      </c>
      <c r="F75" s="8" t="s">
        <v>1966</v>
      </c>
      <c r="G75" s="8"/>
      <c r="H75" s="8">
        <v>2</v>
      </c>
      <c r="I75" s="8" t="s">
        <v>1967</v>
      </c>
      <c r="J75" s="8" t="s">
        <v>42</v>
      </c>
      <c r="K75" s="6"/>
      <c r="L75" s="6" t="s">
        <v>1968</v>
      </c>
      <c r="M75" s="6">
        <v>1</v>
      </c>
      <c r="N75" s="6">
        <v>1</v>
      </c>
      <c r="O75" s="6" t="s">
        <v>1969</v>
      </c>
      <c r="P75" s="6" t="s">
        <v>1970</v>
      </c>
      <c r="Q75" s="7">
        <v>3</v>
      </c>
      <c r="R75" s="6" t="s">
        <v>1971</v>
      </c>
      <c r="S75" s="6">
        <v>1</v>
      </c>
      <c r="T75" s="6" t="s">
        <v>1972</v>
      </c>
      <c r="U75" s="6" t="s">
        <v>36</v>
      </c>
      <c r="V75" s="9"/>
      <c r="W75" s="9" t="s">
        <v>1973</v>
      </c>
      <c r="X75" s="9">
        <v>1</v>
      </c>
      <c r="Y75" s="9">
        <v>1</v>
      </c>
      <c r="Z75" s="9" t="s">
        <v>1974</v>
      </c>
      <c r="AA75" s="9" t="s">
        <v>1975</v>
      </c>
      <c r="AB75" s="9">
        <v>3</v>
      </c>
      <c r="AC75" s="32" t="s">
        <v>141</v>
      </c>
      <c r="AD75" s="9">
        <v>0.5</v>
      </c>
      <c r="AE75" s="9" t="s">
        <v>1976</v>
      </c>
      <c r="AF75" s="9" t="s">
        <v>42</v>
      </c>
      <c r="AG75" s="11"/>
      <c r="AH75" s="11" t="s">
        <v>1977</v>
      </c>
      <c r="AI75" s="11">
        <v>1</v>
      </c>
      <c r="AJ75" s="11">
        <v>1</v>
      </c>
      <c r="AK75" s="11" t="s">
        <v>1978</v>
      </c>
      <c r="AL75" s="11">
        <v>1</v>
      </c>
      <c r="AM75" s="11" t="s">
        <v>1979</v>
      </c>
      <c r="AN75" s="11" t="s">
        <v>43</v>
      </c>
      <c r="AO75" s="6"/>
      <c r="AP75" s="6" t="s">
        <v>1980</v>
      </c>
      <c r="AQ75" s="6">
        <v>0.5</v>
      </c>
      <c r="AR75" s="6">
        <v>0.5</v>
      </c>
      <c r="AS75" s="6" t="s">
        <v>1981</v>
      </c>
      <c r="AT75" s="6" t="s">
        <v>1982</v>
      </c>
      <c r="AU75" s="6">
        <v>3</v>
      </c>
      <c r="AV75" s="7">
        <v>3</v>
      </c>
      <c r="AW75" s="6" t="s">
        <v>140</v>
      </c>
      <c r="AX75" s="6">
        <v>0.5</v>
      </c>
      <c r="AY75" s="6" t="s">
        <v>1983</v>
      </c>
      <c r="AZ75" s="6" t="s">
        <v>42</v>
      </c>
      <c r="BA75" s="9"/>
      <c r="BB75" s="9" t="s">
        <v>1984</v>
      </c>
      <c r="BC75" s="9">
        <v>1</v>
      </c>
      <c r="BD75" s="9">
        <v>1</v>
      </c>
      <c r="BE75" s="9" t="s">
        <v>1985</v>
      </c>
      <c r="BF75" s="9">
        <v>1</v>
      </c>
      <c r="BG75" s="9" t="s">
        <v>1986</v>
      </c>
      <c r="BH75" s="9" t="s">
        <v>37</v>
      </c>
      <c r="BI75" s="8"/>
      <c r="BJ75" s="8" t="s">
        <v>1987</v>
      </c>
      <c r="BK75" s="8">
        <v>1</v>
      </c>
      <c r="BL75" s="8">
        <v>1</v>
      </c>
      <c r="BM75" s="8" t="s">
        <v>1988</v>
      </c>
      <c r="BN75" s="8">
        <v>0</v>
      </c>
      <c r="BO75" s="8" t="s">
        <v>1989</v>
      </c>
      <c r="BP75" s="8" t="s">
        <v>36</v>
      </c>
      <c r="BQ75" s="11"/>
      <c r="BR75" s="11" t="s">
        <v>1990</v>
      </c>
      <c r="BS75" s="11">
        <v>1</v>
      </c>
      <c r="BT75" s="11">
        <v>1</v>
      </c>
      <c r="BU75" s="11" t="s">
        <v>1991</v>
      </c>
      <c r="BV75" s="11" t="s">
        <v>1992</v>
      </c>
      <c r="BW75" s="11">
        <v>3</v>
      </c>
      <c r="BX75" s="11" t="s">
        <v>141</v>
      </c>
      <c r="BY75" s="11">
        <v>0</v>
      </c>
      <c r="BZ75" s="11" t="s">
        <v>1993</v>
      </c>
      <c r="CA75" s="11" t="s">
        <v>43</v>
      </c>
      <c r="CB75" s="22"/>
    </row>
    <row r="76" spans="1:80" s="31" customFormat="1" ht="18" customHeight="1">
      <c r="A76">
        <v>10075</v>
      </c>
      <c r="B76" s="8"/>
      <c r="C76" s="8" t="s">
        <v>255</v>
      </c>
      <c r="D76" s="5">
        <v>1</v>
      </c>
      <c r="E76" s="5">
        <v>1</v>
      </c>
      <c r="F76" s="8" t="s">
        <v>1994</v>
      </c>
      <c r="G76" s="8"/>
      <c r="H76" s="8">
        <v>3</v>
      </c>
      <c r="I76" s="8" t="s">
        <v>1995</v>
      </c>
      <c r="J76" s="8" t="s">
        <v>67</v>
      </c>
      <c r="K76" s="6"/>
      <c r="L76" s="6" t="s">
        <v>230</v>
      </c>
      <c r="M76" s="6">
        <v>1</v>
      </c>
      <c r="N76" s="6">
        <v>1</v>
      </c>
      <c r="O76" s="6" t="s">
        <v>1996</v>
      </c>
      <c r="P76" s="6" t="s">
        <v>1997</v>
      </c>
      <c r="Q76" s="7">
        <v>3</v>
      </c>
      <c r="R76" s="6" t="s">
        <v>1998</v>
      </c>
      <c r="S76" s="6">
        <v>1</v>
      </c>
      <c r="T76" s="6" t="s">
        <v>1999</v>
      </c>
      <c r="U76" s="6" t="s">
        <v>36</v>
      </c>
      <c r="V76" s="9"/>
      <c r="W76" s="9" t="s">
        <v>2000</v>
      </c>
      <c r="X76" s="9">
        <v>1</v>
      </c>
      <c r="Y76" s="9">
        <v>1</v>
      </c>
      <c r="Z76" s="9" t="s">
        <v>2001</v>
      </c>
      <c r="AA76" s="9" t="s">
        <v>2002</v>
      </c>
      <c r="AB76" s="9">
        <v>3</v>
      </c>
      <c r="AC76" s="32" t="s">
        <v>2003</v>
      </c>
      <c r="AD76" s="9">
        <v>0.5</v>
      </c>
      <c r="AE76" s="9" t="s">
        <v>2004</v>
      </c>
      <c r="AF76" s="9" t="s">
        <v>36</v>
      </c>
      <c r="AG76" s="11"/>
      <c r="AH76" s="11" t="s">
        <v>238</v>
      </c>
      <c r="AI76" s="11">
        <v>1</v>
      </c>
      <c r="AJ76" s="11">
        <v>1</v>
      </c>
      <c r="AK76" s="11" t="s">
        <v>2005</v>
      </c>
      <c r="AL76" s="11">
        <v>1</v>
      </c>
      <c r="AM76" s="11" t="s">
        <v>2006</v>
      </c>
      <c r="AN76" s="11" t="s">
        <v>64</v>
      </c>
      <c r="AO76" s="6"/>
      <c r="AP76" s="6" t="s">
        <v>241</v>
      </c>
      <c r="AQ76" s="6">
        <v>1</v>
      </c>
      <c r="AR76" s="6">
        <v>1</v>
      </c>
      <c r="AS76" s="6" t="s">
        <v>2007</v>
      </c>
      <c r="AT76" s="6" t="s">
        <v>2008</v>
      </c>
      <c r="AU76" s="6">
        <v>2</v>
      </c>
      <c r="AV76" s="7">
        <v>2</v>
      </c>
      <c r="AW76" s="6" t="s">
        <v>2009</v>
      </c>
      <c r="AX76" s="6">
        <v>1</v>
      </c>
      <c r="AY76" s="6" t="s">
        <v>2010</v>
      </c>
      <c r="AZ76" s="6" t="s">
        <v>64</v>
      </c>
      <c r="BA76" s="9"/>
      <c r="BB76" s="9" t="s">
        <v>2011</v>
      </c>
      <c r="BC76" s="9">
        <v>1</v>
      </c>
      <c r="BD76" s="9">
        <v>1</v>
      </c>
      <c r="BE76" s="9" t="s">
        <v>2012</v>
      </c>
      <c r="BF76" s="9">
        <v>1</v>
      </c>
      <c r="BG76" s="9" t="s">
        <v>2013</v>
      </c>
      <c r="BH76" s="9" t="s">
        <v>64</v>
      </c>
      <c r="BI76" s="8"/>
      <c r="BJ76" s="8" t="s">
        <v>248</v>
      </c>
      <c r="BK76" s="8">
        <v>1</v>
      </c>
      <c r="BL76" s="8">
        <v>1</v>
      </c>
      <c r="BM76" s="8" t="s">
        <v>2014</v>
      </c>
      <c r="BN76" s="8">
        <v>0.5</v>
      </c>
      <c r="BO76" s="8" t="s">
        <v>2015</v>
      </c>
      <c r="BP76" s="8" t="s">
        <v>64</v>
      </c>
      <c r="BQ76" s="11"/>
      <c r="BR76" s="11" t="s">
        <v>383</v>
      </c>
      <c r="BS76" s="11">
        <v>1</v>
      </c>
      <c r="BT76" s="11">
        <v>1</v>
      </c>
      <c r="BU76" s="11" t="s">
        <v>2016</v>
      </c>
      <c r="BV76" s="11" t="s">
        <v>2017</v>
      </c>
      <c r="BW76" s="11">
        <v>0</v>
      </c>
      <c r="BX76" s="11" t="s">
        <v>2018</v>
      </c>
      <c r="BY76" s="11">
        <v>0</v>
      </c>
      <c r="BZ76" s="11" t="s">
        <v>2019</v>
      </c>
      <c r="CA76" s="11" t="s">
        <v>42</v>
      </c>
      <c r="CB76" s="22"/>
    </row>
    <row r="77" spans="1:80" s="31" customFormat="1" ht="18" customHeight="1">
      <c r="A77">
        <v>10076</v>
      </c>
      <c r="B77" s="8"/>
      <c r="C77" s="8" t="s">
        <v>2020</v>
      </c>
      <c r="D77" s="5">
        <v>1</v>
      </c>
      <c r="E77" s="5">
        <v>1</v>
      </c>
      <c r="F77" s="8" t="s">
        <v>2021</v>
      </c>
      <c r="G77" s="8"/>
      <c r="H77" s="8">
        <v>3</v>
      </c>
      <c r="I77" s="8" t="s">
        <v>2022</v>
      </c>
      <c r="J77" s="8" t="s">
        <v>67</v>
      </c>
      <c r="K77" s="6"/>
      <c r="L77" s="6" t="s">
        <v>2023</v>
      </c>
      <c r="M77" s="6">
        <v>1</v>
      </c>
      <c r="N77" s="6">
        <v>1</v>
      </c>
      <c r="O77" s="6" t="s">
        <v>2024</v>
      </c>
      <c r="P77" s="6" t="s">
        <v>2025</v>
      </c>
      <c r="Q77" s="7">
        <v>3</v>
      </c>
      <c r="R77" s="6" t="s">
        <v>2026</v>
      </c>
      <c r="S77" s="6">
        <v>1</v>
      </c>
      <c r="T77" s="6" t="s">
        <v>2027</v>
      </c>
      <c r="U77" s="6" t="s">
        <v>64</v>
      </c>
      <c r="V77" s="9"/>
      <c r="W77" s="9" t="s">
        <v>2028</v>
      </c>
      <c r="X77" s="9">
        <v>1</v>
      </c>
      <c r="Y77" s="9">
        <v>1</v>
      </c>
      <c r="Z77" s="9" t="s">
        <v>2029</v>
      </c>
      <c r="AA77" s="9" t="s">
        <v>2030</v>
      </c>
      <c r="AB77" s="9">
        <v>3</v>
      </c>
      <c r="AC77" s="32" t="s">
        <v>2031</v>
      </c>
      <c r="AD77" s="9">
        <v>0.5</v>
      </c>
      <c r="AE77" s="9" t="s">
        <v>108</v>
      </c>
      <c r="AF77" s="9" t="s">
        <v>42</v>
      </c>
      <c r="AG77" s="11"/>
      <c r="AH77" s="11" t="s">
        <v>2032</v>
      </c>
      <c r="AI77" s="11">
        <v>1</v>
      </c>
      <c r="AJ77" s="11">
        <v>1</v>
      </c>
      <c r="AK77" s="11" t="s">
        <v>2033</v>
      </c>
      <c r="AL77" s="11">
        <v>0.5</v>
      </c>
      <c r="AM77" s="11" t="s">
        <v>2034</v>
      </c>
      <c r="AN77" s="11" t="s">
        <v>36</v>
      </c>
      <c r="AO77" s="6"/>
      <c r="AP77" s="6" t="s">
        <v>2035</v>
      </c>
      <c r="AQ77" s="6">
        <v>1</v>
      </c>
      <c r="AR77" s="6">
        <v>1</v>
      </c>
      <c r="AS77" s="6" t="s">
        <v>2036</v>
      </c>
      <c r="AT77" s="6" t="s">
        <v>2037</v>
      </c>
      <c r="AU77" s="6">
        <v>3</v>
      </c>
      <c r="AV77" s="7">
        <v>0</v>
      </c>
      <c r="AW77" s="6" t="s">
        <v>2038</v>
      </c>
      <c r="AX77" s="6">
        <v>0.5</v>
      </c>
      <c r="AY77" s="6" t="s">
        <v>2039</v>
      </c>
      <c r="AZ77" s="6" t="s">
        <v>42</v>
      </c>
      <c r="BA77" s="9"/>
      <c r="BB77" s="9" t="s">
        <v>2040</v>
      </c>
      <c r="BC77" s="9">
        <v>1</v>
      </c>
      <c r="BD77" s="9">
        <v>1</v>
      </c>
      <c r="BE77" s="9" t="s">
        <v>81</v>
      </c>
      <c r="BF77" s="9">
        <v>0.5</v>
      </c>
      <c r="BG77" s="9" t="s">
        <v>2041</v>
      </c>
      <c r="BH77" s="9" t="s">
        <v>42</v>
      </c>
      <c r="BI77" s="8"/>
      <c r="BJ77" s="8" t="s">
        <v>2042</v>
      </c>
      <c r="BK77" s="8">
        <v>1</v>
      </c>
      <c r="BL77" s="8">
        <v>1</v>
      </c>
      <c r="BM77" s="8" t="s">
        <v>608</v>
      </c>
      <c r="BN77" s="8">
        <v>0</v>
      </c>
      <c r="BO77" s="8" t="s">
        <v>71</v>
      </c>
      <c r="BP77" s="8" t="s">
        <v>42</v>
      </c>
      <c r="BQ77" s="11"/>
      <c r="BR77" s="11" t="s">
        <v>2043</v>
      </c>
      <c r="BS77" s="11">
        <v>1</v>
      </c>
      <c r="BT77" s="11">
        <v>1</v>
      </c>
      <c r="BU77" s="11" t="s">
        <v>2044</v>
      </c>
      <c r="BV77" s="11" t="s">
        <v>2045</v>
      </c>
      <c r="BW77" s="11">
        <v>3</v>
      </c>
      <c r="BX77" s="11" t="s">
        <v>2046</v>
      </c>
      <c r="BY77" s="11">
        <v>0.5</v>
      </c>
      <c r="BZ77" s="11" t="s">
        <v>2047</v>
      </c>
      <c r="CA77" s="11" t="s">
        <v>37</v>
      </c>
      <c r="CB77" s="22"/>
    </row>
    <row r="78" spans="1:80" s="31" customFormat="1" ht="18" customHeight="1">
      <c r="A78">
        <v>10077</v>
      </c>
      <c r="B78" s="8"/>
      <c r="C78" s="8" t="s">
        <v>604</v>
      </c>
      <c r="D78" s="5">
        <v>1</v>
      </c>
      <c r="E78" s="5">
        <v>1</v>
      </c>
      <c r="F78" s="8" t="s">
        <v>2048</v>
      </c>
      <c r="G78" s="8"/>
      <c r="H78" s="8">
        <v>2</v>
      </c>
      <c r="I78" s="8" t="s">
        <v>2049</v>
      </c>
      <c r="J78" s="8" t="s">
        <v>67</v>
      </c>
      <c r="K78" s="6"/>
      <c r="L78" s="6" t="s">
        <v>230</v>
      </c>
      <c r="M78" s="6">
        <v>1</v>
      </c>
      <c r="N78" s="6">
        <v>1</v>
      </c>
      <c r="O78" s="6" t="s">
        <v>2050</v>
      </c>
      <c r="P78" s="6" t="s">
        <v>2051</v>
      </c>
      <c r="Q78" s="7">
        <v>0</v>
      </c>
      <c r="R78" s="6" t="s">
        <v>2052</v>
      </c>
      <c r="S78" s="6">
        <v>0.5</v>
      </c>
      <c r="T78" s="6" t="s">
        <v>2053</v>
      </c>
      <c r="U78" s="6" t="s">
        <v>64</v>
      </c>
      <c r="V78" s="9"/>
      <c r="W78" s="9" t="s">
        <v>2000</v>
      </c>
      <c r="X78" s="9">
        <v>1</v>
      </c>
      <c r="Y78" s="9">
        <v>1</v>
      </c>
      <c r="Z78" s="9" t="s">
        <v>2054</v>
      </c>
      <c r="AA78" s="9" t="s">
        <v>2055</v>
      </c>
      <c r="AB78" s="9">
        <v>2</v>
      </c>
      <c r="AC78" s="32" t="s">
        <v>2056</v>
      </c>
      <c r="AD78" s="9">
        <v>1</v>
      </c>
      <c r="AE78" s="9" t="s">
        <v>2057</v>
      </c>
      <c r="AF78" s="9" t="s">
        <v>36</v>
      </c>
      <c r="AG78" s="11"/>
      <c r="AH78" s="11" t="s">
        <v>1574</v>
      </c>
      <c r="AI78" s="11">
        <v>1</v>
      </c>
      <c r="AJ78" s="11">
        <v>1</v>
      </c>
      <c r="AK78" s="11" t="s">
        <v>2058</v>
      </c>
      <c r="AL78" s="11">
        <v>1</v>
      </c>
      <c r="AM78" s="11" t="s">
        <v>2059</v>
      </c>
      <c r="AN78" s="11" t="s">
        <v>42</v>
      </c>
      <c r="AO78" s="6"/>
      <c r="AP78" s="6" t="s">
        <v>615</v>
      </c>
      <c r="AQ78" s="6">
        <v>1</v>
      </c>
      <c r="AR78" s="6">
        <v>1</v>
      </c>
      <c r="AS78" s="6" t="s">
        <v>2060</v>
      </c>
      <c r="AT78" s="6" t="s">
        <v>2061</v>
      </c>
      <c r="AU78" s="6">
        <v>3</v>
      </c>
      <c r="AV78" s="7">
        <v>0</v>
      </c>
      <c r="AW78" s="6" t="s">
        <v>2062</v>
      </c>
      <c r="AX78" s="6">
        <v>1</v>
      </c>
      <c r="AY78" s="6" t="s">
        <v>2063</v>
      </c>
      <c r="AZ78" s="6" t="s">
        <v>42</v>
      </c>
      <c r="BA78" s="9"/>
      <c r="BB78" s="9" t="s">
        <v>573</v>
      </c>
      <c r="BC78" s="9">
        <v>1</v>
      </c>
      <c r="BD78" s="9">
        <v>1</v>
      </c>
      <c r="BE78" s="9" t="s">
        <v>2064</v>
      </c>
      <c r="BF78" s="9">
        <v>1</v>
      </c>
      <c r="BG78" s="9" t="s">
        <v>2065</v>
      </c>
      <c r="BH78" s="9" t="s">
        <v>67</v>
      </c>
      <c r="BI78" s="8"/>
      <c r="BJ78" s="8" t="s">
        <v>652</v>
      </c>
      <c r="BK78" s="8">
        <v>1</v>
      </c>
      <c r="BL78" s="8">
        <v>1</v>
      </c>
      <c r="BM78" s="8" t="s">
        <v>2066</v>
      </c>
      <c r="BN78" s="8">
        <v>0</v>
      </c>
      <c r="BO78" s="8" t="s">
        <v>2067</v>
      </c>
      <c r="BP78" s="8" t="s">
        <v>64</v>
      </c>
      <c r="BQ78" s="11"/>
      <c r="BR78" s="11" t="s">
        <v>655</v>
      </c>
      <c r="BS78" s="11">
        <v>1</v>
      </c>
      <c r="BT78" s="11">
        <v>1</v>
      </c>
      <c r="BU78" s="11" t="s">
        <v>2068</v>
      </c>
      <c r="BV78" s="11" t="s">
        <v>2069</v>
      </c>
      <c r="BW78" s="11">
        <v>3</v>
      </c>
      <c r="BX78" s="11" t="s">
        <v>2070</v>
      </c>
      <c r="BY78" s="11">
        <v>0</v>
      </c>
      <c r="BZ78" s="11" t="s">
        <v>2071</v>
      </c>
      <c r="CA78" s="11" t="s">
        <v>43</v>
      </c>
      <c r="CB78" s="22"/>
    </row>
    <row r="79" spans="1:80" s="31" customFormat="1" ht="18" customHeight="1">
      <c r="A79">
        <v>10078</v>
      </c>
      <c r="B79" s="8"/>
      <c r="C79" s="8" t="s">
        <v>228</v>
      </c>
      <c r="D79" s="5">
        <v>1</v>
      </c>
      <c r="E79" s="5">
        <v>1</v>
      </c>
      <c r="F79" s="8" t="s">
        <v>2072</v>
      </c>
      <c r="G79" s="8"/>
      <c r="H79" s="8">
        <v>3</v>
      </c>
      <c r="I79" s="8" t="s">
        <v>2073</v>
      </c>
      <c r="J79" s="8" t="s">
        <v>42</v>
      </c>
      <c r="K79" s="6"/>
      <c r="L79" s="6" t="s">
        <v>230</v>
      </c>
      <c r="M79" s="6">
        <v>1</v>
      </c>
      <c r="N79" s="6">
        <v>1</v>
      </c>
      <c r="O79" s="6" t="s">
        <v>2074</v>
      </c>
      <c r="P79" s="6" t="s">
        <v>2075</v>
      </c>
      <c r="Q79" s="7">
        <v>3</v>
      </c>
      <c r="R79" s="6" t="s">
        <v>1229</v>
      </c>
      <c r="S79" s="6">
        <v>0.5</v>
      </c>
      <c r="T79" s="6" t="s">
        <v>2076</v>
      </c>
      <c r="U79" s="6" t="s">
        <v>36</v>
      </c>
      <c r="V79" s="9"/>
      <c r="W79" s="9" t="s">
        <v>313</v>
      </c>
      <c r="X79" s="9">
        <v>1</v>
      </c>
      <c r="Y79" s="9">
        <v>1</v>
      </c>
      <c r="Z79" s="9" t="s">
        <v>2077</v>
      </c>
      <c r="AA79" s="9" t="s">
        <v>2078</v>
      </c>
      <c r="AB79" s="9">
        <v>2</v>
      </c>
      <c r="AC79" s="32" t="s">
        <v>62</v>
      </c>
      <c r="AD79" s="9">
        <v>0</v>
      </c>
      <c r="AE79" s="9" t="s">
        <v>2079</v>
      </c>
      <c r="AF79" s="9" t="s">
        <v>42</v>
      </c>
      <c r="AG79" s="11"/>
      <c r="AH79" s="11" t="s">
        <v>238</v>
      </c>
      <c r="AI79" s="11">
        <v>1</v>
      </c>
      <c r="AJ79" s="11">
        <v>1</v>
      </c>
      <c r="AK79" s="11" t="s">
        <v>2080</v>
      </c>
      <c r="AL79" s="11">
        <v>1</v>
      </c>
      <c r="AM79" s="11" t="s">
        <v>2081</v>
      </c>
      <c r="AN79" s="11" t="s">
        <v>36</v>
      </c>
      <c r="AO79" s="6"/>
      <c r="AP79" s="6" t="s">
        <v>2082</v>
      </c>
      <c r="AQ79" s="6">
        <v>1</v>
      </c>
      <c r="AR79" s="6">
        <v>1</v>
      </c>
      <c r="AS79" s="6" t="s">
        <v>2083</v>
      </c>
      <c r="AT79" s="6" t="s">
        <v>2084</v>
      </c>
      <c r="AU79" s="6">
        <v>3</v>
      </c>
      <c r="AV79" s="7">
        <v>3</v>
      </c>
      <c r="AW79" s="6" t="s">
        <v>62</v>
      </c>
      <c r="AX79" s="6">
        <v>0.5</v>
      </c>
      <c r="AY79" s="6" t="s">
        <v>2085</v>
      </c>
      <c r="AZ79" s="6" t="s">
        <v>43</v>
      </c>
      <c r="BA79" s="9"/>
      <c r="BB79" s="9" t="s">
        <v>2086</v>
      </c>
      <c r="BC79" s="9">
        <v>1</v>
      </c>
      <c r="BD79" s="9">
        <v>1</v>
      </c>
      <c r="BE79" s="9" t="s">
        <v>113</v>
      </c>
      <c r="BF79" s="9">
        <v>0.5</v>
      </c>
      <c r="BG79" s="9" t="s">
        <v>2087</v>
      </c>
      <c r="BH79" s="9" t="s">
        <v>67</v>
      </c>
      <c r="BI79" s="8"/>
      <c r="BJ79" s="8" t="s">
        <v>248</v>
      </c>
      <c r="BK79" s="8">
        <v>1</v>
      </c>
      <c r="BL79" s="8">
        <v>1</v>
      </c>
      <c r="BM79" s="8" t="s">
        <v>845</v>
      </c>
      <c r="BN79" s="8">
        <v>0.5</v>
      </c>
      <c r="BO79" s="8" t="s">
        <v>2088</v>
      </c>
      <c r="BP79" s="8" t="s">
        <v>36</v>
      </c>
      <c r="BQ79" s="11"/>
      <c r="BR79" s="11" t="s">
        <v>331</v>
      </c>
      <c r="BS79" s="11">
        <v>1</v>
      </c>
      <c r="BT79" s="11">
        <v>1</v>
      </c>
      <c r="BU79" s="11" t="s">
        <v>2089</v>
      </c>
      <c r="BV79" s="11" t="s">
        <v>2090</v>
      </c>
      <c r="BW79" s="11">
        <v>2</v>
      </c>
      <c r="BX79" s="11" t="s">
        <v>2091</v>
      </c>
      <c r="BY79" s="11">
        <v>0.5</v>
      </c>
      <c r="BZ79" s="11" t="s">
        <v>2092</v>
      </c>
      <c r="CA79" s="11" t="s">
        <v>67</v>
      </c>
      <c r="CB79" s="22"/>
    </row>
    <row r="80" spans="1:80" s="31" customFormat="1" ht="18" customHeight="1">
      <c r="A80">
        <v>10079</v>
      </c>
      <c r="B80" s="8"/>
      <c r="C80" s="8" t="s">
        <v>2093</v>
      </c>
      <c r="D80" s="5">
        <v>1</v>
      </c>
      <c r="E80" s="5">
        <v>1</v>
      </c>
      <c r="F80" s="8" t="s">
        <v>2094</v>
      </c>
      <c r="G80" s="8"/>
      <c r="H80" s="8">
        <v>1</v>
      </c>
      <c r="I80" s="8" t="s">
        <v>2095</v>
      </c>
      <c r="J80" s="8" t="s">
        <v>42</v>
      </c>
      <c r="K80" s="6"/>
      <c r="L80" s="6" t="s">
        <v>2096</v>
      </c>
      <c r="M80" s="6">
        <v>1</v>
      </c>
      <c r="N80" s="6">
        <v>1</v>
      </c>
      <c r="O80" s="6" t="s">
        <v>2097</v>
      </c>
      <c r="P80" s="6" t="s">
        <v>2098</v>
      </c>
      <c r="Q80" s="7">
        <v>3</v>
      </c>
      <c r="R80" s="6" t="s">
        <v>2099</v>
      </c>
      <c r="S80" s="6">
        <v>1</v>
      </c>
      <c r="T80" s="6" t="s">
        <v>2100</v>
      </c>
      <c r="U80" s="6" t="s">
        <v>43</v>
      </c>
      <c r="V80" s="9"/>
      <c r="W80" s="9" t="s">
        <v>1747</v>
      </c>
      <c r="X80" s="9">
        <v>1</v>
      </c>
      <c r="Y80" s="9">
        <v>0</v>
      </c>
      <c r="Z80" s="9" t="s">
        <v>2101</v>
      </c>
      <c r="AA80" s="9" t="s">
        <v>2102</v>
      </c>
      <c r="AB80" s="9">
        <v>3</v>
      </c>
      <c r="AC80" s="32" t="s">
        <v>2103</v>
      </c>
      <c r="AD80" s="9">
        <v>0</v>
      </c>
      <c r="AE80" s="9" t="s">
        <v>2104</v>
      </c>
      <c r="AF80" s="9" t="s">
        <v>64</v>
      </c>
      <c r="AG80" s="11"/>
      <c r="AH80" s="11" t="s">
        <v>2105</v>
      </c>
      <c r="AI80" s="11">
        <v>1</v>
      </c>
      <c r="AJ80" s="11">
        <v>1</v>
      </c>
      <c r="AK80" s="11" t="s">
        <v>2106</v>
      </c>
      <c r="AL80" s="11">
        <v>0.5</v>
      </c>
      <c r="AM80" s="11" t="s">
        <v>2107</v>
      </c>
      <c r="AN80" s="11" t="s">
        <v>36</v>
      </c>
      <c r="AO80" s="6"/>
      <c r="AP80" s="6" t="s">
        <v>2108</v>
      </c>
      <c r="AQ80" s="6">
        <v>0.5</v>
      </c>
      <c r="AR80" s="6">
        <v>0.5</v>
      </c>
      <c r="AS80" s="6" t="s">
        <v>2109</v>
      </c>
      <c r="AT80" s="6" t="s">
        <v>2110</v>
      </c>
      <c r="AU80" s="6">
        <v>3</v>
      </c>
      <c r="AV80" s="7">
        <v>3</v>
      </c>
      <c r="AW80" s="6" t="s">
        <v>2111</v>
      </c>
      <c r="AX80" s="6">
        <v>1</v>
      </c>
      <c r="AY80" s="6" t="s">
        <v>74</v>
      </c>
      <c r="AZ80" s="6" t="s">
        <v>42</v>
      </c>
      <c r="BA80" s="9"/>
      <c r="BB80" s="9" t="s">
        <v>2112</v>
      </c>
      <c r="BC80" s="9">
        <v>0</v>
      </c>
      <c r="BD80" s="9">
        <v>0</v>
      </c>
      <c r="BE80" s="9" t="s">
        <v>2106</v>
      </c>
      <c r="BF80" s="9">
        <v>0.5</v>
      </c>
      <c r="BG80" s="9" t="s">
        <v>285</v>
      </c>
      <c r="BH80" s="9" t="s">
        <v>42</v>
      </c>
      <c r="BI80" s="8"/>
      <c r="BJ80" s="8" t="s">
        <v>2113</v>
      </c>
      <c r="BK80" s="8">
        <v>1</v>
      </c>
      <c r="BL80" s="8">
        <v>0</v>
      </c>
      <c r="BM80" s="8" t="s">
        <v>2114</v>
      </c>
      <c r="BN80" s="8">
        <v>0</v>
      </c>
      <c r="BO80" s="8" t="s">
        <v>285</v>
      </c>
      <c r="BP80" s="8" t="s">
        <v>42</v>
      </c>
      <c r="BQ80" s="11"/>
      <c r="BR80" s="11" t="s">
        <v>2115</v>
      </c>
      <c r="BS80" s="11">
        <v>0.5</v>
      </c>
      <c r="BT80" s="11">
        <v>0.5</v>
      </c>
      <c r="BU80" s="11" t="s">
        <v>2116</v>
      </c>
      <c r="BV80" s="11" t="s">
        <v>2117</v>
      </c>
      <c r="BW80" s="11">
        <v>2</v>
      </c>
      <c r="BX80" s="11" t="s">
        <v>2118</v>
      </c>
      <c r="BY80" s="11">
        <v>0</v>
      </c>
      <c r="BZ80" s="11" t="s">
        <v>285</v>
      </c>
      <c r="CA80" s="11" t="s">
        <v>42</v>
      </c>
      <c r="CB80" s="22"/>
    </row>
    <row r="81" spans="1:80" s="31" customFormat="1" ht="18" customHeight="1">
      <c r="A81">
        <v>10080</v>
      </c>
      <c r="B81" s="8"/>
      <c r="C81" s="8" t="s">
        <v>228</v>
      </c>
      <c r="D81" s="5">
        <v>1</v>
      </c>
      <c r="E81" s="5">
        <v>1</v>
      </c>
      <c r="F81" s="8" t="s">
        <v>2119</v>
      </c>
      <c r="G81" s="8"/>
      <c r="H81" s="8">
        <v>1</v>
      </c>
      <c r="I81" s="8" t="s">
        <v>2120</v>
      </c>
      <c r="J81" s="8" t="s">
        <v>42</v>
      </c>
      <c r="K81" s="6"/>
      <c r="L81" s="6" t="s">
        <v>2121</v>
      </c>
      <c r="M81" s="6">
        <v>1</v>
      </c>
      <c r="N81" s="6">
        <v>1</v>
      </c>
      <c r="O81" s="6" t="s">
        <v>2122</v>
      </c>
      <c r="P81" s="6" t="s">
        <v>2123</v>
      </c>
      <c r="Q81" s="7">
        <v>3</v>
      </c>
      <c r="R81" s="6" t="s">
        <v>1604</v>
      </c>
      <c r="S81" s="6">
        <v>0.5</v>
      </c>
      <c r="T81" s="6" t="s">
        <v>2124</v>
      </c>
      <c r="U81" s="6" t="s">
        <v>36</v>
      </c>
      <c r="V81" s="9"/>
      <c r="W81" s="9" t="s">
        <v>313</v>
      </c>
      <c r="X81" s="9">
        <v>1</v>
      </c>
      <c r="Y81" s="9">
        <v>1</v>
      </c>
      <c r="Z81" s="9" t="s">
        <v>2125</v>
      </c>
      <c r="AA81" s="9" t="s">
        <v>2126</v>
      </c>
      <c r="AB81" s="9">
        <v>0</v>
      </c>
      <c r="AC81" s="32" t="s">
        <v>70</v>
      </c>
      <c r="AD81" s="9">
        <v>0</v>
      </c>
      <c r="AE81" s="9" t="s">
        <v>2127</v>
      </c>
      <c r="AF81" s="9" t="s">
        <v>42</v>
      </c>
      <c r="AG81" s="11"/>
      <c r="AH81" s="11" t="s">
        <v>238</v>
      </c>
      <c r="AI81" s="11">
        <v>1</v>
      </c>
      <c r="AJ81" s="11">
        <v>1</v>
      </c>
      <c r="AK81" s="11" t="s">
        <v>137</v>
      </c>
      <c r="AL81" s="11">
        <v>0.5</v>
      </c>
      <c r="AM81" s="11" t="s">
        <v>2128</v>
      </c>
      <c r="AN81" s="11" t="s">
        <v>36</v>
      </c>
      <c r="AO81" s="6"/>
      <c r="AP81" s="6" t="s">
        <v>591</v>
      </c>
      <c r="AQ81" s="6">
        <v>1</v>
      </c>
      <c r="AR81" s="6">
        <v>1</v>
      </c>
      <c r="AS81" s="6" t="s">
        <v>2129</v>
      </c>
      <c r="AT81" s="6" t="s">
        <v>2130</v>
      </c>
      <c r="AU81" s="6">
        <v>3</v>
      </c>
      <c r="AV81" s="7">
        <v>3</v>
      </c>
      <c r="AW81" s="6" t="s">
        <v>2131</v>
      </c>
      <c r="AX81" s="6">
        <v>0.5</v>
      </c>
      <c r="AY81" s="6" t="s">
        <v>2132</v>
      </c>
      <c r="AZ81" s="6" t="s">
        <v>42</v>
      </c>
      <c r="BA81" s="9"/>
      <c r="BB81" s="9" t="s">
        <v>573</v>
      </c>
      <c r="BC81" s="9">
        <v>1</v>
      </c>
      <c r="BD81" s="9">
        <v>1</v>
      </c>
      <c r="BE81" s="9" t="s">
        <v>2133</v>
      </c>
      <c r="BF81" s="9">
        <v>0.5</v>
      </c>
      <c r="BG81" s="9" t="s">
        <v>2134</v>
      </c>
      <c r="BH81" s="9" t="s">
        <v>36</v>
      </c>
      <c r="BI81" s="8"/>
      <c r="BJ81" s="8" t="s">
        <v>248</v>
      </c>
      <c r="BK81" s="8">
        <v>1</v>
      </c>
      <c r="BL81" s="8">
        <v>1</v>
      </c>
      <c r="BM81" s="8" t="s">
        <v>2135</v>
      </c>
      <c r="BN81" s="8">
        <v>0</v>
      </c>
      <c r="BO81" s="8" t="s">
        <v>2136</v>
      </c>
      <c r="BP81" s="8" t="s">
        <v>42</v>
      </c>
      <c r="BQ81" s="11"/>
      <c r="BR81" s="11" t="s">
        <v>2137</v>
      </c>
      <c r="BS81" s="11">
        <v>1</v>
      </c>
      <c r="BT81" s="11">
        <v>1</v>
      </c>
      <c r="BU81" s="11" t="s">
        <v>2138</v>
      </c>
      <c r="BV81" s="11" t="s">
        <v>2139</v>
      </c>
      <c r="BW81" s="11">
        <v>3</v>
      </c>
      <c r="BX81" s="11" t="s">
        <v>138</v>
      </c>
      <c r="BY81" s="11">
        <v>0</v>
      </c>
      <c r="BZ81" s="11" t="s">
        <v>2140</v>
      </c>
      <c r="CA81" s="11" t="s">
        <v>42</v>
      </c>
      <c r="CB81" s="22"/>
    </row>
    <row r="82" spans="1:80" s="31" customFormat="1" ht="18" customHeight="1">
      <c r="A82">
        <v>10081</v>
      </c>
      <c r="B82" s="8"/>
      <c r="C82" s="8" t="s">
        <v>604</v>
      </c>
      <c r="D82" s="5">
        <v>1</v>
      </c>
      <c r="E82" s="5">
        <v>1</v>
      </c>
      <c r="F82" s="8" t="s">
        <v>2141</v>
      </c>
      <c r="G82" s="8"/>
      <c r="H82" s="8">
        <v>0</v>
      </c>
      <c r="I82" s="8" t="s">
        <v>2142</v>
      </c>
      <c r="J82" s="8" t="s">
        <v>36</v>
      </c>
      <c r="K82" s="6"/>
      <c r="L82" s="6" t="s">
        <v>2143</v>
      </c>
      <c r="M82" s="6">
        <v>1</v>
      </c>
      <c r="N82" s="6">
        <v>1</v>
      </c>
      <c r="O82" s="6" t="s">
        <v>2144</v>
      </c>
      <c r="P82" s="6" t="s">
        <v>2145</v>
      </c>
      <c r="Q82" s="7">
        <v>2</v>
      </c>
      <c r="R82" s="6" t="s">
        <v>2146</v>
      </c>
      <c r="S82" s="6">
        <v>0</v>
      </c>
      <c r="T82" s="6" t="s">
        <v>2142</v>
      </c>
      <c r="U82" s="6" t="s">
        <v>36</v>
      </c>
      <c r="V82" s="9"/>
      <c r="W82" s="9" t="s">
        <v>263</v>
      </c>
      <c r="X82" s="9">
        <v>1</v>
      </c>
      <c r="Y82" s="9">
        <v>1</v>
      </c>
      <c r="Z82" s="9" t="s">
        <v>2147</v>
      </c>
      <c r="AA82" s="9" t="s">
        <v>2148</v>
      </c>
      <c r="AB82" s="9">
        <v>0</v>
      </c>
      <c r="AC82" s="32" t="s">
        <v>2149</v>
      </c>
      <c r="AD82" s="9">
        <v>0</v>
      </c>
      <c r="AE82" s="9" t="s">
        <v>2142</v>
      </c>
      <c r="AF82" s="9" t="s">
        <v>36</v>
      </c>
      <c r="AG82" s="11"/>
      <c r="AH82" s="11" t="s">
        <v>2150</v>
      </c>
      <c r="AI82" s="11">
        <v>1</v>
      </c>
      <c r="AJ82" s="11">
        <v>1</v>
      </c>
      <c r="AK82" s="11" t="s">
        <v>159</v>
      </c>
      <c r="AL82" s="11">
        <v>0.5</v>
      </c>
      <c r="AM82" s="11" t="s">
        <v>2151</v>
      </c>
      <c r="AN82" s="11" t="s">
        <v>64</v>
      </c>
      <c r="AO82" s="6"/>
      <c r="AP82" s="6" t="s">
        <v>2152</v>
      </c>
      <c r="AQ82" s="6">
        <v>1</v>
      </c>
      <c r="AR82" s="6">
        <v>1</v>
      </c>
      <c r="AS82" s="6" t="s">
        <v>2153</v>
      </c>
      <c r="AT82" s="6" t="s">
        <v>2154</v>
      </c>
      <c r="AU82" s="6">
        <v>0</v>
      </c>
      <c r="AV82" s="7">
        <v>0</v>
      </c>
      <c r="AW82" s="6" t="s">
        <v>159</v>
      </c>
      <c r="AX82" s="6">
        <v>0.5</v>
      </c>
      <c r="AY82" s="6" t="s">
        <v>108</v>
      </c>
      <c r="AZ82" s="6" t="s">
        <v>42</v>
      </c>
      <c r="BA82" s="9"/>
      <c r="BB82" s="9" t="s">
        <v>2155</v>
      </c>
      <c r="BC82" s="9">
        <v>1</v>
      </c>
      <c r="BD82" s="9">
        <v>1</v>
      </c>
      <c r="BE82" s="9" t="s">
        <v>159</v>
      </c>
      <c r="BF82" s="9">
        <v>0</v>
      </c>
      <c r="BG82" s="9" t="s">
        <v>108</v>
      </c>
      <c r="BH82" s="9" t="s">
        <v>42</v>
      </c>
      <c r="BI82" s="8"/>
      <c r="BJ82" s="8" t="s">
        <v>652</v>
      </c>
      <c r="BK82" s="8">
        <v>1</v>
      </c>
      <c r="BL82" s="8">
        <v>1</v>
      </c>
      <c r="BM82" s="8" t="s">
        <v>159</v>
      </c>
      <c r="BN82" s="8">
        <v>0</v>
      </c>
      <c r="BO82" s="8" t="s">
        <v>532</v>
      </c>
      <c r="BP82" s="8" t="s">
        <v>42</v>
      </c>
      <c r="BQ82" s="11"/>
      <c r="BR82" s="11" t="s">
        <v>2156</v>
      </c>
      <c r="BS82" s="11">
        <v>1</v>
      </c>
      <c r="BT82" s="11">
        <v>1</v>
      </c>
      <c r="BU82" s="11" t="s">
        <v>2153</v>
      </c>
      <c r="BV82" s="11" t="s">
        <v>2153</v>
      </c>
      <c r="BW82" s="11">
        <v>0</v>
      </c>
      <c r="BX82" s="11" t="s">
        <v>2157</v>
      </c>
      <c r="BY82" s="11">
        <v>0</v>
      </c>
      <c r="BZ82" s="11" t="s">
        <v>532</v>
      </c>
      <c r="CA82" s="11" t="s">
        <v>42</v>
      </c>
      <c r="CB82" s="22"/>
    </row>
    <row r="83" spans="1:80" s="31" customFormat="1" ht="18" customHeight="1">
      <c r="A83">
        <v>10082</v>
      </c>
      <c r="B83" s="8"/>
      <c r="C83" s="8" t="s">
        <v>604</v>
      </c>
      <c r="D83" s="5">
        <v>1</v>
      </c>
      <c r="E83" s="5">
        <v>1</v>
      </c>
      <c r="F83" s="8" t="s">
        <v>2158</v>
      </c>
      <c r="G83" s="8"/>
      <c r="H83" s="8">
        <v>3</v>
      </c>
      <c r="I83" s="8" t="s">
        <v>2159</v>
      </c>
      <c r="J83" s="8" t="s">
        <v>42</v>
      </c>
      <c r="K83" s="6"/>
      <c r="L83" s="6" t="s">
        <v>230</v>
      </c>
      <c r="M83" s="6">
        <v>1</v>
      </c>
      <c r="N83" s="6">
        <v>1</v>
      </c>
      <c r="O83" s="6" t="s">
        <v>2160</v>
      </c>
      <c r="P83" s="6" t="s">
        <v>2161</v>
      </c>
      <c r="Q83" s="7">
        <v>3</v>
      </c>
      <c r="R83" s="6" t="s">
        <v>2162</v>
      </c>
      <c r="S83" s="6">
        <v>0.5</v>
      </c>
      <c r="T83" s="6" t="s">
        <v>2163</v>
      </c>
      <c r="U83" s="6" t="s">
        <v>36</v>
      </c>
      <c r="V83" s="9"/>
      <c r="W83" s="9" t="s">
        <v>263</v>
      </c>
      <c r="X83" s="9">
        <v>1</v>
      </c>
      <c r="Y83" s="9">
        <v>1</v>
      </c>
      <c r="Z83" s="9" t="s">
        <v>2164</v>
      </c>
      <c r="AA83" s="9" t="s">
        <v>2165</v>
      </c>
      <c r="AB83" s="9">
        <v>3</v>
      </c>
      <c r="AC83" s="32" t="s">
        <v>2166</v>
      </c>
      <c r="AD83" s="9">
        <v>0.5</v>
      </c>
      <c r="AE83" s="9" t="s">
        <v>2167</v>
      </c>
      <c r="AF83" s="9" t="s">
        <v>36</v>
      </c>
      <c r="AG83" s="11"/>
      <c r="AH83" s="11" t="s">
        <v>238</v>
      </c>
      <c r="AI83" s="11">
        <v>1</v>
      </c>
      <c r="AJ83" s="11">
        <v>1</v>
      </c>
      <c r="AK83" s="11" t="s">
        <v>2168</v>
      </c>
      <c r="AL83" s="11">
        <v>0.5</v>
      </c>
      <c r="AM83" s="11" t="s">
        <v>2169</v>
      </c>
      <c r="AN83" s="11" t="s">
        <v>36</v>
      </c>
      <c r="AO83" s="6"/>
      <c r="AP83" s="6" t="s">
        <v>241</v>
      </c>
      <c r="AQ83" s="6">
        <v>1</v>
      </c>
      <c r="AR83" s="6">
        <v>1</v>
      </c>
      <c r="AS83" s="6" t="s">
        <v>2170</v>
      </c>
      <c r="AT83" s="6" t="s">
        <v>2171</v>
      </c>
      <c r="AU83" s="6">
        <v>3</v>
      </c>
      <c r="AV83" s="7">
        <v>3</v>
      </c>
      <c r="AW83" s="6" t="s">
        <v>2172</v>
      </c>
      <c r="AX83" s="6">
        <v>1</v>
      </c>
      <c r="AY83" s="6" t="s">
        <v>2173</v>
      </c>
      <c r="AZ83" s="6" t="s">
        <v>64</v>
      </c>
      <c r="BA83" s="9"/>
      <c r="BB83" s="9" t="s">
        <v>2174</v>
      </c>
      <c r="BC83" s="9">
        <v>1</v>
      </c>
      <c r="BD83" s="9">
        <v>1</v>
      </c>
      <c r="BE83" s="9" t="s">
        <v>2175</v>
      </c>
      <c r="BF83" s="9">
        <v>0.5</v>
      </c>
      <c r="BG83" s="9" t="s">
        <v>2176</v>
      </c>
      <c r="BH83" s="9" t="s">
        <v>67</v>
      </c>
      <c r="BI83" s="8"/>
      <c r="BJ83" s="8" t="s">
        <v>248</v>
      </c>
      <c r="BK83" s="8">
        <v>1</v>
      </c>
      <c r="BL83" s="8">
        <v>1</v>
      </c>
      <c r="BM83" s="8" t="s">
        <v>2177</v>
      </c>
      <c r="BN83" s="8">
        <v>0</v>
      </c>
      <c r="BO83" s="8" t="s">
        <v>2178</v>
      </c>
      <c r="BP83" s="8" t="s">
        <v>67</v>
      </c>
      <c r="BQ83" s="11"/>
      <c r="BR83" s="11" t="s">
        <v>383</v>
      </c>
      <c r="BS83" s="11">
        <v>1</v>
      </c>
      <c r="BT83" s="11">
        <v>1</v>
      </c>
      <c r="BU83" s="11" t="s">
        <v>2179</v>
      </c>
      <c r="BV83" s="11" t="s">
        <v>2180</v>
      </c>
      <c r="BW83" s="11">
        <v>1</v>
      </c>
      <c r="BX83" s="11" t="s">
        <v>160</v>
      </c>
      <c r="BY83" s="11">
        <v>0</v>
      </c>
      <c r="BZ83" s="11" t="s">
        <v>2181</v>
      </c>
      <c r="CA83" s="11" t="s">
        <v>36</v>
      </c>
      <c r="CB83" s="22"/>
    </row>
    <row r="84" spans="1:80" s="31" customFormat="1" ht="18" customHeight="1">
      <c r="A84">
        <v>10083</v>
      </c>
      <c r="B84" s="8"/>
      <c r="C84" s="8" t="s">
        <v>2182</v>
      </c>
      <c r="D84" s="5">
        <v>1</v>
      </c>
      <c r="E84" s="5">
        <v>1</v>
      </c>
      <c r="F84" s="8" t="s">
        <v>2183</v>
      </c>
      <c r="G84" s="8"/>
      <c r="H84" s="8">
        <v>3</v>
      </c>
      <c r="I84" s="8" t="s">
        <v>2184</v>
      </c>
      <c r="J84" s="8" t="s">
        <v>42</v>
      </c>
      <c r="K84" s="6"/>
      <c r="L84" s="6" t="s">
        <v>230</v>
      </c>
      <c r="M84" s="6">
        <v>1</v>
      </c>
      <c r="N84" s="6">
        <v>1</v>
      </c>
      <c r="O84" s="6" t="s">
        <v>2185</v>
      </c>
      <c r="P84" s="6" t="s">
        <v>2186</v>
      </c>
      <c r="Q84" s="7">
        <v>3</v>
      </c>
      <c r="R84" s="6" t="s">
        <v>2187</v>
      </c>
      <c r="S84" s="6">
        <v>1</v>
      </c>
      <c r="T84" s="6" t="s">
        <v>2188</v>
      </c>
      <c r="U84" s="6" t="s">
        <v>42</v>
      </c>
      <c r="V84" s="9"/>
      <c r="W84" s="9" t="s">
        <v>263</v>
      </c>
      <c r="X84" s="9">
        <v>1</v>
      </c>
      <c r="Y84" s="9">
        <v>1</v>
      </c>
      <c r="Z84" s="9" t="s">
        <v>2189</v>
      </c>
      <c r="AA84" s="9" t="s">
        <v>2190</v>
      </c>
      <c r="AB84" s="9">
        <v>3</v>
      </c>
      <c r="AC84" s="32" t="s">
        <v>2191</v>
      </c>
      <c r="AD84" s="9">
        <v>1</v>
      </c>
      <c r="AE84" s="9" t="s">
        <v>2192</v>
      </c>
      <c r="AF84" s="9" t="s">
        <v>67</v>
      </c>
      <c r="AG84" s="11"/>
      <c r="AH84" s="11" t="s">
        <v>1574</v>
      </c>
      <c r="AI84" s="11">
        <v>1</v>
      </c>
      <c r="AJ84" s="11">
        <v>1</v>
      </c>
      <c r="AK84" s="11" t="s">
        <v>2193</v>
      </c>
      <c r="AL84" s="11">
        <v>1</v>
      </c>
      <c r="AM84" s="11" t="s">
        <v>2194</v>
      </c>
      <c r="AN84" s="11" t="s">
        <v>42</v>
      </c>
      <c r="AO84" s="6"/>
      <c r="AP84" s="6" t="s">
        <v>241</v>
      </c>
      <c r="AQ84" s="6">
        <v>1</v>
      </c>
      <c r="AR84" s="6">
        <v>1</v>
      </c>
      <c r="AS84" s="6" t="s">
        <v>2195</v>
      </c>
      <c r="AT84" s="6" t="s">
        <v>2196</v>
      </c>
      <c r="AU84" s="6">
        <v>0</v>
      </c>
      <c r="AV84" s="7">
        <v>3</v>
      </c>
      <c r="AW84" s="6" t="s">
        <v>2197</v>
      </c>
      <c r="AX84" s="6">
        <v>1</v>
      </c>
      <c r="AY84" s="6" t="s">
        <v>2198</v>
      </c>
      <c r="AZ84" s="6" t="s">
        <v>35</v>
      </c>
      <c r="BA84" s="9"/>
      <c r="BB84" s="9" t="s">
        <v>2199</v>
      </c>
      <c r="BC84" s="9">
        <v>1</v>
      </c>
      <c r="BD84" s="9">
        <v>1</v>
      </c>
      <c r="BE84" s="9"/>
      <c r="BF84" s="9"/>
      <c r="BG84" s="9"/>
      <c r="BH84" s="9"/>
      <c r="BI84" s="8"/>
      <c r="BJ84" s="8"/>
      <c r="BK84" s="8"/>
      <c r="BL84" s="8"/>
      <c r="BM84" s="8"/>
      <c r="BN84" s="8"/>
      <c r="BO84" s="8"/>
      <c r="BP84" s="8"/>
      <c r="BQ84" s="11"/>
      <c r="BR84" s="11"/>
      <c r="BS84" s="11"/>
      <c r="BT84" s="11"/>
      <c r="BU84" s="11"/>
      <c r="BV84" s="11"/>
      <c r="BW84" s="11"/>
      <c r="BX84" s="11"/>
      <c r="BY84" s="11">
        <v>0.5</v>
      </c>
      <c r="BZ84" s="11"/>
      <c r="CA84" s="11" t="s">
        <v>37</v>
      </c>
      <c r="CB84" s="22"/>
    </row>
    <row r="85" spans="1:80" s="31" customFormat="1" ht="18" customHeight="1">
      <c r="A85">
        <v>10084</v>
      </c>
      <c r="B85" s="8"/>
      <c r="C85" s="8" t="s">
        <v>2200</v>
      </c>
      <c r="D85" s="5">
        <v>1</v>
      </c>
      <c r="E85" s="5">
        <v>1</v>
      </c>
      <c r="F85" s="8" t="s">
        <v>2201</v>
      </c>
      <c r="G85" s="8"/>
      <c r="H85" s="8">
        <v>2</v>
      </c>
      <c r="I85" s="8" t="s">
        <v>1408</v>
      </c>
      <c r="J85" s="8" t="s">
        <v>42</v>
      </c>
      <c r="K85" s="6"/>
      <c r="L85" s="6" t="s">
        <v>1124</v>
      </c>
      <c r="M85" s="6">
        <v>1</v>
      </c>
      <c r="N85" s="6">
        <v>1</v>
      </c>
      <c r="O85" s="6" t="s">
        <v>135</v>
      </c>
      <c r="P85" s="6" t="s">
        <v>2202</v>
      </c>
      <c r="Q85" s="7">
        <v>0</v>
      </c>
      <c r="R85" s="6" t="s">
        <v>153</v>
      </c>
      <c r="S85" s="6">
        <v>0.5</v>
      </c>
      <c r="T85" s="6" t="s">
        <v>2203</v>
      </c>
      <c r="U85" s="6" t="s">
        <v>64</v>
      </c>
      <c r="V85" s="9"/>
      <c r="W85" s="9" t="s">
        <v>839</v>
      </c>
      <c r="X85" s="9">
        <v>1</v>
      </c>
      <c r="Y85" s="9">
        <v>1</v>
      </c>
      <c r="Z85" s="9" t="s">
        <v>2204</v>
      </c>
      <c r="AA85" s="9" t="s">
        <v>192</v>
      </c>
      <c r="AB85" s="9">
        <v>0</v>
      </c>
      <c r="AC85" s="32" t="s">
        <v>161</v>
      </c>
      <c r="AD85" s="9">
        <v>0.5</v>
      </c>
      <c r="AE85" s="9" t="s">
        <v>2205</v>
      </c>
      <c r="AF85" s="9" t="s">
        <v>64</v>
      </c>
      <c r="AG85" s="11"/>
      <c r="AH85" s="11" t="s">
        <v>840</v>
      </c>
      <c r="AI85" s="11">
        <v>1</v>
      </c>
      <c r="AJ85" s="11">
        <v>1</v>
      </c>
      <c r="AK85" s="11" t="s">
        <v>116</v>
      </c>
      <c r="AL85" s="11">
        <v>0.5</v>
      </c>
      <c r="AM85" s="11" t="s">
        <v>2206</v>
      </c>
      <c r="AN85" s="11" t="s">
        <v>67</v>
      </c>
      <c r="AO85" s="6"/>
      <c r="AP85" s="6" t="s">
        <v>1133</v>
      </c>
      <c r="AQ85" s="6">
        <v>1</v>
      </c>
      <c r="AR85" s="6">
        <v>1</v>
      </c>
      <c r="AS85" s="6" t="s">
        <v>120</v>
      </c>
      <c r="AT85" s="6" t="s">
        <v>2207</v>
      </c>
      <c r="AU85" s="6">
        <v>2</v>
      </c>
      <c r="AV85" s="7">
        <v>2</v>
      </c>
      <c r="AW85" s="6" t="s">
        <v>122</v>
      </c>
      <c r="AX85" s="6">
        <v>0.5</v>
      </c>
      <c r="AY85" s="6" t="s">
        <v>2208</v>
      </c>
      <c r="AZ85" s="6" t="s">
        <v>64</v>
      </c>
      <c r="BA85" s="9"/>
      <c r="BB85" s="9" t="s">
        <v>2209</v>
      </c>
      <c r="BC85" s="9">
        <v>1</v>
      </c>
      <c r="BD85" s="9">
        <v>1</v>
      </c>
      <c r="BE85" s="9" t="s">
        <v>134</v>
      </c>
      <c r="BF85" s="9">
        <v>0.5</v>
      </c>
      <c r="BG85" s="9" t="s">
        <v>2210</v>
      </c>
      <c r="BH85" s="9" t="s">
        <v>67</v>
      </c>
      <c r="BI85" s="8"/>
      <c r="BJ85" s="8" t="s">
        <v>2211</v>
      </c>
      <c r="BK85" s="8">
        <v>1</v>
      </c>
      <c r="BL85" s="8">
        <v>1</v>
      </c>
      <c r="BM85" s="8" t="s">
        <v>52</v>
      </c>
      <c r="BN85" s="8">
        <v>0</v>
      </c>
      <c r="BO85" s="8" t="s">
        <v>2212</v>
      </c>
      <c r="BP85" s="8" t="s">
        <v>64</v>
      </c>
      <c r="BQ85" s="11"/>
      <c r="BR85" s="11" t="s">
        <v>2213</v>
      </c>
      <c r="BS85" s="11">
        <v>1</v>
      </c>
      <c r="BT85" s="11">
        <v>1</v>
      </c>
      <c r="BU85" s="11" t="s">
        <v>2214</v>
      </c>
      <c r="BV85" s="11" t="s">
        <v>2215</v>
      </c>
      <c r="BW85" s="11">
        <v>0</v>
      </c>
      <c r="BX85" s="11" t="s">
        <v>134</v>
      </c>
      <c r="BY85" s="11">
        <v>0</v>
      </c>
      <c r="BZ85" s="11" t="s">
        <v>2216</v>
      </c>
      <c r="CA85" s="11" t="s">
        <v>37</v>
      </c>
      <c r="CB85" s="22"/>
    </row>
    <row r="86" spans="1:80" s="31" customFormat="1" ht="18" customHeight="1">
      <c r="A86">
        <v>10085</v>
      </c>
      <c r="B86" s="8"/>
      <c r="C86" s="8" t="s">
        <v>228</v>
      </c>
      <c r="D86" s="5">
        <v>1</v>
      </c>
      <c r="E86" s="5">
        <v>1</v>
      </c>
      <c r="F86" s="8" t="s">
        <v>2217</v>
      </c>
      <c r="G86" s="8"/>
      <c r="H86" s="8">
        <v>0</v>
      </c>
      <c r="I86" s="8" t="s">
        <v>2218</v>
      </c>
      <c r="J86" s="8" t="s">
        <v>42</v>
      </c>
      <c r="K86" s="6"/>
      <c r="L86" s="6" t="s">
        <v>465</v>
      </c>
      <c r="M86" s="6">
        <v>1</v>
      </c>
      <c r="N86" s="6">
        <v>1</v>
      </c>
      <c r="O86" s="6" t="s">
        <v>2219</v>
      </c>
      <c r="P86" s="6" t="s">
        <v>2220</v>
      </c>
      <c r="Q86" s="7">
        <v>3</v>
      </c>
      <c r="R86" s="6" t="s">
        <v>2221</v>
      </c>
      <c r="S86" s="6">
        <v>1</v>
      </c>
      <c r="T86" s="6" t="s">
        <v>2222</v>
      </c>
      <c r="U86" s="6" t="s">
        <v>42</v>
      </c>
      <c r="V86" s="9"/>
      <c r="W86" s="9" t="s">
        <v>2223</v>
      </c>
      <c r="X86" s="9">
        <v>1</v>
      </c>
      <c r="Y86" s="9">
        <v>1</v>
      </c>
      <c r="Z86" s="9" t="s">
        <v>2224</v>
      </c>
      <c r="AA86" s="9" t="s">
        <v>2225</v>
      </c>
      <c r="AB86" s="9">
        <v>3</v>
      </c>
      <c r="AC86" s="32" t="s">
        <v>2226</v>
      </c>
      <c r="AD86" s="9">
        <v>1</v>
      </c>
      <c r="AE86" s="9" t="s">
        <v>2227</v>
      </c>
      <c r="AF86" s="9" t="s">
        <v>64</v>
      </c>
      <c r="AG86" s="11"/>
      <c r="AH86" s="11" t="s">
        <v>267</v>
      </c>
      <c r="AI86" s="11">
        <v>1</v>
      </c>
      <c r="AJ86" s="11">
        <v>1</v>
      </c>
      <c r="AK86" s="11" t="s">
        <v>2228</v>
      </c>
      <c r="AL86" s="11">
        <v>0.5</v>
      </c>
      <c r="AM86" s="11" t="s">
        <v>2229</v>
      </c>
      <c r="AN86" s="11" t="s">
        <v>42</v>
      </c>
      <c r="AO86" s="6"/>
      <c r="AP86" s="6" t="s">
        <v>450</v>
      </c>
      <c r="AQ86" s="6">
        <v>1</v>
      </c>
      <c r="AR86" s="6">
        <v>1</v>
      </c>
      <c r="AS86" s="6" t="s">
        <v>2230</v>
      </c>
      <c r="AT86" s="6" t="s">
        <v>2231</v>
      </c>
      <c r="AU86" s="6">
        <v>3</v>
      </c>
      <c r="AV86" s="7">
        <v>0</v>
      </c>
      <c r="AW86" s="6" t="s">
        <v>2232</v>
      </c>
      <c r="AX86" s="6">
        <v>1</v>
      </c>
      <c r="AY86" s="6" t="s">
        <v>2233</v>
      </c>
      <c r="AZ86" s="6" t="s">
        <v>43</v>
      </c>
      <c r="BA86" s="9"/>
      <c r="BB86" s="9" t="s">
        <v>2234</v>
      </c>
      <c r="BC86" s="9">
        <v>1</v>
      </c>
      <c r="BD86" s="9">
        <v>1</v>
      </c>
      <c r="BE86" s="9" t="s">
        <v>2235</v>
      </c>
      <c r="BF86" s="9">
        <v>1</v>
      </c>
      <c r="BG86" s="9" t="s">
        <v>2236</v>
      </c>
      <c r="BH86" s="9" t="s">
        <v>64</v>
      </c>
      <c r="BI86" s="8"/>
      <c r="BJ86" s="8" t="s">
        <v>483</v>
      </c>
      <c r="BK86" s="8">
        <v>1</v>
      </c>
      <c r="BL86" s="8">
        <v>1</v>
      </c>
      <c r="BM86" s="8" t="s">
        <v>2237</v>
      </c>
      <c r="BN86" s="8">
        <v>1</v>
      </c>
      <c r="BO86" s="8" t="s">
        <v>2238</v>
      </c>
      <c r="BP86" s="8" t="s">
        <v>42</v>
      </c>
      <c r="BQ86" s="11"/>
      <c r="BR86" s="11" t="s">
        <v>250</v>
      </c>
      <c r="BS86" s="11">
        <v>1</v>
      </c>
      <c r="BT86" s="11">
        <v>1</v>
      </c>
      <c r="BU86" s="11" t="s">
        <v>2239</v>
      </c>
      <c r="BV86" s="11" t="s">
        <v>2240</v>
      </c>
      <c r="BW86" s="11">
        <v>1</v>
      </c>
      <c r="BX86" s="11" t="s">
        <v>2241</v>
      </c>
      <c r="BY86" s="11">
        <v>0</v>
      </c>
      <c r="BZ86" s="11" t="s">
        <v>2242</v>
      </c>
      <c r="CA86" s="11" t="s">
        <v>42</v>
      </c>
      <c r="CB86" s="22"/>
    </row>
    <row r="87" spans="1:80" s="31" customFormat="1" ht="18" customHeight="1">
      <c r="A87">
        <v>10086</v>
      </c>
      <c r="B87" s="8"/>
      <c r="C87" s="8" t="s">
        <v>928</v>
      </c>
      <c r="D87" s="5">
        <v>1</v>
      </c>
      <c r="E87" s="5">
        <v>0.5</v>
      </c>
      <c r="F87" s="8" t="s">
        <v>2243</v>
      </c>
      <c r="G87" s="8"/>
      <c r="H87" s="8">
        <v>3</v>
      </c>
      <c r="I87" s="8" t="s">
        <v>136</v>
      </c>
      <c r="J87" s="8" t="s">
        <v>37</v>
      </c>
      <c r="K87" s="6"/>
      <c r="L87" s="6" t="s">
        <v>2244</v>
      </c>
      <c r="M87" s="6">
        <v>1</v>
      </c>
      <c r="N87" s="6">
        <v>1</v>
      </c>
      <c r="O87" s="6" t="s">
        <v>135</v>
      </c>
      <c r="P87" s="6" t="s">
        <v>132</v>
      </c>
      <c r="Q87" s="7">
        <v>0</v>
      </c>
      <c r="R87" s="6" t="s">
        <v>206</v>
      </c>
      <c r="S87" s="6">
        <v>1</v>
      </c>
      <c r="T87" s="6" t="s">
        <v>136</v>
      </c>
      <c r="U87" s="6" t="s">
        <v>37</v>
      </c>
      <c r="V87" s="9"/>
      <c r="W87" s="9" t="s">
        <v>1747</v>
      </c>
      <c r="X87" s="9">
        <v>1</v>
      </c>
      <c r="Y87" s="9">
        <v>0</v>
      </c>
      <c r="Z87" s="9" t="s">
        <v>120</v>
      </c>
      <c r="AA87" s="9" t="s">
        <v>2245</v>
      </c>
      <c r="AB87" s="9">
        <v>3</v>
      </c>
      <c r="AC87" s="32" t="s">
        <v>2246</v>
      </c>
      <c r="AD87" s="9">
        <v>0.5</v>
      </c>
      <c r="AE87" s="9" t="s">
        <v>136</v>
      </c>
      <c r="AF87" s="9" t="s">
        <v>37</v>
      </c>
      <c r="AG87" s="11"/>
      <c r="AH87" s="11" t="s">
        <v>2247</v>
      </c>
      <c r="AI87" s="11">
        <v>1</v>
      </c>
      <c r="AJ87" s="11">
        <v>1</v>
      </c>
      <c r="AK87" s="11" t="s">
        <v>2246</v>
      </c>
      <c r="AL87" s="11">
        <v>0.5</v>
      </c>
      <c r="AM87" s="11" t="s">
        <v>136</v>
      </c>
      <c r="AN87" s="11" t="s">
        <v>37</v>
      </c>
      <c r="AO87" s="6"/>
      <c r="AP87" s="6" t="s">
        <v>2108</v>
      </c>
      <c r="AQ87" s="6">
        <v>0.5</v>
      </c>
      <c r="AR87" s="6">
        <v>0.5</v>
      </c>
      <c r="AS87" s="6" t="s">
        <v>135</v>
      </c>
      <c r="AT87" s="6" t="s">
        <v>95</v>
      </c>
      <c r="AU87" s="6">
        <v>0</v>
      </c>
      <c r="AV87" s="7">
        <v>0</v>
      </c>
      <c r="AW87" s="6" t="s">
        <v>149</v>
      </c>
      <c r="AX87" s="6">
        <v>0.5</v>
      </c>
      <c r="AY87" s="6" t="s">
        <v>136</v>
      </c>
      <c r="AZ87" s="6" t="s">
        <v>37</v>
      </c>
      <c r="BA87" s="9"/>
      <c r="BB87" s="9" t="s">
        <v>2248</v>
      </c>
      <c r="BC87" s="9">
        <v>1</v>
      </c>
      <c r="BD87" s="9">
        <v>1</v>
      </c>
      <c r="BE87" s="9" t="s">
        <v>151</v>
      </c>
      <c r="BF87" s="9">
        <v>1</v>
      </c>
      <c r="BG87" s="9" t="s">
        <v>136</v>
      </c>
      <c r="BH87" s="9" t="s">
        <v>37</v>
      </c>
      <c r="BI87" s="8"/>
      <c r="BJ87" s="8" t="s">
        <v>2249</v>
      </c>
      <c r="BK87" s="8">
        <v>1</v>
      </c>
      <c r="BL87" s="8">
        <v>0</v>
      </c>
      <c r="BM87" s="8" t="s">
        <v>2246</v>
      </c>
      <c r="BN87" s="8">
        <v>0</v>
      </c>
      <c r="BO87" s="8" t="s">
        <v>136</v>
      </c>
      <c r="BP87" s="8" t="s">
        <v>37</v>
      </c>
      <c r="BQ87" s="11"/>
      <c r="BR87" s="11" t="s">
        <v>2250</v>
      </c>
      <c r="BS87" s="11">
        <v>1</v>
      </c>
      <c r="BT87" s="11">
        <v>0</v>
      </c>
      <c r="BU87" s="11" t="s">
        <v>2251</v>
      </c>
      <c r="BV87" s="11" t="s">
        <v>2252</v>
      </c>
      <c r="BW87" s="11">
        <v>0</v>
      </c>
      <c r="BX87" s="11" t="s">
        <v>619</v>
      </c>
      <c r="BY87" s="11">
        <v>0</v>
      </c>
      <c r="BZ87" s="11" t="s">
        <v>130</v>
      </c>
      <c r="CA87" s="11" t="s">
        <v>37</v>
      </c>
      <c r="CB87" s="22"/>
    </row>
    <row r="88" spans="1:80" s="31" customFormat="1" ht="18" customHeight="1">
      <c r="A88">
        <v>10087</v>
      </c>
      <c r="B88" s="8"/>
      <c r="C88" s="8" t="s">
        <v>228</v>
      </c>
      <c r="D88" s="5">
        <v>1</v>
      </c>
      <c r="E88" s="5">
        <v>1</v>
      </c>
      <c r="F88" s="8" t="s">
        <v>2253</v>
      </c>
      <c r="G88" s="8"/>
      <c r="H88" s="8">
        <v>1</v>
      </c>
      <c r="I88" s="8" t="s">
        <v>2254</v>
      </c>
      <c r="J88" s="8" t="s">
        <v>42</v>
      </c>
      <c r="K88" s="6"/>
      <c r="L88" s="6" t="s">
        <v>230</v>
      </c>
      <c r="M88" s="6">
        <v>1</v>
      </c>
      <c r="N88" s="6">
        <v>1</v>
      </c>
      <c r="O88" s="6" t="s">
        <v>2255</v>
      </c>
      <c r="P88" s="6" t="s">
        <v>2256</v>
      </c>
      <c r="Q88" s="7">
        <v>3</v>
      </c>
      <c r="R88" s="6" t="s">
        <v>62</v>
      </c>
      <c r="S88" s="6">
        <v>1</v>
      </c>
      <c r="T88" s="6" t="s">
        <v>2257</v>
      </c>
      <c r="U88" s="6" t="s">
        <v>42</v>
      </c>
      <c r="V88" s="9"/>
      <c r="W88" s="9" t="s">
        <v>565</v>
      </c>
      <c r="X88" s="9">
        <v>1</v>
      </c>
      <c r="Y88" s="9">
        <v>1</v>
      </c>
      <c r="Z88" s="9" t="s">
        <v>2258</v>
      </c>
      <c r="AA88" s="9" t="s">
        <v>167</v>
      </c>
      <c r="AB88" s="9">
        <v>0</v>
      </c>
      <c r="AC88" s="32" t="s">
        <v>1877</v>
      </c>
      <c r="AD88" s="9">
        <v>0.5</v>
      </c>
      <c r="AE88" s="9" t="s">
        <v>165</v>
      </c>
      <c r="AF88" s="9" t="s">
        <v>64</v>
      </c>
      <c r="AG88" s="11"/>
      <c r="AH88" s="11" t="s">
        <v>238</v>
      </c>
      <c r="AI88" s="11">
        <v>1</v>
      </c>
      <c r="AJ88" s="11">
        <v>1</v>
      </c>
      <c r="AK88" s="11" t="s">
        <v>2259</v>
      </c>
      <c r="AL88" s="11">
        <v>1</v>
      </c>
      <c r="AM88" s="11" t="s">
        <v>2260</v>
      </c>
      <c r="AN88" s="11" t="s">
        <v>67</v>
      </c>
      <c r="AO88" s="6"/>
      <c r="AP88" s="6" t="s">
        <v>591</v>
      </c>
      <c r="AQ88" s="6">
        <v>1</v>
      </c>
      <c r="AR88" s="6">
        <v>1</v>
      </c>
      <c r="AS88" s="6" t="s">
        <v>2261</v>
      </c>
      <c r="AT88" s="6" t="s">
        <v>2262</v>
      </c>
      <c r="AU88" s="6">
        <v>3</v>
      </c>
      <c r="AV88" s="7">
        <v>3</v>
      </c>
      <c r="AW88" s="6" t="s">
        <v>62</v>
      </c>
      <c r="AX88" s="6">
        <v>0.5</v>
      </c>
      <c r="AY88" s="6" t="s">
        <v>2263</v>
      </c>
      <c r="AZ88" s="6"/>
      <c r="BA88" s="9"/>
      <c r="BB88" s="9" t="s">
        <v>2264</v>
      </c>
      <c r="BC88" s="9">
        <v>1</v>
      </c>
      <c r="BD88" s="9">
        <v>1</v>
      </c>
      <c r="BE88" s="9" t="s">
        <v>2265</v>
      </c>
      <c r="BF88" s="9">
        <v>1</v>
      </c>
      <c r="BG88" s="9" t="s">
        <v>2266</v>
      </c>
      <c r="BH88" s="9" t="s">
        <v>64</v>
      </c>
      <c r="BI88" s="8"/>
      <c r="BJ88" s="8" t="s">
        <v>248</v>
      </c>
      <c r="BK88" s="8">
        <v>1</v>
      </c>
      <c r="BL88" s="8">
        <v>1</v>
      </c>
      <c r="BM88" s="8" t="s">
        <v>2267</v>
      </c>
      <c r="BN88" s="8">
        <v>0</v>
      </c>
      <c r="BO88" s="8" t="s">
        <v>2268</v>
      </c>
      <c r="BP88" s="8" t="s">
        <v>42</v>
      </c>
      <c r="BQ88" s="11"/>
      <c r="BR88" s="11" t="s">
        <v>383</v>
      </c>
      <c r="BS88" s="11">
        <v>1</v>
      </c>
      <c r="BT88" s="11">
        <v>1</v>
      </c>
      <c r="BU88" s="11" t="s">
        <v>2269</v>
      </c>
      <c r="BV88" s="11" t="s">
        <v>167</v>
      </c>
      <c r="BW88" s="11">
        <v>1</v>
      </c>
      <c r="BX88" s="11" t="s">
        <v>62</v>
      </c>
      <c r="BY88" s="11">
        <v>0</v>
      </c>
      <c r="BZ88" s="11" t="s">
        <v>2270</v>
      </c>
      <c r="CA88" s="11" t="s">
        <v>42</v>
      </c>
      <c r="CB88" s="22"/>
    </row>
    <row r="89" spans="1:80" s="31" customFormat="1" ht="18" customHeight="1">
      <c r="A89">
        <v>10088</v>
      </c>
      <c r="B89" s="8"/>
      <c r="C89" s="8" t="s">
        <v>2271</v>
      </c>
      <c r="D89" s="5">
        <v>1</v>
      </c>
      <c r="E89" s="5">
        <v>1</v>
      </c>
      <c r="F89" s="8" t="s">
        <v>2272</v>
      </c>
      <c r="G89" s="8"/>
      <c r="H89" s="8">
        <v>1</v>
      </c>
      <c r="I89" s="8" t="s">
        <v>2273</v>
      </c>
      <c r="J89" s="8" t="s">
        <v>42</v>
      </c>
      <c r="K89" s="6"/>
      <c r="L89" s="6" t="s">
        <v>2274</v>
      </c>
      <c r="M89" s="6">
        <v>1</v>
      </c>
      <c r="N89" s="6">
        <v>1</v>
      </c>
      <c r="O89" s="6" t="s">
        <v>2275</v>
      </c>
      <c r="P89" s="6" t="s">
        <v>2276</v>
      </c>
      <c r="Q89" s="7">
        <v>3</v>
      </c>
      <c r="R89" s="6" t="s">
        <v>2277</v>
      </c>
      <c r="S89" s="6">
        <v>1</v>
      </c>
      <c r="T89" s="6" t="s">
        <v>2278</v>
      </c>
      <c r="U89" s="6" t="s">
        <v>64</v>
      </c>
      <c r="V89" s="9"/>
      <c r="W89" s="9" t="s">
        <v>2279</v>
      </c>
      <c r="X89" s="9">
        <v>1</v>
      </c>
      <c r="Y89" s="9">
        <v>0.5</v>
      </c>
      <c r="Z89" s="9" t="s">
        <v>2280</v>
      </c>
      <c r="AA89" s="9" t="s">
        <v>2281</v>
      </c>
      <c r="AB89" s="9">
        <v>1</v>
      </c>
      <c r="AC89" s="32" t="s">
        <v>2282</v>
      </c>
      <c r="AD89" s="9">
        <v>1</v>
      </c>
      <c r="AE89" s="9" t="s">
        <v>2283</v>
      </c>
      <c r="AF89" s="9" t="s">
        <v>35</v>
      </c>
      <c r="AG89" s="11"/>
      <c r="AH89" s="11" t="s">
        <v>2284</v>
      </c>
      <c r="AI89" s="11">
        <v>1</v>
      </c>
      <c r="AJ89" s="11">
        <v>1</v>
      </c>
      <c r="AK89" s="11" t="s">
        <v>116</v>
      </c>
      <c r="AL89" s="11">
        <v>0.5</v>
      </c>
      <c r="AM89" s="11" t="s">
        <v>2285</v>
      </c>
      <c r="AN89" s="11" t="s">
        <v>43</v>
      </c>
      <c r="AO89" s="6"/>
      <c r="AP89" s="6" t="s">
        <v>2286</v>
      </c>
      <c r="AQ89" s="6">
        <v>0.5</v>
      </c>
      <c r="AR89" s="6">
        <v>0.5</v>
      </c>
      <c r="AS89" s="6" t="s">
        <v>2287</v>
      </c>
      <c r="AT89" s="6" t="s">
        <v>2288</v>
      </c>
      <c r="AU89" s="6">
        <v>3</v>
      </c>
      <c r="AV89" s="7">
        <v>3</v>
      </c>
      <c r="AW89" s="6" t="s">
        <v>2289</v>
      </c>
      <c r="AX89" s="6">
        <v>1</v>
      </c>
      <c r="AY89" s="6" t="s">
        <v>2290</v>
      </c>
      <c r="AZ89" s="6" t="s">
        <v>43</v>
      </c>
      <c r="BA89" s="9"/>
      <c r="BB89" s="9" t="s">
        <v>2291</v>
      </c>
      <c r="BC89" s="9">
        <v>1</v>
      </c>
      <c r="BD89" s="9">
        <v>1</v>
      </c>
      <c r="BE89" s="9" t="s">
        <v>134</v>
      </c>
      <c r="BF89" s="9">
        <v>0.5</v>
      </c>
      <c r="BG89" s="9" t="s">
        <v>2292</v>
      </c>
      <c r="BH89" s="9" t="s">
        <v>35</v>
      </c>
      <c r="BI89" s="8"/>
      <c r="BJ89" s="8" t="s">
        <v>2293</v>
      </c>
      <c r="BK89" s="8">
        <v>1</v>
      </c>
      <c r="BL89" s="8">
        <v>1</v>
      </c>
      <c r="BM89" s="8" t="s">
        <v>2294</v>
      </c>
      <c r="BN89" s="8">
        <v>0</v>
      </c>
      <c r="BO89" s="8" t="s">
        <v>2295</v>
      </c>
      <c r="BP89" s="8" t="s">
        <v>43</v>
      </c>
      <c r="BQ89" s="11"/>
      <c r="BR89" s="11" t="s">
        <v>2296</v>
      </c>
      <c r="BS89" s="11">
        <v>1</v>
      </c>
      <c r="BT89" s="11">
        <v>0.5</v>
      </c>
      <c r="BU89" s="11" t="s">
        <v>2297</v>
      </c>
      <c r="BV89" s="11" t="s">
        <v>2298</v>
      </c>
      <c r="BW89" s="11">
        <v>2</v>
      </c>
      <c r="BX89" s="11" t="s">
        <v>2299</v>
      </c>
      <c r="BY89" s="11">
        <v>0</v>
      </c>
      <c r="BZ89" s="11" t="s">
        <v>2300</v>
      </c>
      <c r="CA89" s="11" t="s">
        <v>42</v>
      </c>
      <c r="CB89" s="22"/>
    </row>
    <row r="90" spans="1:80" s="31" customFormat="1" ht="18" customHeight="1">
      <c r="A90">
        <v>10089</v>
      </c>
      <c r="B90" s="8"/>
      <c r="C90" s="8" t="s">
        <v>2301</v>
      </c>
      <c r="D90" s="5">
        <v>1</v>
      </c>
      <c r="E90" s="5">
        <v>1</v>
      </c>
      <c r="F90" s="8" t="s">
        <v>2302</v>
      </c>
      <c r="G90" s="8"/>
      <c r="H90" s="8">
        <v>3</v>
      </c>
      <c r="I90" s="8" t="s">
        <v>2303</v>
      </c>
      <c r="J90" s="8" t="s">
        <v>64</v>
      </c>
      <c r="K90" s="6"/>
      <c r="L90" s="6" t="s">
        <v>2304</v>
      </c>
      <c r="M90" s="6">
        <v>1</v>
      </c>
      <c r="N90" s="6">
        <v>1</v>
      </c>
      <c r="O90" s="6" t="s">
        <v>2305</v>
      </c>
      <c r="P90" s="6" t="s">
        <v>2306</v>
      </c>
      <c r="Q90" s="7">
        <v>3</v>
      </c>
      <c r="R90" s="6" t="s">
        <v>2307</v>
      </c>
      <c r="S90" s="6">
        <v>0.5</v>
      </c>
      <c r="T90" s="6" t="s">
        <v>2308</v>
      </c>
      <c r="U90" s="6" t="s">
        <v>36</v>
      </c>
      <c r="V90" s="9"/>
      <c r="W90" s="9" t="s">
        <v>2309</v>
      </c>
      <c r="X90" s="9">
        <v>1</v>
      </c>
      <c r="Y90" s="9">
        <v>1</v>
      </c>
      <c r="Z90" s="9" t="s">
        <v>2310</v>
      </c>
      <c r="AA90" s="9" t="s">
        <v>2311</v>
      </c>
      <c r="AB90" s="9">
        <v>0</v>
      </c>
      <c r="AC90" s="32" t="s">
        <v>2312</v>
      </c>
      <c r="AD90" s="9">
        <v>1</v>
      </c>
      <c r="AE90" s="9" t="s">
        <v>2313</v>
      </c>
      <c r="AF90" s="9" t="s">
        <v>64</v>
      </c>
      <c r="AG90" s="11"/>
      <c r="AH90" s="11" t="s">
        <v>2314</v>
      </c>
      <c r="AI90" s="11">
        <v>1</v>
      </c>
      <c r="AJ90" s="11">
        <v>1</v>
      </c>
      <c r="AK90" s="11" t="s">
        <v>2315</v>
      </c>
      <c r="AL90" s="11">
        <v>1</v>
      </c>
      <c r="AM90" s="11" t="s">
        <v>2316</v>
      </c>
      <c r="AN90" s="11" t="s">
        <v>64</v>
      </c>
      <c r="AO90" s="6"/>
      <c r="AP90" s="6" t="s">
        <v>2317</v>
      </c>
      <c r="AQ90" s="6">
        <v>1</v>
      </c>
      <c r="AR90" s="6">
        <v>1</v>
      </c>
      <c r="AS90" s="6" t="s">
        <v>2318</v>
      </c>
      <c r="AT90" s="6" t="s">
        <v>2319</v>
      </c>
      <c r="AU90" s="6">
        <v>3</v>
      </c>
      <c r="AV90" s="7">
        <v>2</v>
      </c>
      <c r="AW90" s="6" t="s">
        <v>2320</v>
      </c>
      <c r="AX90" s="6">
        <v>1</v>
      </c>
      <c r="AY90" s="6" t="s">
        <v>2321</v>
      </c>
      <c r="AZ90" s="6" t="s">
        <v>64</v>
      </c>
      <c r="BA90" s="9"/>
      <c r="BB90" s="9" t="s">
        <v>2322</v>
      </c>
      <c r="BC90" s="9">
        <v>1</v>
      </c>
      <c r="BD90" s="9">
        <v>1</v>
      </c>
      <c r="BE90" s="9" t="s">
        <v>2323</v>
      </c>
      <c r="BF90" s="9">
        <v>1</v>
      </c>
      <c r="BG90" s="9" t="s">
        <v>2324</v>
      </c>
      <c r="BH90" s="9" t="s">
        <v>64</v>
      </c>
      <c r="BI90" s="8"/>
      <c r="BJ90" s="8" t="s">
        <v>2325</v>
      </c>
      <c r="BK90" s="8">
        <v>1</v>
      </c>
      <c r="BL90" s="8">
        <v>1</v>
      </c>
      <c r="BM90" s="8" t="s">
        <v>2326</v>
      </c>
      <c r="BN90" s="8">
        <v>0</v>
      </c>
      <c r="BO90" s="8" t="s">
        <v>2327</v>
      </c>
      <c r="BP90" s="8" t="s">
        <v>36</v>
      </c>
      <c r="BQ90" s="11"/>
      <c r="BR90" s="11" t="s">
        <v>2328</v>
      </c>
      <c r="BS90" s="11">
        <v>1</v>
      </c>
      <c r="BT90" s="11">
        <v>1</v>
      </c>
      <c r="BU90" s="11" t="s">
        <v>2329</v>
      </c>
      <c r="BV90" s="11" t="s">
        <v>2330</v>
      </c>
      <c r="BW90" s="11">
        <v>1</v>
      </c>
      <c r="BX90" s="11" t="s">
        <v>41</v>
      </c>
      <c r="BY90" s="11">
        <v>0</v>
      </c>
      <c r="BZ90" s="11" t="s">
        <v>2331</v>
      </c>
      <c r="CA90" s="11" t="s">
        <v>43</v>
      </c>
      <c r="CB90" s="22"/>
    </row>
    <row r="91" spans="1:80" s="31" customFormat="1" ht="18" customHeight="1">
      <c r="A91">
        <v>10090</v>
      </c>
      <c r="B91" s="8"/>
      <c r="C91" s="8" t="s">
        <v>228</v>
      </c>
      <c r="D91" s="5">
        <v>1</v>
      </c>
      <c r="E91" s="5">
        <v>1</v>
      </c>
      <c r="F91" s="8" t="s">
        <v>2332</v>
      </c>
      <c r="G91" s="8"/>
      <c r="H91" s="8">
        <v>3</v>
      </c>
      <c r="I91" s="8" t="s">
        <v>2333</v>
      </c>
      <c r="J91" s="8" t="s">
        <v>64</v>
      </c>
      <c r="K91" s="6"/>
      <c r="L91" s="6" t="s">
        <v>2334</v>
      </c>
      <c r="M91" s="6">
        <v>1</v>
      </c>
      <c r="N91" s="6">
        <v>1</v>
      </c>
      <c r="O91" s="6" t="s">
        <v>2335</v>
      </c>
      <c r="P91" s="6" t="s">
        <v>2336</v>
      </c>
      <c r="Q91" s="7">
        <v>3</v>
      </c>
      <c r="R91" s="6" t="s">
        <v>608</v>
      </c>
      <c r="S91" s="6">
        <v>0.5</v>
      </c>
      <c r="T91" s="6" t="s">
        <v>169</v>
      </c>
      <c r="U91" s="6" t="s">
        <v>67</v>
      </c>
      <c r="V91" s="9"/>
      <c r="W91" s="9" t="s">
        <v>263</v>
      </c>
      <c r="X91" s="9">
        <v>1</v>
      </c>
      <c r="Y91" s="9">
        <v>1</v>
      </c>
      <c r="Z91" s="9" t="s">
        <v>2337</v>
      </c>
      <c r="AA91" s="9" t="s">
        <v>204</v>
      </c>
      <c r="AB91" s="9">
        <v>1</v>
      </c>
      <c r="AC91" s="32" t="s">
        <v>2338</v>
      </c>
      <c r="AD91" s="9">
        <v>0.5</v>
      </c>
      <c r="AE91" s="9" t="s">
        <v>2339</v>
      </c>
      <c r="AF91" s="9" t="s">
        <v>35</v>
      </c>
      <c r="AG91" s="11"/>
      <c r="AH91" s="11" t="s">
        <v>771</v>
      </c>
      <c r="AI91" s="11">
        <v>1</v>
      </c>
      <c r="AJ91" s="11">
        <v>1</v>
      </c>
      <c r="AK91" s="11" t="s">
        <v>104</v>
      </c>
      <c r="AL91" s="11">
        <v>0.5</v>
      </c>
      <c r="AM91" s="11" t="s">
        <v>2340</v>
      </c>
      <c r="AN91" s="11" t="s">
        <v>35</v>
      </c>
      <c r="AO91" s="6"/>
      <c r="AP91" s="6" t="s">
        <v>2341</v>
      </c>
      <c r="AQ91" s="6">
        <v>1</v>
      </c>
      <c r="AR91" s="6">
        <v>1</v>
      </c>
      <c r="AS91" s="6" t="s">
        <v>97</v>
      </c>
      <c r="AT91" s="6" t="s">
        <v>2342</v>
      </c>
      <c r="AU91" s="6">
        <v>2</v>
      </c>
      <c r="AV91" s="7">
        <v>0</v>
      </c>
      <c r="AW91" s="6" t="s">
        <v>62</v>
      </c>
      <c r="AX91" s="6">
        <v>0.5</v>
      </c>
      <c r="AY91" s="6" t="s">
        <v>2340</v>
      </c>
      <c r="AZ91" s="6" t="s">
        <v>35</v>
      </c>
      <c r="BA91" s="9"/>
      <c r="BB91" s="9" t="s">
        <v>2343</v>
      </c>
      <c r="BC91" s="9">
        <v>1</v>
      </c>
      <c r="BD91" s="9">
        <v>1</v>
      </c>
      <c r="BE91" s="9" t="s">
        <v>78</v>
      </c>
      <c r="BF91" s="9">
        <v>0.5</v>
      </c>
      <c r="BG91" s="9" t="s">
        <v>169</v>
      </c>
      <c r="BH91" s="9" t="s">
        <v>43</v>
      </c>
      <c r="BI91" s="8"/>
      <c r="BJ91" s="8" t="s">
        <v>248</v>
      </c>
      <c r="BK91" s="8">
        <v>1</v>
      </c>
      <c r="BL91" s="8">
        <v>1</v>
      </c>
      <c r="BM91" s="8" t="s">
        <v>47</v>
      </c>
      <c r="BN91" s="8">
        <v>0</v>
      </c>
      <c r="BO91" s="8" t="s">
        <v>169</v>
      </c>
      <c r="BP91" s="8" t="s">
        <v>43</v>
      </c>
      <c r="BQ91" s="11"/>
      <c r="BR91" s="11" t="s">
        <v>250</v>
      </c>
      <c r="BS91" s="11">
        <v>1</v>
      </c>
      <c r="BT91" s="11">
        <v>1</v>
      </c>
      <c r="BU91" s="11" t="s">
        <v>2344</v>
      </c>
      <c r="BV91" s="11" t="s">
        <v>2345</v>
      </c>
      <c r="BW91" s="11">
        <v>1</v>
      </c>
      <c r="BX91" s="11" t="s">
        <v>62</v>
      </c>
      <c r="BY91" s="11">
        <v>0</v>
      </c>
      <c r="BZ91" s="11" t="s">
        <v>169</v>
      </c>
      <c r="CA91" s="11" t="s">
        <v>43</v>
      </c>
      <c r="CB91" s="22"/>
    </row>
    <row r="92" spans="1:80" s="31" customFormat="1" ht="18" customHeight="1">
      <c r="A92">
        <v>10091</v>
      </c>
      <c r="B92" s="8"/>
      <c r="C92" s="8" t="s">
        <v>2346</v>
      </c>
      <c r="D92" s="5">
        <v>1</v>
      </c>
      <c r="E92" s="5">
        <v>1</v>
      </c>
      <c r="F92" s="8" t="s">
        <v>2347</v>
      </c>
      <c r="G92" s="8"/>
      <c r="H92" s="8">
        <v>3</v>
      </c>
      <c r="I92" s="8" t="s">
        <v>2348</v>
      </c>
      <c r="J92" s="8" t="s">
        <v>67</v>
      </c>
      <c r="K92" s="6"/>
      <c r="L92" s="6" t="s">
        <v>2349</v>
      </c>
      <c r="M92" s="6">
        <v>1</v>
      </c>
      <c r="N92" s="6">
        <v>1</v>
      </c>
      <c r="O92" s="6" t="s">
        <v>2350</v>
      </c>
      <c r="P92" s="6" t="s">
        <v>2351</v>
      </c>
      <c r="Q92" s="7">
        <v>0</v>
      </c>
      <c r="R92" s="6" t="s">
        <v>2352</v>
      </c>
      <c r="S92" s="6">
        <v>1</v>
      </c>
      <c r="T92" s="6" t="s">
        <v>2353</v>
      </c>
      <c r="U92" s="6" t="s">
        <v>64</v>
      </c>
      <c r="V92" s="9"/>
      <c r="W92" s="9" t="s">
        <v>2354</v>
      </c>
      <c r="X92" s="9">
        <v>1</v>
      </c>
      <c r="Y92" s="9">
        <v>0.5</v>
      </c>
      <c r="Z92" s="9" t="s">
        <v>2355</v>
      </c>
      <c r="AA92" s="9" t="s">
        <v>2356</v>
      </c>
      <c r="AB92" s="9">
        <v>1</v>
      </c>
      <c r="AC92" s="32" t="s">
        <v>566</v>
      </c>
      <c r="AD92" s="9">
        <v>0.5</v>
      </c>
      <c r="AE92" s="9" t="s">
        <v>2357</v>
      </c>
      <c r="AF92" s="9" t="s">
        <v>67</v>
      </c>
      <c r="AG92" s="11"/>
      <c r="AH92" s="11" t="s">
        <v>941</v>
      </c>
      <c r="AI92" s="11">
        <v>1</v>
      </c>
      <c r="AJ92" s="11">
        <v>1</v>
      </c>
      <c r="AK92" s="11" t="s">
        <v>79</v>
      </c>
      <c r="AL92" s="11">
        <v>0.5</v>
      </c>
      <c r="AM92" s="11" t="s">
        <v>2358</v>
      </c>
      <c r="AN92" s="11" t="s">
        <v>64</v>
      </c>
      <c r="AO92" s="6"/>
      <c r="AP92" s="6" t="s">
        <v>2359</v>
      </c>
      <c r="AQ92" s="6">
        <v>0.5</v>
      </c>
      <c r="AR92" s="6">
        <v>0.5</v>
      </c>
      <c r="AS92" s="6" t="s">
        <v>2360</v>
      </c>
      <c r="AT92" s="6" t="s">
        <v>2361</v>
      </c>
      <c r="AU92" s="6">
        <v>3</v>
      </c>
      <c r="AV92" s="7">
        <v>3</v>
      </c>
      <c r="AW92" s="6" t="s">
        <v>2362</v>
      </c>
      <c r="AX92" s="6">
        <v>1</v>
      </c>
      <c r="AY92" s="6" t="s">
        <v>2363</v>
      </c>
      <c r="AZ92" s="6" t="s">
        <v>64</v>
      </c>
      <c r="BA92" s="9"/>
      <c r="BB92" s="9" t="s">
        <v>2364</v>
      </c>
      <c r="BC92" s="9">
        <v>1</v>
      </c>
      <c r="BD92" s="9">
        <v>0</v>
      </c>
      <c r="BE92" s="9" t="s">
        <v>2365</v>
      </c>
      <c r="BF92" s="9">
        <v>1</v>
      </c>
      <c r="BG92" s="9" t="s">
        <v>2366</v>
      </c>
      <c r="BH92" s="9" t="s">
        <v>42</v>
      </c>
      <c r="BI92" s="8"/>
      <c r="BJ92" s="8" t="s">
        <v>2367</v>
      </c>
      <c r="BK92" s="8">
        <v>1</v>
      </c>
      <c r="BL92" s="8">
        <v>1</v>
      </c>
      <c r="BM92" s="8" t="s">
        <v>2368</v>
      </c>
      <c r="BN92" s="8">
        <v>0</v>
      </c>
      <c r="BO92" s="8" t="s">
        <v>2369</v>
      </c>
      <c r="BP92" s="8" t="s">
        <v>67</v>
      </c>
      <c r="BQ92" s="11"/>
      <c r="BR92" s="11" t="s">
        <v>2370</v>
      </c>
      <c r="BS92" s="11">
        <v>1</v>
      </c>
      <c r="BT92" s="11">
        <v>0.5</v>
      </c>
      <c r="BU92" s="11" t="s">
        <v>2371</v>
      </c>
      <c r="BV92" s="11" t="s">
        <v>2372</v>
      </c>
      <c r="BW92" s="11">
        <v>3</v>
      </c>
      <c r="BX92" s="11" t="s">
        <v>51</v>
      </c>
      <c r="BY92" s="11">
        <v>0.5</v>
      </c>
      <c r="BZ92" s="11" t="s">
        <v>2373</v>
      </c>
      <c r="CA92" s="11" t="s">
        <v>67</v>
      </c>
      <c r="CB92" s="22"/>
    </row>
    <row r="93" spans="1:80" s="31" customFormat="1" ht="18" customHeight="1">
      <c r="A93">
        <v>10092</v>
      </c>
      <c r="B93" s="8"/>
      <c r="C93" s="8" t="s">
        <v>2374</v>
      </c>
      <c r="D93" s="5">
        <v>1</v>
      </c>
      <c r="E93" s="5">
        <v>1</v>
      </c>
      <c r="F93" s="8" t="s">
        <v>2375</v>
      </c>
      <c r="G93" s="8"/>
      <c r="H93" s="8">
        <v>3</v>
      </c>
      <c r="I93" s="8" t="s">
        <v>2376</v>
      </c>
      <c r="J93" s="8" t="s">
        <v>67</v>
      </c>
      <c r="K93" s="6"/>
      <c r="L93" s="6" t="s">
        <v>230</v>
      </c>
      <c r="M93" s="6">
        <v>1</v>
      </c>
      <c r="N93" s="6">
        <v>1</v>
      </c>
      <c r="O93" s="6" t="s">
        <v>2377</v>
      </c>
      <c r="P93" s="6" t="s">
        <v>2378</v>
      </c>
      <c r="Q93" s="7">
        <v>3</v>
      </c>
      <c r="R93" s="6" t="s">
        <v>608</v>
      </c>
      <c r="S93" s="6">
        <v>0.5</v>
      </c>
      <c r="T93" s="6" t="s">
        <v>2379</v>
      </c>
      <c r="U93" s="6" t="s">
        <v>64</v>
      </c>
      <c r="V93" s="9"/>
      <c r="W93" s="9" t="s">
        <v>313</v>
      </c>
      <c r="X93" s="9">
        <v>1</v>
      </c>
      <c r="Y93" s="9">
        <v>1</v>
      </c>
      <c r="Z93" s="9" t="s">
        <v>2380</v>
      </c>
      <c r="AA93" s="9" t="s">
        <v>2381</v>
      </c>
      <c r="AB93" s="9">
        <v>2</v>
      </c>
      <c r="AC93" s="32" t="s">
        <v>162</v>
      </c>
      <c r="AD93" s="9">
        <v>0.5</v>
      </c>
      <c r="AE93" s="9" t="s">
        <v>2382</v>
      </c>
      <c r="AF93" s="9" t="s">
        <v>67</v>
      </c>
      <c r="AG93" s="11"/>
      <c r="AH93" s="11" t="s">
        <v>238</v>
      </c>
      <c r="AI93" s="11">
        <v>1</v>
      </c>
      <c r="AJ93" s="11">
        <v>1</v>
      </c>
      <c r="AK93" s="11" t="s">
        <v>59</v>
      </c>
      <c r="AL93" s="11">
        <v>0.5</v>
      </c>
      <c r="AM93" s="11" t="s">
        <v>2383</v>
      </c>
      <c r="AN93" s="11" t="s">
        <v>67</v>
      </c>
      <c r="AO93" s="6"/>
      <c r="AP93" s="6" t="s">
        <v>450</v>
      </c>
      <c r="AQ93" s="6">
        <v>1</v>
      </c>
      <c r="AR93" s="6">
        <v>1</v>
      </c>
      <c r="AS93" s="6" t="s">
        <v>2384</v>
      </c>
      <c r="AT93" s="6" t="s">
        <v>2385</v>
      </c>
      <c r="AU93" s="6">
        <v>0</v>
      </c>
      <c r="AV93" s="7">
        <v>0</v>
      </c>
      <c r="AW93" s="6" t="s">
        <v>2386</v>
      </c>
      <c r="AX93" s="6">
        <v>0.5</v>
      </c>
      <c r="AY93" s="6" t="s">
        <v>2387</v>
      </c>
      <c r="AZ93" s="6" t="s">
        <v>67</v>
      </c>
      <c r="BA93" s="9"/>
      <c r="BB93" s="9" t="s">
        <v>2388</v>
      </c>
      <c r="BC93" s="9">
        <v>1</v>
      </c>
      <c r="BD93" s="9">
        <v>1</v>
      </c>
      <c r="BE93" s="9" t="s">
        <v>61</v>
      </c>
      <c r="BF93" s="9">
        <v>0.5</v>
      </c>
      <c r="BG93" s="9" t="s">
        <v>2389</v>
      </c>
      <c r="BH93" s="9" t="s">
        <v>64</v>
      </c>
      <c r="BI93" s="8"/>
      <c r="BJ93" s="8" t="s">
        <v>652</v>
      </c>
      <c r="BK93" s="8">
        <v>1</v>
      </c>
      <c r="BL93" s="8">
        <v>1</v>
      </c>
      <c r="BM93" s="8" t="s">
        <v>608</v>
      </c>
      <c r="BN93" s="8">
        <v>0</v>
      </c>
      <c r="BO93" s="8" t="s">
        <v>93</v>
      </c>
      <c r="BP93" s="8" t="s">
        <v>42</v>
      </c>
      <c r="BQ93" s="11"/>
      <c r="BR93" s="11" t="s">
        <v>383</v>
      </c>
      <c r="BS93" s="11">
        <v>1</v>
      </c>
      <c r="BT93" s="11">
        <v>1</v>
      </c>
      <c r="BU93" s="11" t="s">
        <v>2390</v>
      </c>
      <c r="BV93" s="11" t="s">
        <v>2391</v>
      </c>
      <c r="BW93" s="11">
        <v>1</v>
      </c>
      <c r="BX93" s="11" t="s">
        <v>162</v>
      </c>
      <c r="BY93" s="11">
        <v>0</v>
      </c>
      <c r="BZ93" s="11" t="s">
        <v>2392</v>
      </c>
      <c r="CA93" s="11" t="s">
        <v>43</v>
      </c>
      <c r="CB93" s="22"/>
    </row>
    <row r="94" spans="1:80" s="31" customFormat="1" ht="18" customHeight="1">
      <c r="A94">
        <v>10093</v>
      </c>
      <c r="B94" s="8"/>
      <c r="C94" s="8" t="s">
        <v>255</v>
      </c>
      <c r="D94" s="5">
        <v>1</v>
      </c>
      <c r="E94" s="5">
        <v>1</v>
      </c>
      <c r="F94" s="8" t="s">
        <v>2393</v>
      </c>
      <c r="G94" s="8"/>
      <c r="H94" s="8">
        <v>0</v>
      </c>
      <c r="I94" s="8" t="s">
        <v>2394</v>
      </c>
      <c r="J94" s="8" t="s">
        <v>42</v>
      </c>
      <c r="K94" s="6"/>
      <c r="L94" s="6" t="s">
        <v>230</v>
      </c>
      <c r="M94" s="6">
        <v>1</v>
      </c>
      <c r="N94" s="6">
        <v>1</v>
      </c>
      <c r="O94" s="6" t="s">
        <v>2395</v>
      </c>
      <c r="P94" s="6" t="s">
        <v>2396</v>
      </c>
      <c r="Q94" s="7">
        <v>3</v>
      </c>
      <c r="R94" s="6" t="s">
        <v>2397</v>
      </c>
      <c r="S94" s="6">
        <v>1</v>
      </c>
      <c r="T94" s="6" t="s">
        <v>2398</v>
      </c>
      <c r="U94" s="6" t="s">
        <v>67</v>
      </c>
      <c r="V94" s="9"/>
      <c r="W94" s="9" t="s">
        <v>565</v>
      </c>
      <c r="X94" s="9">
        <v>1</v>
      </c>
      <c r="Y94" s="9">
        <v>1</v>
      </c>
      <c r="Z94" s="9" t="s">
        <v>172</v>
      </c>
      <c r="AA94" s="9" t="s">
        <v>2399</v>
      </c>
      <c r="AB94" s="9">
        <v>0</v>
      </c>
      <c r="AC94" s="32" t="s">
        <v>2400</v>
      </c>
      <c r="AD94" s="9">
        <v>0.5</v>
      </c>
      <c r="AE94" s="9" t="s">
        <v>2401</v>
      </c>
      <c r="AF94" s="9" t="s">
        <v>42</v>
      </c>
      <c r="AG94" s="11"/>
      <c r="AH94" s="11" t="s">
        <v>771</v>
      </c>
      <c r="AI94" s="11">
        <v>1</v>
      </c>
      <c r="AJ94" s="11">
        <v>1</v>
      </c>
      <c r="AK94" s="11" t="s">
        <v>59</v>
      </c>
      <c r="AL94" s="11">
        <v>0.5</v>
      </c>
      <c r="AM94" s="11" t="s">
        <v>2402</v>
      </c>
      <c r="AN94" s="11" t="s">
        <v>64</v>
      </c>
      <c r="AO94" s="6"/>
      <c r="AP94" s="6" t="s">
        <v>450</v>
      </c>
      <c r="AQ94" s="6">
        <v>1</v>
      </c>
      <c r="AR94" s="6">
        <v>1</v>
      </c>
      <c r="AS94" s="6" t="s">
        <v>172</v>
      </c>
      <c r="AT94" s="6" t="s">
        <v>2403</v>
      </c>
      <c r="AU94" s="6">
        <v>3</v>
      </c>
      <c r="AV94" s="7">
        <v>3</v>
      </c>
      <c r="AW94" s="6" t="s">
        <v>194</v>
      </c>
      <c r="AX94" s="6">
        <v>0.5</v>
      </c>
      <c r="AY94" s="6" t="s">
        <v>2404</v>
      </c>
      <c r="AZ94" s="6" t="s">
        <v>36</v>
      </c>
      <c r="BA94" s="9"/>
      <c r="BB94" s="9" t="s">
        <v>2405</v>
      </c>
      <c r="BC94" s="9">
        <v>1</v>
      </c>
      <c r="BD94" s="9">
        <v>1</v>
      </c>
      <c r="BE94" s="9" t="s">
        <v>61</v>
      </c>
      <c r="BF94" s="9">
        <v>0.5</v>
      </c>
      <c r="BG94" s="9" t="s">
        <v>2406</v>
      </c>
      <c r="BH94" s="9" t="s">
        <v>36</v>
      </c>
      <c r="BI94" s="8"/>
      <c r="BJ94" s="8" t="s">
        <v>276</v>
      </c>
      <c r="BK94" s="8">
        <v>1</v>
      </c>
      <c r="BL94" s="8">
        <v>1</v>
      </c>
      <c r="BM94" s="8" t="s">
        <v>608</v>
      </c>
      <c r="BN94" s="8">
        <v>0</v>
      </c>
      <c r="BO94" s="8" t="s">
        <v>2407</v>
      </c>
      <c r="BP94" s="8" t="s">
        <v>36</v>
      </c>
      <c r="BQ94" s="11"/>
      <c r="BR94" s="11" t="s">
        <v>250</v>
      </c>
      <c r="BS94" s="11">
        <v>1</v>
      </c>
      <c r="BT94" s="11">
        <v>1</v>
      </c>
      <c r="BU94" s="11" t="s">
        <v>2408</v>
      </c>
      <c r="BV94" s="11" t="s">
        <v>2409</v>
      </c>
      <c r="BW94" s="11">
        <v>3</v>
      </c>
      <c r="BX94" s="11" t="s">
        <v>2410</v>
      </c>
      <c r="BY94" s="11">
        <v>0</v>
      </c>
      <c r="BZ94" s="11" t="s">
        <v>2407</v>
      </c>
      <c r="CA94" s="11" t="s">
        <v>36</v>
      </c>
      <c r="CB94" s="22"/>
    </row>
    <row r="95" spans="1:80" s="31" customFormat="1" ht="18" customHeight="1">
      <c r="A95">
        <v>10094</v>
      </c>
      <c r="B95" s="8"/>
      <c r="C95" s="8" t="s">
        <v>2411</v>
      </c>
      <c r="D95" s="5">
        <v>1</v>
      </c>
      <c r="E95" s="5">
        <v>1</v>
      </c>
      <c r="F95" s="8" t="s">
        <v>2412</v>
      </c>
      <c r="G95" s="8"/>
      <c r="H95" s="8">
        <v>1</v>
      </c>
      <c r="I95" s="8" t="s">
        <v>2413</v>
      </c>
      <c r="J95" s="8" t="s">
        <v>42</v>
      </c>
      <c r="K95" s="6"/>
      <c r="L95" s="6" t="s">
        <v>2414</v>
      </c>
      <c r="M95" s="6">
        <v>1</v>
      </c>
      <c r="N95" s="6">
        <v>1</v>
      </c>
      <c r="O95" s="6" t="s">
        <v>2415</v>
      </c>
      <c r="P95" s="6" t="s">
        <v>2416</v>
      </c>
      <c r="Q95" s="7">
        <v>0</v>
      </c>
      <c r="R95" s="6" t="s">
        <v>608</v>
      </c>
      <c r="S95" s="6">
        <v>0.5</v>
      </c>
      <c r="T95" s="6" t="s">
        <v>2417</v>
      </c>
      <c r="U95" s="6" t="s">
        <v>64</v>
      </c>
      <c r="V95" s="9"/>
      <c r="W95" s="9" t="s">
        <v>609</v>
      </c>
      <c r="X95" s="9">
        <v>1</v>
      </c>
      <c r="Y95" s="9">
        <v>1</v>
      </c>
      <c r="Z95" s="9" t="s">
        <v>2418</v>
      </c>
      <c r="AA95" s="9" t="s">
        <v>2419</v>
      </c>
      <c r="AB95" s="9">
        <v>3</v>
      </c>
      <c r="AC95" s="32" t="s">
        <v>2420</v>
      </c>
      <c r="AD95" s="9">
        <v>0.5</v>
      </c>
      <c r="AE95" s="9" t="s">
        <v>2421</v>
      </c>
      <c r="AF95" s="9" t="s">
        <v>67</v>
      </c>
      <c r="AG95" s="11"/>
      <c r="AH95" s="11" t="s">
        <v>807</v>
      </c>
      <c r="AI95" s="11">
        <v>1</v>
      </c>
      <c r="AJ95" s="11">
        <v>1</v>
      </c>
      <c r="AK95" s="11" t="s">
        <v>1494</v>
      </c>
      <c r="AL95" s="11">
        <v>0.5</v>
      </c>
      <c r="AM95" s="11" t="s">
        <v>2417</v>
      </c>
      <c r="AN95" s="11" t="s">
        <v>64</v>
      </c>
      <c r="AO95" s="6"/>
      <c r="AP95" s="6" t="s">
        <v>1001</v>
      </c>
      <c r="AQ95" s="6">
        <v>1</v>
      </c>
      <c r="AR95" s="6">
        <v>1</v>
      </c>
      <c r="AS95" s="6" t="s">
        <v>2422</v>
      </c>
      <c r="AT95" s="6" t="s">
        <v>2423</v>
      </c>
      <c r="AU95" s="6">
        <v>0</v>
      </c>
      <c r="AV95" s="7">
        <v>0</v>
      </c>
      <c r="AW95" s="6" t="s">
        <v>2424</v>
      </c>
      <c r="AX95" s="6">
        <v>0.5</v>
      </c>
      <c r="AY95" s="6" t="s">
        <v>2417</v>
      </c>
      <c r="AZ95" s="6" t="s">
        <v>64</v>
      </c>
      <c r="BA95" s="9"/>
      <c r="BB95" s="9" t="s">
        <v>2425</v>
      </c>
      <c r="BC95" s="9">
        <v>1</v>
      </c>
      <c r="BD95" s="9">
        <v>0.5</v>
      </c>
      <c r="BE95" s="9" t="s">
        <v>61</v>
      </c>
      <c r="BF95" s="9">
        <v>0.5</v>
      </c>
      <c r="BG95" s="9" t="s">
        <v>2426</v>
      </c>
      <c r="BH95" s="9" t="s">
        <v>42</v>
      </c>
      <c r="BI95" s="8"/>
      <c r="BJ95" s="8" t="s">
        <v>483</v>
      </c>
      <c r="BK95" s="8">
        <v>1</v>
      </c>
      <c r="BL95" s="8">
        <v>1</v>
      </c>
      <c r="BM95" s="8" t="s">
        <v>608</v>
      </c>
      <c r="BN95" s="8">
        <v>0</v>
      </c>
      <c r="BO95" s="8" t="s">
        <v>1776</v>
      </c>
      <c r="BP95" s="8" t="s">
        <v>42</v>
      </c>
      <c r="BQ95" s="11"/>
      <c r="BR95" s="11" t="s">
        <v>2427</v>
      </c>
      <c r="BS95" s="11">
        <v>1</v>
      </c>
      <c r="BT95" s="11">
        <v>0.5</v>
      </c>
      <c r="BU95" s="11" t="s">
        <v>2428</v>
      </c>
      <c r="BV95" s="11" t="s">
        <v>2429</v>
      </c>
      <c r="BW95" s="11">
        <v>1</v>
      </c>
      <c r="BX95" s="11" t="s">
        <v>2420</v>
      </c>
      <c r="BY95" s="11">
        <v>0</v>
      </c>
      <c r="BZ95" s="11" t="s">
        <v>2430</v>
      </c>
      <c r="CA95" s="11" t="s">
        <v>37</v>
      </c>
      <c r="CB95" s="22"/>
    </row>
    <row r="96" spans="1:80" s="31" customFormat="1" ht="18" customHeight="1">
      <c r="A96">
        <v>10095</v>
      </c>
      <c r="B96" s="8"/>
      <c r="C96" s="8" t="s">
        <v>228</v>
      </c>
      <c r="D96" s="5">
        <v>1</v>
      </c>
      <c r="E96" s="5">
        <v>1</v>
      </c>
      <c r="F96" s="8" t="s">
        <v>2431</v>
      </c>
      <c r="G96" s="8"/>
      <c r="H96" s="8">
        <v>1</v>
      </c>
      <c r="I96" s="8" t="s">
        <v>2432</v>
      </c>
      <c r="J96" s="8" t="s">
        <v>36</v>
      </c>
      <c r="K96" s="6"/>
      <c r="L96" s="6" t="s">
        <v>230</v>
      </c>
      <c r="M96" s="6">
        <v>1</v>
      </c>
      <c r="N96" s="6">
        <v>1</v>
      </c>
      <c r="O96" s="6" t="s">
        <v>2433</v>
      </c>
      <c r="P96" s="6" t="s">
        <v>2434</v>
      </c>
      <c r="Q96" s="7">
        <v>3</v>
      </c>
      <c r="R96" s="6" t="s">
        <v>2435</v>
      </c>
      <c r="S96" s="6">
        <v>0.5</v>
      </c>
      <c r="T96" s="6" t="s">
        <v>2436</v>
      </c>
      <c r="U96" s="6" t="s">
        <v>36</v>
      </c>
      <c r="V96" s="9"/>
      <c r="W96" s="9" t="s">
        <v>313</v>
      </c>
      <c r="X96" s="9">
        <v>1</v>
      </c>
      <c r="Y96" s="9">
        <v>1</v>
      </c>
      <c r="Z96" s="9" t="s">
        <v>2437</v>
      </c>
      <c r="AA96" s="9" t="s">
        <v>2438</v>
      </c>
      <c r="AB96" s="9">
        <v>2</v>
      </c>
      <c r="AC96" s="32" t="s">
        <v>2439</v>
      </c>
      <c r="AD96" s="9">
        <v>1</v>
      </c>
      <c r="AE96" s="9" t="s">
        <v>2440</v>
      </c>
      <c r="AF96" s="9" t="s">
        <v>42</v>
      </c>
      <c r="AG96" s="11"/>
      <c r="AH96" s="11" t="s">
        <v>238</v>
      </c>
      <c r="AI96" s="11">
        <v>1</v>
      </c>
      <c r="AJ96" s="11">
        <v>1</v>
      </c>
      <c r="AK96" s="11" t="s">
        <v>2441</v>
      </c>
      <c r="AL96" s="11">
        <v>1</v>
      </c>
      <c r="AM96" s="11" t="s">
        <v>2442</v>
      </c>
      <c r="AN96" s="11" t="s">
        <v>67</v>
      </c>
      <c r="AO96" s="6"/>
      <c r="AP96" s="6" t="s">
        <v>591</v>
      </c>
      <c r="AQ96" s="6">
        <v>1</v>
      </c>
      <c r="AR96" s="6">
        <v>1</v>
      </c>
      <c r="AS96" s="6" t="s">
        <v>97</v>
      </c>
      <c r="AT96" s="6" t="s">
        <v>204</v>
      </c>
      <c r="AU96" s="6">
        <v>2</v>
      </c>
      <c r="AV96" s="7">
        <v>1</v>
      </c>
      <c r="AW96" s="6" t="s">
        <v>173</v>
      </c>
      <c r="AX96" s="6">
        <v>0.5</v>
      </c>
      <c r="AY96" s="6" t="s">
        <v>2443</v>
      </c>
      <c r="AZ96" s="6" t="s">
        <v>67</v>
      </c>
      <c r="BA96" s="9"/>
      <c r="BB96" s="9" t="s">
        <v>2444</v>
      </c>
      <c r="BC96" s="9">
        <v>1</v>
      </c>
      <c r="BD96" s="9">
        <v>1</v>
      </c>
      <c r="BE96" s="9" t="s">
        <v>2445</v>
      </c>
      <c r="BF96" s="9">
        <v>0.5</v>
      </c>
      <c r="BG96" s="9" t="s">
        <v>2446</v>
      </c>
      <c r="BH96" s="9" t="s">
        <v>67</v>
      </c>
      <c r="BI96" s="8"/>
      <c r="BJ96" s="8" t="s">
        <v>248</v>
      </c>
      <c r="BK96" s="8">
        <v>1</v>
      </c>
      <c r="BL96" s="8">
        <v>1</v>
      </c>
      <c r="BM96" s="8" t="s">
        <v>2447</v>
      </c>
      <c r="BN96" s="8">
        <v>0</v>
      </c>
      <c r="BO96" s="8" t="s">
        <v>2448</v>
      </c>
      <c r="BP96" s="8" t="s">
        <v>36</v>
      </c>
      <c r="BQ96" s="11"/>
      <c r="BR96" s="11" t="s">
        <v>383</v>
      </c>
      <c r="BS96" s="11">
        <v>1</v>
      </c>
      <c r="BT96" s="11">
        <v>1</v>
      </c>
      <c r="BU96" s="11" t="s">
        <v>2449</v>
      </c>
      <c r="BV96" s="11" t="s">
        <v>2450</v>
      </c>
      <c r="BW96" s="11">
        <v>1</v>
      </c>
      <c r="BX96" s="11" t="s">
        <v>173</v>
      </c>
      <c r="BY96" s="11">
        <v>0</v>
      </c>
      <c r="BZ96" s="11" t="s">
        <v>2451</v>
      </c>
      <c r="CA96" s="11" t="s">
        <v>37</v>
      </c>
      <c r="CB96" s="22"/>
    </row>
    <row r="97" spans="1:80" s="31" customFormat="1" ht="18" customHeight="1">
      <c r="A97">
        <v>10096</v>
      </c>
      <c r="B97" s="8"/>
      <c r="C97" s="8" t="s">
        <v>1822</v>
      </c>
      <c r="D97" s="5">
        <v>1</v>
      </c>
      <c r="E97" s="5">
        <v>1</v>
      </c>
      <c r="F97" s="8" t="s">
        <v>145</v>
      </c>
      <c r="G97" s="8"/>
      <c r="H97" s="8">
        <v>0</v>
      </c>
      <c r="I97" s="8" t="s">
        <v>2452</v>
      </c>
      <c r="J97" s="8" t="s">
        <v>42</v>
      </c>
      <c r="K97" s="6"/>
      <c r="L97" s="6" t="s">
        <v>2453</v>
      </c>
      <c r="M97" s="6">
        <v>1</v>
      </c>
      <c r="N97" s="6">
        <v>1</v>
      </c>
      <c r="O97" s="6" t="s">
        <v>2454</v>
      </c>
      <c r="P97" s="6" t="s">
        <v>2455</v>
      </c>
      <c r="Q97" s="7">
        <v>3</v>
      </c>
      <c r="R97" s="6" t="s">
        <v>52</v>
      </c>
      <c r="S97" s="6">
        <v>0.5</v>
      </c>
      <c r="T97" s="6" t="s">
        <v>46</v>
      </c>
      <c r="U97" s="6" t="s">
        <v>42</v>
      </c>
      <c r="V97" s="9"/>
      <c r="W97" s="9" t="s">
        <v>2456</v>
      </c>
      <c r="X97" s="9">
        <v>1</v>
      </c>
      <c r="Y97" s="9">
        <v>1</v>
      </c>
      <c r="Z97" s="9" t="s">
        <v>2457</v>
      </c>
      <c r="AA97" s="9" t="s">
        <v>2458</v>
      </c>
      <c r="AB97" s="9">
        <v>2</v>
      </c>
      <c r="AC97" s="32" t="s">
        <v>133</v>
      </c>
      <c r="AD97" s="9">
        <v>0.5</v>
      </c>
      <c r="AE97" s="9" t="s">
        <v>46</v>
      </c>
      <c r="AF97" s="9" t="s">
        <v>42</v>
      </c>
      <c r="AG97" s="11"/>
      <c r="AH97" s="11" t="s">
        <v>2459</v>
      </c>
      <c r="AI97" s="11">
        <v>1</v>
      </c>
      <c r="AJ97" s="11">
        <v>1</v>
      </c>
      <c r="AK97" s="11" t="s">
        <v>2460</v>
      </c>
      <c r="AL97" s="11">
        <v>0.5</v>
      </c>
      <c r="AM97" s="11" t="s">
        <v>46</v>
      </c>
      <c r="AN97" s="11" t="s">
        <v>42</v>
      </c>
      <c r="AO97" s="6"/>
      <c r="AP97" s="6" t="s">
        <v>2461</v>
      </c>
      <c r="AQ97" s="6">
        <v>1</v>
      </c>
      <c r="AR97" s="6">
        <v>1</v>
      </c>
      <c r="AS97" s="6" t="s">
        <v>2462</v>
      </c>
      <c r="AT97" s="6" t="s">
        <v>2463</v>
      </c>
      <c r="AU97" s="6">
        <v>1</v>
      </c>
      <c r="AV97" s="7">
        <v>1</v>
      </c>
      <c r="AW97" s="6" t="s">
        <v>62</v>
      </c>
      <c r="AX97" s="6">
        <v>0.5</v>
      </c>
      <c r="AY97" s="6" t="s">
        <v>46</v>
      </c>
      <c r="AZ97" s="6" t="s">
        <v>42</v>
      </c>
      <c r="BA97" s="9"/>
      <c r="BB97" s="9" t="s">
        <v>2464</v>
      </c>
      <c r="BC97" s="9">
        <v>1</v>
      </c>
      <c r="BD97" s="9">
        <v>1</v>
      </c>
      <c r="BE97" s="9" t="s">
        <v>2465</v>
      </c>
      <c r="BF97" s="9">
        <v>1</v>
      </c>
      <c r="BG97" s="9" t="s">
        <v>2466</v>
      </c>
      <c r="BH97" s="9" t="s">
        <v>64</v>
      </c>
      <c r="BI97" s="8"/>
      <c r="BJ97" s="8" t="s">
        <v>1844</v>
      </c>
      <c r="BK97" s="8">
        <v>1</v>
      </c>
      <c r="BL97" s="8">
        <v>1</v>
      </c>
      <c r="BM97" s="8" t="s">
        <v>1688</v>
      </c>
      <c r="BN97" s="8">
        <v>0.5</v>
      </c>
      <c r="BO97" s="8" t="s">
        <v>46</v>
      </c>
      <c r="BP97" s="8" t="s">
        <v>42</v>
      </c>
      <c r="BQ97" s="11"/>
      <c r="BR97" s="11" t="s">
        <v>2467</v>
      </c>
      <c r="BS97" s="11">
        <v>1</v>
      </c>
      <c r="BT97" s="11">
        <v>0.5</v>
      </c>
      <c r="BU97" s="11" t="s">
        <v>2468</v>
      </c>
      <c r="BV97" s="11" t="s">
        <v>2469</v>
      </c>
      <c r="BW97" s="11">
        <v>2</v>
      </c>
      <c r="BX97" s="11" t="s">
        <v>62</v>
      </c>
      <c r="BY97" s="11">
        <v>0</v>
      </c>
      <c r="BZ97" s="11" t="s">
        <v>46</v>
      </c>
      <c r="CA97" s="11" t="s">
        <v>42</v>
      </c>
      <c r="CB97" s="22"/>
    </row>
    <row r="98" spans="1:80" s="31" customFormat="1" ht="18" customHeight="1">
      <c r="A98">
        <v>10097</v>
      </c>
      <c r="B98" s="8"/>
      <c r="C98" s="8" t="s">
        <v>2470</v>
      </c>
      <c r="D98" s="5">
        <v>1</v>
      </c>
      <c r="E98" s="5">
        <v>1</v>
      </c>
      <c r="F98" s="8" t="s">
        <v>2471</v>
      </c>
      <c r="G98" s="8"/>
      <c r="H98" s="8">
        <v>1</v>
      </c>
      <c r="I98" s="8" t="s">
        <v>2472</v>
      </c>
      <c r="J98" s="8" t="s">
        <v>67</v>
      </c>
      <c r="K98" s="6"/>
      <c r="L98" s="6" t="s">
        <v>1124</v>
      </c>
      <c r="M98" s="6">
        <v>1</v>
      </c>
      <c r="N98" s="6">
        <v>1</v>
      </c>
      <c r="O98" s="6" t="s">
        <v>2473</v>
      </c>
      <c r="P98" s="6" t="s">
        <v>2423</v>
      </c>
      <c r="Q98" s="7">
        <v>0</v>
      </c>
      <c r="R98" s="6" t="s">
        <v>1219</v>
      </c>
      <c r="S98" s="6">
        <v>0.5</v>
      </c>
      <c r="T98" s="6" t="s">
        <v>1279</v>
      </c>
      <c r="U98" s="6" t="s">
        <v>64</v>
      </c>
      <c r="V98" s="9"/>
      <c r="W98" s="9" t="s">
        <v>2474</v>
      </c>
      <c r="X98" s="9">
        <v>1</v>
      </c>
      <c r="Y98" s="9">
        <v>1</v>
      </c>
      <c r="Z98" s="9" t="s">
        <v>2475</v>
      </c>
      <c r="AA98" s="9" t="s">
        <v>2476</v>
      </c>
      <c r="AB98" s="9">
        <v>2</v>
      </c>
      <c r="AC98" s="32" t="s">
        <v>2477</v>
      </c>
      <c r="AD98" s="9">
        <v>0.5</v>
      </c>
      <c r="AE98" s="9" t="s">
        <v>2478</v>
      </c>
      <c r="AF98" s="9" t="s">
        <v>67</v>
      </c>
      <c r="AG98" s="11"/>
      <c r="AH98" s="11" t="s">
        <v>548</v>
      </c>
      <c r="AI98" s="11">
        <v>1</v>
      </c>
      <c r="AJ98" s="11">
        <v>1</v>
      </c>
      <c r="AK98" s="11" t="s">
        <v>2033</v>
      </c>
      <c r="AL98" s="11">
        <v>0.5</v>
      </c>
      <c r="AM98" s="11" t="s">
        <v>1279</v>
      </c>
      <c r="AN98" s="11" t="s">
        <v>64</v>
      </c>
      <c r="AO98" s="6"/>
      <c r="AP98" s="6" t="s">
        <v>842</v>
      </c>
      <c r="AQ98" s="6">
        <v>1</v>
      </c>
      <c r="AR98" s="6">
        <v>1</v>
      </c>
      <c r="AS98" s="6" t="s">
        <v>97</v>
      </c>
      <c r="AT98" s="6" t="s">
        <v>2479</v>
      </c>
      <c r="AU98" s="6">
        <v>2</v>
      </c>
      <c r="AV98" s="7">
        <v>0</v>
      </c>
      <c r="AW98" s="6" t="s">
        <v>1683</v>
      </c>
      <c r="AX98" s="6">
        <v>1</v>
      </c>
      <c r="AY98" s="6" t="s">
        <v>2480</v>
      </c>
      <c r="AZ98" s="6" t="s">
        <v>42</v>
      </c>
      <c r="BA98" s="9"/>
      <c r="BB98" s="9" t="s">
        <v>2481</v>
      </c>
      <c r="BC98" s="9">
        <v>1</v>
      </c>
      <c r="BD98" s="9">
        <v>1</v>
      </c>
      <c r="BE98" s="9" t="s">
        <v>2482</v>
      </c>
      <c r="BF98" s="9">
        <v>1</v>
      </c>
      <c r="BG98" s="9" t="s">
        <v>1279</v>
      </c>
      <c r="BH98" s="9" t="s">
        <v>42</v>
      </c>
      <c r="BI98" s="8"/>
      <c r="BJ98" s="8" t="s">
        <v>1138</v>
      </c>
      <c r="BK98" s="8">
        <v>1</v>
      </c>
      <c r="BL98" s="8">
        <v>1</v>
      </c>
      <c r="BM98" s="8" t="s">
        <v>608</v>
      </c>
      <c r="BN98" s="8">
        <v>0</v>
      </c>
      <c r="BO98" s="8" t="s">
        <v>2483</v>
      </c>
      <c r="BP98" s="8" t="s">
        <v>67</v>
      </c>
      <c r="BQ98" s="11"/>
      <c r="BR98" s="11" t="s">
        <v>2484</v>
      </c>
      <c r="BS98" s="11">
        <v>1</v>
      </c>
      <c r="BT98" s="11">
        <v>1</v>
      </c>
      <c r="BU98" s="11" t="s">
        <v>2485</v>
      </c>
      <c r="BV98" s="11" t="s">
        <v>2486</v>
      </c>
      <c r="BW98" s="11">
        <v>1</v>
      </c>
      <c r="BX98" s="11" t="s">
        <v>2487</v>
      </c>
      <c r="BY98" s="11">
        <v>0</v>
      </c>
      <c r="BZ98" s="11" t="s">
        <v>2488</v>
      </c>
      <c r="CA98" s="11" t="s">
        <v>67</v>
      </c>
      <c r="CB98" s="22"/>
    </row>
    <row r="99" spans="1:80" s="31" customFormat="1" ht="18" customHeight="1">
      <c r="A99">
        <v>10098</v>
      </c>
      <c r="B99" s="8"/>
      <c r="C99" s="8" t="s">
        <v>2489</v>
      </c>
      <c r="D99" s="5">
        <v>1</v>
      </c>
      <c r="E99" s="5">
        <v>1</v>
      </c>
      <c r="F99" s="8" t="s">
        <v>2490</v>
      </c>
      <c r="G99" s="8"/>
      <c r="H99" s="8">
        <v>1</v>
      </c>
      <c r="I99" s="8" t="s">
        <v>2491</v>
      </c>
      <c r="J99" s="8" t="s">
        <v>67</v>
      </c>
      <c r="K99" s="6"/>
      <c r="L99" s="6" t="s">
        <v>2492</v>
      </c>
      <c r="M99" s="6">
        <v>1</v>
      </c>
      <c r="N99" s="6">
        <v>1</v>
      </c>
      <c r="O99" s="6" t="s">
        <v>2493</v>
      </c>
      <c r="P99" s="6" t="s">
        <v>2494</v>
      </c>
      <c r="Q99" s="7">
        <v>3</v>
      </c>
      <c r="R99" s="6" t="s">
        <v>196</v>
      </c>
      <c r="S99" s="6">
        <v>0.5</v>
      </c>
      <c r="T99" s="6" t="s">
        <v>2495</v>
      </c>
      <c r="U99" s="6" t="s">
        <v>67</v>
      </c>
      <c r="V99" s="9"/>
      <c r="W99" s="9" t="s">
        <v>2496</v>
      </c>
      <c r="X99" s="9">
        <v>1</v>
      </c>
      <c r="Y99" s="9">
        <v>1</v>
      </c>
      <c r="Z99" s="9" t="s">
        <v>2497</v>
      </c>
      <c r="AA99" s="9" t="s">
        <v>2498</v>
      </c>
      <c r="AB99" s="9">
        <v>2</v>
      </c>
      <c r="AC99" s="32" t="s">
        <v>2499</v>
      </c>
      <c r="AD99" s="9">
        <v>0.5</v>
      </c>
      <c r="AE99" s="9" t="s">
        <v>2500</v>
      </c>
      <c r="AF99" s="9" t="s">
        <v>67</v>
      </c>
      <c r="AG99" s="11"/>
      <c r="AH99" s="11" t="s">
        <v>2501</v>
      </c>
      <c r="AI99" s="11">
        <v>1</v>
      </c>
      <c r="AJ99" s="11">
        <v>1</v>
      </c>
      <c r="AK99" s="11" t="s">
        <v>198</v>
      </c>
      <c r="AL99" s="11">
        <v>0.5</v>
      </c>
      <c r="AM99" s="11" t="s">
        <v>2502</v>
      </c>
      <c r="AN99" s="11" t="s">
        <v>67</v>
      </c>
      <c r="AO99" s="6"/>
      <c r="AP99" s="6" t="s">
        <v>2503</v>
      </c>
      <c r="AQ99" s="6">
        <v>1</v>
      </c>
      <c r="AR99" s="6">
        <v>1</v>
      </c>
      <c r="AS99" s="6" t="s">
        <v>120</v>
      </c>
      <c r="AT99" s="6" t="s">
        <v>2504</v>
      </c>
      <c r="AU99" s="6">
        <v>2</v>
      </c>
      <c r="AV99" s="7">
        <v>0</v>
      </c>
      <c r="AW99" s="6" t="s">
        <v>196</v>
      </c>
      <c r="AX99" s="6">
        <v>0.5</v>
      </c>
      <c r="AY99" s="6" t="s">
        <v>2505</v>
      </c>
      <c r="AZ99" s="6" t="s">
        <v>67</v>
      </c>
      <c r="BA99" s="9"/>
      <c r="BB99" s="9" t="s">
        <v>2506</v>
      </c>
      <c r="BC99" s="9">
        <v>1</v>
      </c>
      <c r="BD99" s="9">
        <v>1</v>
      </c>
      <c r="BE99" s="9" t="s">
        <v>176</v>
      </c>
      <c r="BF99" s="9">
        <v>0.5</v>
      </c>
      <c r="BG99" s="9" t="s">
        <v>2507</v>
      </c>
      <c r="BH99" s="9" t="s">
        <v>67</v>
      </c>
      <c r="BI99" s="8"/>
      <c r="BJ99" s="8" t="s">
        <v>2508</v>
      </c>
      <c r="BK99" s="8">
        <v>1</v>
      </c>
      <c r="BL99" s="8">
        <v>1</v>
      </c>
      <c r="BM99" s="8" t="s">
        <v>549</v>
      </c>
      <c r="BN99" s="8">
        <v>0</v>
      </c>
      <c r="BO99" s="8" t="s">
        <v>2509</v>
      </c>
      <c r="BP99" s="8" t="s">
        <v>67</v>
      </c>
      <c r="BQ99" s="11"/>
      <c r="BR99" s="11" t="s">
        <v>2043</v>
      </c>
      <c r="BS99" s="11">
        <v>1</v>
      </c>
      <c r="BT99" s="11">
        <v>1</v>
      </c>
      <c r="BU99" s="11" t="s">
        <v>2510</v>
      </c>
      <c r="BV99" s="11" t="s">
        <v>2511</v>
      </c>
      <c r="BW99" s="11">
        <v>1</v>
      </c>
      <c r="BX99" s="11" t="s">
        <v>177</v>
      </c>
      <c r="BY99" s="11">
        <v>0.5</v>
      </c>
      <c r="BZ99" s="11" t="s">
        <v>124</v>
      </c>
      <c r="CA99" s="11" t="s">
        <v>43</v>
      </c>
      <c r="CB99" s="22"/>
    </row>
    <row r="100" spans="1:80" s="31" customFormat="1" ht="18" customHeight="1">
      <c r="A100">
        <v>10099</v>
      </c>
      <c r="B100" s="8"/>
      <c r="C100" s="8" t="s">
        <v>228</v>
      </c>
      <c r="D100" s="5">
        <v>1</v>
      </c>
      <c r="E100" s="5">
        <v>1</v>
      </c>
      <c r="F100" s="8" t="s">
        <v>2512</v>
      </c>
      <c r="G100" s="8"/>
      <c r="H100" s="8">
        <v>3</v>
      </c>
      <c r="I100" s="8" t="s">
        <v>2513</v>
      </c>
      <c r="J100" s="8" t="s">
        <v>43</v>
      </c>
      <c r="K100" s="6"/>
      <c r="L100" s="6" t="s">
        <v>230</v>
      </c>
      <c r="M100" s="6">
        <v>1</v>
      </c>
      <c r="N100" s="6">
        <v>1</v>
      </c>
      <c r="O100" s="6" t="s">
        <v>2514</v>
      </c>
      <c r="P100" s="6" t="s">
        <v>2515</v>
      </c>
      <c r="Q100" s="7">
        <v>3</v>
      </c>
      <c r="R100" s="6" t="s">
        <v>196</v>
      </c>
      <c r="S100" s="6">
        <v>0.5</v>
      </c>
      <c r="T100" s="6" t="s">
        <v>2516</v>
      </c>
      <c r="U100" s="6" t="s">
        <v>35</v>
      </c>
      <c r="V100" s="9"/>
      <c r="W100" s="9" t="s">
        <v>263</v>
      </c>
      <c r="X100" s="9">
        <v>1</v>
      </c>
      <c r="Y100" s="9">
        <v>1</v>
      </c>
      <c r="Z100" s="9" t="s">
        <v>2517</v>
      </c>
      <c r="AA100" s="9" t="s">
        <v>2518</v>
      </c>
      <c r="AB100" s="9">
        <v>2</v>
      </c>
      <c r="AC100" s="32" t="s">
        <v>2519</v>
      </c>
      <c r="AD100" s="9">
        <v>0.5</v>
      </c>
      <c r="AE100" s="9" t="s">
        <v>2520</v>
      </c>
      <c r="AF100" s="9" t="s">
        <v>35</v>
      </c>
      <c r="AG100" s="11"/>
      <c r="AH100" s="11" t="s">
        <v>238</v>
      </c>
      <c r="AI100" s="11">
        <v>1</v>
      </c>
      <c r="AJ100" s="11">
        <v>1</v>
      </c>
      <c r="AK100" s="11" t="s">
        <v>2521</v>
      </c>
      <c r="AL100" s="11">
        <v>0.5</v>
      </c>
      <c r="AM100" s="11" t="s">
        <v>2522</v>
      </c>
      <c r="AN100" s="11" t="s">
        <v>42</v>
      </c>
      <c r="AO100" s="6"/>
      <c r="AP100" s="6" t="s">
        <v>241</v>
      </c>
      <c r="AQ100" s="6">
        <v>1</v>
      </c>
      <c r="AR100" s="6">
        <v>1</v>
      </c>
      <c r="AS100" s="6" t="s">
        <v>2523</v>
      </c>
      <c r="AT100" s="6" t="s">
        <v>2524</v>
      </c>
      <c r="AU100" s="6">
        <v>1</v>
      </c>
      <c r="AV100" s="7">
        <v>3</v>
      </c>
      <c r="AW100" s="6" t="s">
        <v>2525</v>
      </c>
      <c r="AX100" s="6">
        <v>0.5</v>
      </c>
      <c r="AY100" s="6" t="s">
        <v>2526</v>
      </c>
      <c r="AZ100" s="6" t="s">
        <v>42</v>
      </c>
      <c r="BA100" s="9"/>
      <c r="BB100" s="9" t="s">
        <v>2527</v>
      </c>
      <c r="BC100" s="9">
        <v>1</v>
      </c>
      <c r="BD100" s="9">
        <v>1</v>
      </c>
      <c r="BE100" s="9" t="s">
        <v>2528</v>
      </c>
      <c r="BF100" s="9">
        <v>0.5</v>
      </c>
      <c r="BG100" s="9" t="s">
        <v>2529</v>
      </c>
      <c r="BH100" s="9" t="s">
        <v>42</v>
      </c>
      <c r="BI100" s="8"/>
      <c r="BJ100" s="8" t="s">
        <v>248</v>
      </c>
      <c r="BK100" s="8">
        <v>1</v>
      </c>
      <c r="BL100" s="8">
        <v>1</v>
      </c>
      <c r="BM100" s="8" t="s">
        <v>2530</v>
      </c>
      <c r="BN100" s="8">
        <v>0.5</v>
      </c>
      <c r="BO100" s="8" t="s">
        <v>2531</v>
      </c>
      <c r="BP100" s="8" t="s">
        <v>42</v>
      </c>
      <c r="BQ100" s="11"/>
      <c r="BR100" s="11" t="s">
        <v>383</v>
      </c>
      <c r="BS100" s="11">
        <v>1</v>
      </c>
      <c r="BT100" s="11">
        <v>1</v>
      </c>
      <c r="BU100" s="11" t="s">
        <v>2532</v>
      </c>
      <c r="BV100" s="11" t="s">
        <v>2533</v>
      </c>
      <c r="BW100" s="11">
        <v>0</v>
      </c>
      <c r="BX100" s="11" t="s">
        <v>2534</v>
      </c>
      <c r="BY100" s="11">
        <v>0.5</v>
      </c>
      <c r="BZ100" s="11" t="s">
        <v>2535</v>
      </c>
      <c r="CA100" s="11" t="s">
        <v>42</v>
      </c>
      <c r="CB100" s="22"/>
    </row>
    <row r="101" spans="1:80" s="31" customFormat="1" ht="18" customHeight="1">
      <c r="A101">
        <v>10100</v>
      </c>
      <c r="B101" s="8"/>
      <c r="C101" s="8" t="s">
        <v>2536</v>
      </c>
      <c r="D101" s="5">
        <v>1</v>
      </c>
      <c r="E101" s="5">
        <v>1</v>
      </c>
      <c r="F101" s="8" t="s">
        <v>2537</v>
      </c>
      <c r="G101" s="8"/>
      <c r="H101" s="8">
        <v>3</v>
      </c>
      <c r="I101" s="8" t="s">
        <v>2538</v>
      </c>
      <c r="J101" s="8" t="s">
        <v>64</v>
      </c>
      <c r="K101" s="6"/>
      <c r="L101" s="6" t="s">
        <v>2539</v>
      </c>
      <c r="M101" s="6">
        <v>1</v>
      </c>
      <c r="N101" s="6">
        <v>1</v>
      </c>
      <c r="O101" s="6" t="s">
        <v>2540</v>
      </c>
      <c r="P101" s="6" t="s">
        <v>2541</v>
      </c>
      <c r="Q101" s="7">
        <v>3</v>
      </c>
      <c r="R101" s="6" t="s">
        <v>2542</v>
      </c>
      <c r="S101" s="6">
        <v>1</v>
      </c>
      <c r="T101" s="6" t="s">
        <v>188</v>
      </c>
      <c r="U101" s="6" t="s">
        <v>64</v>
      </c>
      <c r="V101" s="9"/>
      <c r="W101" s="9" t="s">
        <v>2543</v>
      </c>
      <c r="X101" s="9">
        <v>1</v>
      </c>
      <c r="Y101" s="9">
        <v>0.5</v>
      </c>
      <c r="Z101" s="9" t="s">
        <v>2544</v>
      </c>
      <c r="AA101" s="9" t="s">
        <v>2545</v>
      </c>
      <c r="AB101" s="9">
        <v>2</v>
      </c>
      <c r="AC101" s="32" t="s">
        <v>2546</v>
      </c>
      <c r="AD101" s="9">
        <v>0.5</v>
      </c>
      <c r="AE101" s="9" t="s">
        <v>2547</v>
      </c>
      <c r="AF101" s="9" t="s">
        <v>42</v>
      </c>
      <c r="AG101" s="11"/>
      <c r="AH101" s="11" t="s">
        <v>2548</v>
      </c>
      <c r="AI101" s="11">
        <v>1</v>
      </c>
      <c r="AJ101" s="11">
        <v>1</v>
      </c>
      <c r="AK101" s="11" t="s">
        <v>2549</v>
      </c>
      <c r="AL101" s="11">
        <v>1</v>
      </c>
      <c r="AM101" s="11" t="s">
        <v>2550</v>
      </c>
      <c r="AN101" s="11" t="s">
        <v>67</v>
      </c>
      <c r="AO101" s="6"/>
      <c r="AP101" s="6" t="s">
        <v>1624</v>
      </c>
      <c r="AQ101" s="6">
        <v>0.5</v>
      </c>
      <c r="AR101" s="6">
        <v>0.5</v>
      </c>
      <c r="AS101" s="6" t="s">
        <v>2551</v>
      </c>
      <c r="AT101" s="6" t="s">
        <v>2552</v>
      </c>
      <c r="AU101" s="6">
        <v>3</v>
      </c>
      <c r="AV101" s="7">
        <v>3</v>
      </c>
      <c r="AW101" s="6" t="s">
        <v>2553</v>
      </c>
      <c r="AX101" s="6">
        <v>0.5</v>
      </c>
      <c r="AY101" s="6" t="s">
        <v>2554</v>
      </c>
      <c r="AZ101" s="6" t="s">
        <v>42</v>
      </c>
      <c r="BA101" s="9"/>
      <c r="BB101" s="9" t="s">
        <v>2555</v>
      </c>
      <c r="BC101" s="9">
        <v>1</v>
      </c>
      <c r="BD101" s="9">
        <v>1</v>
      </c>
      <c r="BE101" s="9" t="s">
        <v>2556</v>
      </c>
      <c r="BF101" s="9">
        <v>1</v>
      </c>
      <c r="BG101" s="9" t="s">
        <v>2538</v>
      </c>
      <c r="BH101" s="9" t="s">
        <v>42</v>
      </c>
      <c r="BI101" s="8"/>
      <c r="BJ101" s="8" t="s">
        <v>2557</v>
      </c>
      <c r="BK101" s="8">
        <v>1</v>
      </c>
      <c r="BL101" s="8">
        <v>1</v>
      </c>
      <c r="BM101" s="8" t="s">
        <v>2558</v>
      </c>
      <c r="BN101" s="8">
        <v>1</v>
      </c>
      <c r="BO101" s="8" t="s">
        <v>2559</v>
      </c>
      <c r="BP101" s="8" t="s">
        <v>43</v>
      </c>
      <c r="BQ101" s="11"/>
      <c r="BR101" s="11" t="s">
        <v>2560</v>
      </c>
      <c r="BS101" s="11">
        <v>1</v>
      </c>
      <c r="BT101" s="11">
        <v>0.5</v>
      </c>
      <c r="BU101" s="11"/>
      <c r="BV101" s="11"/>
      <c r="BW101" s="11"/>
      <c r="BX101" s="11"/>
      <c r="BY101" s="11"/>
      <c r="BZ101" s="11"/>
      <c r="CA101" s="11"/>
      <c r="CB101" s="22"/>
    </row>
    <row r="102" spans="1:80" s="31" customFormat="1" ht="18" customHeight="1">
      <c r="A102">
        <v>10101</v>
      </c>
      <c r="B102" s="8"/>
      <c r="C102" s="8" t="s">
        <v>835</v>
      </c>
      <c r="D102" s="5">
        <v>1</v>
      </c>
      <c r="E102" s="5">
        <v>1</v>
      </c>
      <c r="F102" s="8" t="s">
        <v>2561</v>
      </c>
      <c r="G102" s="8"/>
      <c r="H102" s="8">
        <v>1</v>
      </c>
      <c r="I102" s="8" t="s">
        <v>2562</v>
      </c>
      <c r="J102" s="8" t="s">
        <v>67</v>
      </c>
      <c r="K102" s="6"/>
      <c r="L102" s="6" t="s">
        <v>837</v>
      </c>
      <c r="M102" s="6">
        <v>1</v>
      </c>
      <c r="N102" s="6">
        <v>1</v>
      </c>
      <c r="O102" s="6" t="s">
        <v>2563</v>
      </c>
      <c r="P102" s="6" t="s">
        <v>2564</v>
      </c>
      <c r="Q102" s="7">
        <v>3</v>
      </c>
      <c r="R102" s="6" t="s">
        <v>2565</v>
      </c>
      <c r="S102" s="6">
        <v>1</v>
      </c>
      <c r="T102" s="6" t="s">
        <v>2566</v>
      </c>
      <c r="U102" s="6" t="s">
        <v>42</v>
      </c>
      <c r="V102" s="9"/>
      <c r="W102" s="9" t="s">
        <v>2567</v>
      </c>
      <c r="X102" s="9">
        <v>1</v>
      </c>
      <c r="Y102" s="9">
        <v>1</v>
      </c>
      <c r="Z102" s="9" t="s">
        <v>2568</v>
      </c>
      <c r="AA102" s="9" t="s">
        <v>170</v>
      </c>
      <c r="AB102" s="9">
        <v>0</v>
      </c>
      <c r="AC102" s="32" t="s">
        <v>2569</v>
      </c>
      <c r="AD102" s="9">
        <v>0.5</v>
      </c>
      <c r="AE102" s="9" t="s">
        <v>2570</v>
      </c>
      <c r="AF102" s="9" t="s">
        <v>67</v>
      </c>
      <c r="AG102" s="11"/>
      <c r="AH102" s="11" t="s">
        <v>548</v>
      </c>
      <c r="AI102" s="11">
        <v>1</v>
      </c>
      <c r="AJ102" s="11">
        <v>1</v>
      </c>
      <c r="AK102" s="11" t="s">
        <v>2571</v>
      </c>
      <c r="AL102" s="11">
        <v>0.5</v>
      </c>
      <c r="AM102" s="11" t="s">
        <v>2572</v>
      </c>
      <c r="AN102" s="11" t="s">
        <v>64</v>
      </c>
      <c r="AO102" s="6"/>
      <c r="AP102" s="6" t="s">
        <v>2573</v>
      </c>
      <c r="AQ102" s="6">
        <v>1</v>
      </c>
      <c r="AR102" s="6">
        <v>1</v>
      </c>
      <c r="AS102" s="6" t="s">
        <v>2574</v>
      </c>
      <c r="AT102" s="6" t="s">
        <v>2575</v>
      </c>
      <c r="AU102" s="6">
        <v>0</v>
      </c>
      <c r="AV102" s="7">
        <v>0</v>
      </c>
      <c r="AW102" s="6" t="s">
        <v>2576</v>
      </c>
      <c r="AX102" s="6">
        <v>0.5</v>
      </c>
      <c r="AY102" s="6" t="s">
        <v>2577</v>
      </c>
      <c r="AZ102" s="6" t="s">
        <v>64</v>
      </c>
      <c r="BA102" s="9"/>
      <c r="BB102" s="9" t="s">
        <v>2578</v>
      </c>
      <c r="BC102" s="9">
        <v>1</v>
      </c>
      <c r="BD102" s="9">
        <v>1</v>
      </c>
      <c r="BE102" s="9" t="s">
        <v>2579</v>
      </c>
      <c r="BF102" s="9">
        <v>1</v>
      </c>
      <c r="BG102" s="9" t="s">
        <v>2580</v>
      </c>
      <c r="BH102" s="9" t="s">
        <v>42</v>
      </c>
      <c r="BI102" s="8"/>
      <c r="BJ102" s="8" t="s">
        <v>844</v>
      </c>
      <c r="BK102" s="8">
        <v>1</v>
      </c>
      <c r="BL102" s="8">
        <v>1</v>
      </c>
      <c r="BM102" s="8" t="s">
        <v>2581</v>
      </c>
      <c r="BN102" s="8">
        <v>0.5</v>
      </c>
      <c r="BO102" s="8" t="s">
        <v>2582</v>
      </c>
      <c r="BP102" s="8" t="s">
        <v>36</v>
      </c>
      <c r="BQ102" s="11"/>
      <c r="BR102" s="11" t="s">
        <v>1140</v>
      </c>
      <c r="BS102" s="11">
        <v>1</v>
      </c>
      <c r="BT102" s="11">
        <v>1</v>
      </c>
      <c r="BU102" s="11" t="s">
        <v>2583</v>
      </c>
      <c r="BV102" s="11" t="s">
        <v>2583</v>
      </c>
      <c r="BW102" s="11">
        <v>2</v>
      </c>
      <c r="BX102" s="11" t="s">
        <v>2584</v>
      </c>
      <c r="BY102" s="11">
        <v>0.5</v>
      </c>
      <c r="BZ102" s="11" t="s">
        <v>2585</v>
      </c>
      <c r="CA102" s="11" t="s">
        <v>67</v>
      </c>
      <c r="CB102" s="22"/>
    </row>
    <row r="103" spans="1:80" s="31" customFormat="1" ht="18" customHeight="1">
      <c r="A103">
        <v>10102</v>
      </c>
      <c r="B103" s="8"/>
      <c r="C103" s="8" t="s">
        <v>2586</v>
      </c>
      <c r="D103" s="5">
        <v>1</v>
      </c>
      <c r="E103" s="5">
        <v>1</v>
      </c>
      <c r="F103" s="8" t="s">
        <v>2587</v>
      </c>
      <c r="G103" s="8"/>
      <c r="H103" s="8">
        <v>1</v>
      </c>
      <c r="I103" s="8" t="s">
        <v>2588</v>
      </c>
      <c r="J103" s="8" t="s">
        <v>43</v>
      </c>
      <c r="K103" s="6"/>
      <c r="L103" s="6" t="s">
        <v>465</v>
      </c>
      <c r="M103" s="6">
        <v>1</v>
      </c>
      <c r="N103" s="6">
        <v>1</v>
      </c>
      <c r="O103" s="6" t="s">
        <v>2589</v>
      </c>
      <c r="P103" s="6" t="s">
        <v>2590</v>
      </c>
      <c r="Q103" s="7">
        <v>3</v>
      </c>
      <c r="R103" s="6" t="s">
        <v>2591</v>
      </c>
      <c r="S103" s="6">
        <v>0</v>
      </c>
      <c r="T103" s="6" t="s">
        <v>2592</v>
      </c>
      <c r="U103" s="6" t="s">
        <v>37</v>
      </c>
      <c r="V103" s="9"/>
      <c r="W103" s="9" t="s">
        <v>263</v>
      </c>
      <c r="X103" s="9">
        <v>1</v>
      </c>
      <c r="Y103" s="9">
        <v>1</v>
      </c>
      <c r="Z103" s="9" t="s">
        <v>2593</v>
      </c>
      <c r="AA103" s="9" t="s">
        <v>2594</v>
      </c>
      <c r="AB103" s="9">
        <v>0</v>
      </c>
      <c r="AC103" s="32" t="s">
        <v>2595</v>
      </c>
      <c r="AD103" s="9">
        <v>0.5</v>
      </c>
      <c r="AE103" s="9" t="s">
        <v>2596</v>
      </c>
      <c r="AF103" s="9" t="s">
        <v>64</v>
      </c>
      <c r="AG103" s="11"/>
      <c r="AH103" s="11" t="s">
        <v>2597</v>
      </c>
      <c r="AI103" s="11">
        <v>1</v>
      </c>
      <c r="AJ103" s="11">
        <v>1</v>
      </c>
      <c r="AK103" s="11" t="s">
        <v>2598</v>
      </c>
      <c r="AL103" s="11">
        <v>0.5</v>
      </c>
      <c r="AM103" s="11" t="s">
        <v>2599</v>
      </c>
      <c r="AN103" s="11" t="s">
        <v>36</v>
      </c>
      <c r="AO103" s="6"/>
      <c r="AP103" s="6" t="s">
        <v>569</v>
      </c>
      <c r="AQ103" s="6">
        <v>1</v>
      </c>
      <c r="AR103" s="6">
        <v>1</v>
      </c>
      <c r="AS103" s="6" t="s">
        <v>2600</v>
      </c>
      <c r="AT103" s="6" t="s">
        <v>2601</v>
      </c>
      <c r="AU103" s="6">
        <v>3</v>
      </c>
      <c r="AV103" s="7">
        <v>0</v>
      </c>
      <c r="AW103" s="6" t="s">
        <v>2602</v>
      </c>
      <c r="AX103" s="6">
        <v>0.5</v>
      </c>
      <c r="AY103" s="6" t="s">
        <v>2603</v>
      </c>
      <c r="AZ103" s="6" t="s">
        <v>64</v>
      </c>
      <c r="BA103" s="9"/>
      <c r="BB103" s="9" t="s">
        <v>573</v>
      </c>
      <c r="BC103" s="9">
        <v>1</v>
      </c>
      <c r="BD103" s="9">
        <v>1</v>
      </c>
      <c r="BE103" s="9" t="s">
        <v>2604</v>
      </c>
      <c r="BF103" s="9">
        <v>0.5</v>
      </c>
      <c r="BG103" s="9" t="s">
        <v>2605</v>
      </c>
      <c r="BH103" s="9" t="s">
        <v>42</v>
      </c>
      <c r="BI103" s="8"/>
      <c r="BJ103" s="8" t="s">
        <v>248</v>
      </c>
      <c r="BK103" s="8">
        <v>1</v>
      </c>
      <c r="BL103" s="8">
        <v>1</v>
      </c>
      <c r="BM103" s="8" t="s">
        <v>2606</v>
      </c>
      <c r="BN103" s="8">
        <v>0</v>
      </c>
      <c r="BO103" s="8" t="s">
        <v>2607</v>
      </c>
      <c r="BP103" s="8" t="s">
        <v>42</v>
      </c>
      <c r="BQ103" s="11"/>
      <c r="BR103" s="11" t="s">
        <v>383</v>
      </c>
      <c r="BS103" s="11">
        <v>1</v>
      </c>
      <c r="BT103" s="11">
        <v>1</v>
      </c>
      <c r="BU103" s="11" t="s">
        <v>2608</v>
      </c>
      <c r="BV103" s="11" t="s">
        <v>2609</v>
      </c>
      <c r="BW103" s="11">
        <v>1</v>
      </c>
      <c r="BX103" s="11" t="s">
        <v>2610</v>
      </c>
      <c r="BY103" s="11">
        <v>0.5</v>
      </c>
      <c r="BZ103" s="11" t="s">
        <v>2611</v>
      </c>
      <c r="CA103" s="11" t="s">
        <v>64</v>
      </c>
      <c r="CB103" s="22"/>
    </row>
    <row r="104" spans="1:80" s="31" customFormat="1" ht="18" customHeight="1">
      <c r="A104">
        <v>10103</v>
      </c>
      <c r="B104" s="8"/>
      <c r="C104" s="8" t="s">
        <v>835</v>
      </c>
      <c r="D104" s="5">
        <v>1</v>
      </c>
      <c r="E104" s="5">
        <v>1</v>
      </c>
      <c r="F104" s="8" t="s">
        <v>2612</v>
      </c>
      <c r="G104" s="8"/>
      <c r="H104" s="8">
        <v>1</v>
      </c>
      <c r="I104" s="8" t="s">
        <v>93</v>
      </c>
      <c r="J104" s="8" t="s">
        <v>42</v>
      </c>
      <c r="K104" s="6"/>
      <c r="L104" s="6" t="s">
        <v>837</v>
      </c>
      <c r="M104" s="6">
        <v>1</v>
      </c>
      <c r="N104" s="6">
        <v>1</v>
      </c>
      <c r="O104" s="6" t="s">
        <v>2613</v>
      </c>
      <c r="P104" s="6" t="s">
        <v>2614</v>
      </c>
      <c r="Q104" s="7">
        <v>3</v>
      </c>
      <c r="R104" s="6" t="s">
        <v>62</v>
      </c>
      <c r="S104" s="6">
        <v>0</v>
      </c>
      <c r="T104" s="6" t="s">
        <v>2615</v>
      </c>
      <c r="U104" s="6" t="s">
        <v>36</v>
      </c>
      <c r="V104" s="9"/>
      <c r="W104" s="9" t="s">
        <v>2567</v>
      </c>
      <c r="X104" s="9">
        <v>1</v>
      </c>
      <c r="Y104" s="9">
        <v>1</v>
      </c>
      <c r="Z104" s="9" t="s">
        <v>2616</v>
      </c>
      <c r="AA104" s="9" t="s">
        <v>2617</v>
      </c>
      <c r="AB104" s="9">
        <v>2</v>
      </c>
      <c r="AC104" s="32" t="s">
        <v>2618</v>
      </c>
      <c r="AD104" s="9">
        <v>0.5</v>
      </c>
      <c r="AE104" s="9" t="s">
        <v>2619</v>
      </c>
      <c r="AF104" s="9" t="s">
        <v>42</v>
      </c>
      <c r="AG104" s="11"/>
      <c r="AH104" s="11" t="s">
        <v>548</v>
      </c>
      <c r="AI104" s="11">
        <v>1</v>
      </c>
      <c r="AJ104" s="11">
        <v>1</v>
      </c>
      <c r="AK104" s="11" t="s">
        <v>116</v>
      </c>
      <c r="AL104" s="11">
        <v>0.5</v>
      </c>
      <c r="AM104" s="11" t="s">
        <v>93</v>
      </c>
      <c r="AN104" s="11" t="s">
        <v>42</v>
      </c>
      <c r="AO104" s="6"/>
      <c r="AP104" s="6" t="s">
        <v>2620</v>
      </c>
      <c r="AQ104" s="6">
        <v>1</v>
      </c>
      <c r="AR104" s="6">
        <v>1</v>
      </c>
      <c r="AS104" s="6" t="s">
        <v>2621</v>
      </c>
      <c r="AT104" s="6" t="s">
        <v>106</v>
      </c>
      <c r="AU104" s="6">
        <v>3</v>
      </c>
      <c r="AV104" s="7">
        <v>0</v>
      </c>
      <c r="AW104" s="6" t="s">
        <v>116</v>
      </c>
      <c r="AX104" s="6">
        <v>0.5</v>
      </c>
      <c r="AY104" s="6" t="s">
        <v>93</v>
      </c>
      <c r="AZ104" s="6" t="s">
        <v>64</v>
      </c>
      <c r="BA104" s="9"/>
      <c r="BB104" s="9" t="s">
        <v>2622</v>
      </c>
      <c r="BC104" s="9">
        <v>1</v>
      </c>
      <c r="BD104" s="9">
        <v>0</v>
      </c>
      <c r="BE104" s="9" t="s">
        <v>134</v>
      </c>
      <c r="BF104" s="9">
        <v>0.5</v>
      </c>
      <c r="BG104" s="9" t="s">
        <v>93</v>
      </c>
      <c r="BH104" s="9" t="s">
        <v>42</v>
      </c>
      <c r="BI104" s="8"/>
      <c r="BJ104" s="8" t="s">
        <v>2623</v>
      </c>
      <c r="BK104" s="8">
        <v>1</v>
      </c>
      <c r="BL104" s="8">
        <v>1</v>
      </c>
      <c r="BM104" s="8" t="s">
        <v>2624</v>
      </c>
      <c r="BN104" s="8">
        <v>0</v>
      </c>
      <c r="BO104" s="8" t="s">
        <v>93</v>
      </c>
      <c r="BP104" s="8" t="s">
        <v>42</v>
      </c>
      <c r="BQ104" s="11"/>
      <c r="BR104" s="11" t="s">
        <v>2625</v>
      </c>
      <c r="BS104" s="11">
        <v>1</v>
      </c>
      <c r="BT104" s="11">
        <v>1</v>
      </c>
      <c r="BU104" s="11" t="s">
        <v>2626</v>
      </c>
      <c r="BV104" s="11" t="s">
        <v>2627</v>
      </c>
      <c r="BW104" s="11">
        <v>0</v>
      </c>
      <c r="BX104" s="11" t="s">
        <v>2628</v>
      </c>
      <c r="BY104" s="11">
        <v>0</v>
      </c>
      <c r="BZ104" s="11" t="s">
        <v>93</v>
      </c>
      <c r="CA104" s="11" t="s">
        <v>42</v>
      </c>
      <c r="CB104" s="22"/>
    </row>
    <row r="105" spans="1:80" s="31" customFormat="1" ht="18" customHeight="1">
      <c r="A105">
        <v>10104</v>
      </c>
      <c r="B105" s="8"/>
      <c r="C105" s="8" t="s">
        <v>2629</v>
      </c>
      <c r="D105" s="5">
        <v>1</v>
      </c>
      <c r="E105" s="5">
        <v>1</v>
      </c>
      <c r="F105" s="8" t="s">
        <v>2630</v>
      </c>
      <c r="G105" s="8"/>
      <c r="H105" s="8">
        <v>3</v>
      </c>
      <c r="I105" s="8" t="s">
        <v>2631</v>
      </c>
      <c r="J105" s="8" t="s">
        <v>42</v>
      </c>
      <c r="K105" s="6"/>
      <c r="L105" s="6" t="s">
        <v>2632</v>
      </c>
      <c r="M105" s="6">
        <v>1</v>
      </c>
      <c r="N105" s="6">
        <v>1</v>
      </c>
      <c r="O105" s="6" t="s">
        <v>2633</v>
      </c>
      <c r="P105" s="6" t="s">
        <v>2634</v>
      </c>
      <c r="Q105" s="7">
        <v>3</v>
      </c>
      <c r="R105" s="6" t="s">
        <v>2635</v>
      </c>
      <c r="S105" s="6">
        <v>1</v>
      </c>
      <c r="T105" s="6" t="s">
        <v>2636</v>
      </c>
      <c r="U105" s="6" t="s">
        <v>42</v>
      </c>
      <c r="V105" s="9"/>
      <c r="W105" s="9" t="s">
        <v>2567</v>
      </c>
      <c r="X105" s="9">
        <v>1</v>
      </c>
      <c r="Y105" s="9">
        <v>1</v>
      </c>
      <c r="Z105" s="9" t="s">
        <v>2637</v>
      </c>
      <c r="AA105" s="9" t="s">
        <v>2638</v>
      </c>
      <c r="AB105" s="9">
        <v>1</v>
      </c>
      <c r="AC105" s="32" t="s">
        <v>80</v>
      </c>
      <c r="AD105" s="9">
        <v>0</v>
      </c>
      <c r="AE105" s="9" t="s">
        <v>2639</v>
      </c>
      <c r="AF105" s="9" t="s">
        <v>42</v>
      </c>
      <c r="AG105" s="11"/>
      <c r="AH105" s="11" t="s">
        <v>548</v>
      </c>
      <c r="AI105" s="11">
        <v>1</v>
      </c>
      <c r="AJ105" s="11">
        <v>1</v>
      </c>
      <c r="AK105" s="11" t="s">
        <v>2640</v>
      </c>
      <c r="AL105" s="11">
        <v>0.5</v>
      </c>
      <c r="AM105" s="11" t="s">
        <v>2641</v>
      </c>
      <c r="AN105" s="11" t="s">
        <v>43</v>
      </c>
      <c r="AO105" s="6"/>
      <c r="AP105" s="6" t="s">
        <v>2642</v>
      </c>
      <c r="AQ105" s="6">
        <v>0.5</v>
      </c>
      <c r="AR105" s="6">
        <v>0.5</v>
      </c>
      <c r="AS105" s="6" t="s">
        <v>2643</v>
      </c>
      <c r="AT105" s="6" t="s">
        <v>2644</v>
      </c>
      <c r="AU105" s="6">
        <v>3</v>
      </c>
      <c r="AV105" s="7">
        <v>3</v>
      </c>
      <c r="AW105" s="6" t="s">
        <v>180</v>
      </c>
      <c r="AX105" s="6">
        <v>0.5</v>
      </c>
      <c r="AY105" s="6" t="s">
        <v>2645</v>
      </c>
      <c r="AZ105" s="6" t="s">
        <v>36</v>
      </c>
      <c r="BA105" s="9"/>
      <c r="BB105" s="9" t="s">
        <v>2646</v>
      </c>
      <c r="BC105" s="9">
        <v>1</v>
      </c>
      <c r="BD105" s="9">
        <v>1</v>
      </c>
      <c r="BE105" s="9" t="s">
        <v>81</v>
      </c>
      <c r="BF105" s="9">
        <v>0.5</v>
      </c>
      <c r="BG105" s="9" t="s">
        <v>2647</v>
      </c>
      <c r="BH105" s="9" t="s">
        <v>42</v>
      </c>
      <c r="BI105" s="8"/>
      <c r="BJ105" s="8" t="s">
        <v>2648</v>
      </c>
      <c r="BK105" s="8">
        <v>1</v>
      </c>
      <c r="BL105" s="8">
        <v>1</v>
      </c>
      <c r="BM105" s="8" t="s">
        <v>52</v>
      </c>
      <c r="BN105" s="8">
        <v>0</v>
      </c>
      <c r="BO105" s="8" t="s">
        <v>2649</v>
      </c>
      <c r="BP105" s="8" t="s">
        <v>42</v>
      </c>
      <c r="BQ105" s="11"/>
      <c r="BR105" s="11" t="s">
        <v>2650</v>
      </c>
      <c r="BS105" s="11">
        <v>1</v>
      </c>
      <c r="BT105" s="11">
        <v>1</v>
      </c>
      <c r="BU105" s="11" t="s">
        <v>2651</v>
      </c>
      <c r="BV105" s="11" t="s">
        <v>2652</v>
      </c>
      <c r="BW105" s="11">
        <v>1</v>
      </c>
      <c r="BX105" s="11" t="s">
        <v>122</v>
      </c>
      <c r="BY105" s="11">
        <v>0</v>
      </c>
      <c r="BZ105" s="11" t="s">
        <v>2653</v>
      </c>
      <c r="CA105" s="11" t="s">
        <v>37</v>
      </c>
      <c r="CB105" s="22"/>
    </row>
    <row r="106" spans="1:80" s="31" customFormat="1" ht="18" customHeight="1">
      <c r="A106">
        <v>10105</v>
      </c>
      <c r="B106" s="8"/>
      <c r="C106" s="8" t="s">
        <v>228</v>
      </c>
      <c r="D106" s="5">
        <v>1</v>
      </c>
      <c r="E106" s="5">
        <v>1</v>
      </c>
      <c r="F106" s="8" t="s">
        <v>2654</v>
      </c>
      <c r="G106" s="8"/>
      <c r="H106" s="8">
        <v>1</v>
      </c>
      <c r="I106" s="8" t="s">
        <v>2655</v>
      </c>
      <c r="J106" s="8" t="s">
        <v>36</v>
      </c>
      <c r="K106" s="6"/>
      <c r="L106" s="6" t="s">
        <v>230</v>
      </c>
      <c r="M106" s="6">
        <v>1</v>
      </c>
      <c r="N106" s="6">
        <v>1</v>
      </c>
      <c r="O106" s="6" t="s">
        <v>2656</v>
      </c>
      <c r="P106" s="6" t="s">
        <v>2657</v>
      </c>
      <c r="Q106" s="7">
        <v>3</v>
      </c>
      <c r="R106" s="6" t="s">
        <v>2658</v>
      </c>
      <c r="S106" s="6">
        <v>1</v>
      </c>
      <c r="T106" s="6" t="s">
        <v>2659</v>
      </c>
      <c r="U106" s="6" t="s">
        <v>42</v>
      </c>
      <c r="V106" s="9"/>
      <c r="W106" s="9" t="s">
        <v>1231</v>
      </c>
      <c r="X106" s="9">
        <v>1</v>
      </c>
      <c r="Y106" s="9">
        <v>1</v>
      </c>
      <c r="Z106" s="9" t="s">
        <v>2660</v>
      </c>
      <c r="AA106" s="9" t="s">
        <v>2661</v>
      </c>
      <c r="AB106" s="9">
        <v>2</v>
      </c>
      <c r="AC106" s="32" t="s">
        <v>2662</v>
      </c>
      <c r="AD106" s="9">
        <v>0.5</v>
      </c>
      <c r="AE106" s="9" t="s">
        <v>2663</v>
      </c>
      <c r="AF106" s="9" t="s">
        <v>43</v>
      </c>
      <c r="AG106" s="11"/>
      <c r="AH106" s="11" t="s">
        <v>238</v>
      </c>
      <c r="AI106" s="11">
        <v>1</v>
      </c>
      <c r="AJ106" s="11">
        <v>1</v>
      </c>
      <c r="AK106" s="11" t="s">
        <v>2664</v>
      </c>
      <c r="AL106" s="11">
        <v>0.5</v>
      </c>
      <c r="AM106" s="11" t="s">
        <v>2665</v>
      </c>
      <c r="AN106" s="11" t="s">
        <v>64</v>
      </c>
      <c r="AO106" s="6"/>
      <c r="AP106" s="6" t="s">
        <v>591</v>
      </c>
      <c r="AQ106" s="6">
        <v>1</v>
      </c>
      <c r="AR106" s="6">
        <v>1</v>
      </c>
      <c r="AS106" s="6" t="s">
        <v>2666</v>
      </c>
      <c r="AT106" s="6" t="s">
        <v>2667</v>
      </c>
      <c r="AU106" s="6">
        <v>3</v>
      </c>
      <c r="AV106" s="7">
        <v>3</v>
      </c>
      <c r="AW106" s="6" t="s">
        <v>2668</v>
      </c>
      <c r="AX106" s="6">
        <v>0.5</v>
      </c>
      <c r="AY106" s="6" t="s">
        <v>2669</v>
      </c>
      <c r="AZ106" s="6" t="s">
        <v>35</v>
      </c>
      <c r="BA106" s="9"/>
      <c r="BB106" s="9" t="s">
        <v>2670</v>
      </c>
      <c r="BC106" s="9">
        <v>1</v>
      </c>
      <c r="BD106" s="9">
        <v>1</v>
      </c>
      <c r="BE106" s="9" t="s">
        <v>2671</v>
      </c>
      <c r="BF106" s="9">
        <v>1</v>
      </c>
      <c r="BG106" s="9" t="s">
        <v>2672</v>
      </c>
      <c r="BH106" s="9" t="s">
        <v>67</v>
      </c>
      <c r="BI106" s="8"/>
      <c r="BJ106" s="8" t="s">
        <v>248</v>
      </c>
      <c r="BK106" s="8">
        <v>1</v>
      </c>
      <c r="BL106" s="8">
        <v>1</v>
      </c>
      <c r="BM106" s="8" t="s">
        <v>2673</v>
      </c>
      <c r="BN106" s="8">
        <v>0.5</v>
      </c>
      <c r="BO106" s="8" t="s">
        <v>2674</v>
      </c>
      <c r="BP106" s="8" t="s">
        <v>42</v>
      </c>
      <c r="BQ106" s="11"/>
      <c r="BR106" s="11" t="s">
        <v>2675</v>
      </c>
      <c r="BS106" s="11">
        <v>1</v>
      </c>
      <c r="BT106" s="11">
        <v>1</v>
      </c>
      <c r="BU106" s="11" t="s">
        <v>2676</v>
      </c>
      <c r="BV106" s="11" t="s">
        <v>82</v>
      </c>
      <c r="BW106" s="11">
        <v>0</v>
      </c>
      <c r="BX106" s="11" t="s">
        <v>2677</v>
      </c>
      <c r="BY106" s="11">
        <v>0.5</v>
      </c>
      <c r="BZ106" s="11" t="s">
        <v>2678</v>
      </c>
      <c r="CA106" s="11" t="s">
        <v>35</v>
      </c>
      <c r="CB106" s="22"/>
    </row>
    <row r="107" spans="1:80" s="31" customFormat="1" ht="18" customHeight="1">
      <c r="A107">
        <v>10106</v>
      </c>
      <c r="B107" s="8"/>
      <c r="C107" s="8" t="s">
        <v>604</v>
      </c>
      <c r="D107" s="5">
        <v>1</v>
      </c>
      <c r="E107" s="5">
        <v>1</v>
      </c>
      <c r="F107" s="8" t="s">
        <v>2679</v>
      </c>
      <c r="G107" s="8"/>
      <c r="H107" s="8">
        <v>2</v>
      </c>
      <c r="I107" s="8" t="s">
        <v>2680</v>
      </c>
      <c r="J107" s="8" t="s">
        <v>67</v>
      </c>
      <c r="K107" s="6"/>
      <c r="L107" s="6" t="s">
        <v>230</v>
      </c>
      <c r="M107" s="6">
        <v>1</v>
      </c>
      <c r="N107" s="6">
        <v>1</v>
      </c>
      <c r="O107" s="6" t="s">
        <v>2681</v>
      </c>
      <c r="P107" s="6" t="s">
        <v>2682</v>
      </c>
      <c r="Q107" s="7">
        <v>3</v>
      </c>
      <c r="R107" s="6" t="s">
        <v>62</v>
      </c>
      <c r="S107" s="6">
        <v>1</v>
      </c>
      <c r="T107" s="6" t="s">
        <v>750</v>
      </c>
      <c r="U107" s="6" t="s">
        <v>42</v>
      </c>
      <c r="V107" s="9"/>
      <c r="W107" s="9" t="s">
        <v>313</v>
      </c>
      <c r="X107" s="9">
        <v>1</v>
      </c>
      <c r="Y107" s="9">
        <v>1</v>
      </c>
      <c r="Z107" s="9" t="s">
        <v>2683</v>
      </c>
      <c r="AA107" s="9" t="s">
        <v>2684</v>
      </c>
      <c r="AB107" s="9">
        <v>2</v>
      </c>
      <c r="AC107" s="32" t="s">
        <v>62</v>
      </c>
      <c r="AD107" s="9">
        <v>0</v>
      </c>
      <c r="AE107" s="9" t="s">
        <v>1418</v>
      </c>
      <c r="AF107" s="9" t="s">
        <v>67</v>
      </c>
      <c r="AG107" s="11"/>
      <c r="AH107" s="11" t="s">
        <v>238</v>
      </c>
      <c r="AI107" s="11">
        <v>1</v>
      </c>
      <c r="AJ107" s="11">
        <v>1</v>
      </c>
      <c r="AK107" s="11" t="s">
        <v>62</v>
      </c>
      <c r="AL107" s="11">
        <v>0</v>
      </c>
      <c r="AM107" s="11" t="s">
        <v>93</v>
      </c>
      <c r="AN107" s="11" t="s">
        <v>42</v>
      </c>
      <c r="AO107" s="6"/>
      <c r="AP107" s="6" t="s">
        <v>615</v>
      </c>
      <c r="AQ107" s="6">
        <v>1</v>
      </c>
      <c r="AR107" s="6">
        <v>1</v>
      </c>
      <c r="AS107" s="6" t="s">
        <v>2685</v>
      </c>
      <c r="AT107" s="6" t="s">
        <v>2686</v>
      </c>
      <c r="AU107" s="6">
        <v>3</v>
      </c>
      <c r="AV107" s="7">
        <v>3</v>
      </c>
      <c r="AW107" s="6" t="s">
        <v>62</v>
      </c>
      <c r="AX107" s="6">
        <v>0.5</v>
      </c>
      <c r="AY107" s="6" t="s">
        <v>93</v>
      </c>
      <c r="AZ107" s="6" t="s">
        <v>42</v>
      </c>
      <c r="BA107" s="9"/>
      <c r="BB107" s="9" t="s">
        <v>573</v>
      </c>
      <c r="BC107" s="9">
        <v>1</v>
      </c>
      <c r="BD107" s="9">
        <v>1</v>
      </c>
      <c r="BE107" s="9" t="s">
        <v>151</v>
      </c>
      <c r="BF107" s="9">
        <v>1</v>
      </c>
      <c r="BG107" s="9" t="s">
        <v>2687</v>
      </c>
      <c r="BH107" s="9" t="s">
        <v>64</v>
      </c>
      <c r="BI107" s="8"/>
      <c r="BJ107" s="8" t="s">
        <v>248</v>
      </c>
      <c r="BK107" s="8">
        <v>1</v>
      </c>
      <c r="BL107" s="8">
        <v>1</v>
      </c>
      <c r="BM107" s="8" t="s">
        <v>62</v>
      </c>
      <c r="BN107" s="8">
        <v>0</v>
      </c>
      <c r="BO107" s="8" t="s">
        <v>93</v>
      </c>
      <c r="BP107" s="8" t="s">
        <v>42</v>
      </c>
      <c r="BQ107" s="11"/>
      <c r="BR107" s="11" t="s">
        <v>279</v>
      </c>
      <c r="BS107" s="11">
        <v>1</v>
      </c>
      <c r="BT107" s="11">
        <v>1</v>
      </c>
      <c r="BU107" s="11" t="s">
        <v>2685</v>
      </c>
      <c r="BV107" s="11" t="s">
        <v>2688</v>
      </c>
      <c r="BW107" s="11">
        <v>1</v>
      </c>
      <c r="BX107" s="11" t="s">
        <v>62</v>
      </c>
      <c r="BY107" s="11">
        <v>0</v>
      </c>
      <c r="BZ107" s="11" t="s">
        <v>2689</v>
      </c>
      <c r="CA107" s="11" t="s">
        <v>37</v>
      </c>
      <c r="CB107" s="22"/>
    </row>
    <row r="108" spans="1:80" s="31" customFormat="1" ht="18" customHeight="1">
      <c r="A108">
        <v>10107</v>
      </c>
      <c r="B108" s="8"/>
      <c r="C108" s="8" t="s">
        <v>2690</v>
      </c>
      <c r="D108" s="5">
        <v>1</v>
      </c>
      <c r="E108" s="5">
        <v>1</v>
      </c>
      <c r="F108" s="8" t="s">
        <v>2691</v>
      </c>
      <c r="G108" s="8"/>
      <c r="H108" s="8">
        <v>3</v>
      </c>
      <c r="I108" s="8" t="s">
        <v>2692</v>
      </c>
      <c r="J108" s="8" t="s">
        <v>42</v>
      </c>
      <c r="K108" s="6"/>
      <c r="L108" s="6" t="s">
        <v>837</v>
      </c>
      <c r="M108" s="6">
        <v>1</v>
      </c>
      <c r="N108" s="6">
        <v>1</v>
      </c>
      <c r="O108" s="6" t="s">
        <v>2693</v>
      </c>
      <c r="P108" s="6" t="s">
        <v>2694</v>
      </c>
      <c r="Q108" s="7">
        <v>0</v>
      </c>
      <c r="R108" s="6" t="s">
        <v>2695</v>
      </c>
      <c r="S108" s="6">
        <v>1</v>
      </c>
      <c r="T108" s="6" t="s">
        <v>2696</v>
      </c>
      <c r="U108" s="6" t="s">
        <v>64</v>
      </c>
      <c r="V108" s="9"/>
      <c r="W108" s="9" t="s">
        <v>2567</v>
      </c>
      <c r="X108" s="9">
        <v>1</v>
      </c>
      <c r="Y108" s="9">
        <v>1</v>
      </c>
      <c r="Z108" s="9" t="s">
        <v>2697</v>
      </c>
      <c r="AA108" s="9" t="s">
        <v>2698</v>
      </c>
      <c r="AB108" s="9">
        <v>2</v>
      </c>
      <c r="AC108" s="32" t="s">
        <v>2699</v>
      </c>
      <c r="AD108" s="9">
        <v>0.5</v>
      </c>
      <c r="AE108" s="9" t="s">
        <v>2700</v>
      </c>
      <c r="AF108" s="9" t="s">
        <v>37</v>
      </c>
      <c r="AG108" s="11"/>
      <c r="AH108" s="11" t="s">
        <v>548</v>
      </c>
      <c r="AI108" s="11">
        <v>1</v>
      </c>
      <c r="AJ108" s="11">
        <v>1</v>
      </c>
      <c r="AK108" s="11" t="s">
        <v>2701</v>
      </c>
      <c r="AL108" s="11">
        <v>1</v>
      </c>
      <c r="AM108" s="11" t="s">
        <v>2702</v>
      </c>
      <c r="AN108" s="11" t="s">
        <v>64</v>
      </c>
      <c r="AO108" s="6"/>
      <c r="AP108" s="6" t="s">
        <v>842</v>
      </c>
      <c r="AQ108" s="6">
        <v>1</v>
      </c>
      <c r="AR108" s="6">
        <v>1</v>
      </c>
      <c r="AS108" s="6" t="s">
        <v>2703</v>
      </c>
      <c r="AT108" s="6" t="s">
        <v>110</v>
      </c>
      <c r="AU108" s="6">
        <v>3</v>
      </c>
      <c r="AV108" s="7">
        <v>0</v>
      </c>
      <c r="AW108" s="6" t="s">
        <v>62</v>
      </c>
      <c r="AX108" s="6">
        <v>0.5</v>
      </c>
      <c r="AY108" s="6" t="s">
        <v>2704</v>
      </c>
      <c r="AZ108" s="6" t="s">
        <v>64</v>
      </c>
      <c r="BA108" s="9"/>
      <c r="BB108" s="9" t="s">
        <v>2705</v>
      </c>
      <c r="BC108" s="9">
        <v>1</v>
      </c>
      <c r="BD108" s="9">
        <v>1</v>
      </c>
      <c r="BE108" s="9" t="s">
        <v>81</v>
      </c>
      <c r="BF108" s="9">
        <v>0.5</v>
      </c>
      <c r="BG108" s="9" t="s">
        <v>2706</v>
      </c>
      <c r="BH108" s="9" t="s">
        <v>42</v>
      </c>
      <c r="BI108" s="8"/>
      <c r="BJ108" s="8" t="s">
        <v>2707</v>
      </c>
      <c r="BK108" s="8">
        <v>1</v>
      </c>
      <c r="BL108" s="8">
        <v>1</v>
      </c>
      <c r="BM108" s="8" t="s">
        <v>52</v>
      </c>
      <c r="BN108" s="8">
        <v>0</v>
      </c>
      <c r="BO108" s="8" t="s">
        <v>2708</v>
      </c>
      <c r="BP108" s="8" t="s">
        <v>36</v>
      </c>
      <c r="BQ108" s="11"/>
      <c r="BR108" s="11" t="s">
        <v>2709</v>
      </c>
      <c r="BS108" s="11">
        <v>1</v>
      </c>
      <c r="BT108" s="11">
        <v>1</v>
      </c>
      <c r="BU108" s="11" t="s">
        <v>2710</v>
      </c>
      <c r="BV108" s="11" t="s">
        <v>2711</v>
      </c>
      <c r="BW108" s="11">
        <v>1</v>
      </c>
      <c r="BX108" s="11" t="s">
        <v>2712</v>
      </c>
      <c r="BY108" s="11">
        <v>0.5</v>
      </c>
      <c r="BZ108" s="11" t="s">
        <v>2713</v>
      </c>
      <c r="CA108" s="11" t="s">
        <v>36</v>
      </c>
      <c r="CB108" s="22"/>
    </row>
    <row r="109" spans="1:80" s="31" customFormat="1" ht="18" customHeight="1">
      <c r="A109">
        <v>10108</v>
      </c>
      <c r="B109" s="8"/>
      <c r="C109" s="8" t="s">
        <v>2714</v>
      </c>
      <c r="D109" s="5">
        <v>1</v>
      </c>
      <c r="E109" s="5">
        <v>0.5</v>
      </c>
      <c r="F109" s="8" t="s">
        <v>2715</v>
      </c>
      <c r="G109" s="8"/>
      <c r="H109" s="8">
        <v>3</v>
      </c>
      <c r="I109" s="8" t="s">
        <v>2716</v>
      </c>
      <c r="J109" s="8" t="s">
        <v>67</v>
      </c>
      <c r="K109" s="6"/>
      <c r="L109" s="6" t="s">
        <v>2717</v>
      </c>
      <c r="M109" s="6">
        <v>1</v>
      </c>
      <c r="N109" s="6">
        <v>1</v>
      </c>
      <c r="O109" s="6" t="s">
        <v>2718</v>
      </c>
      <c r="P109" s="6" t="s">
        <v>2719</v>
      </c>
      <c r="Q109" s="7">
        <v>3</v>
      </c>
      <c r="R109" s="6" t="s">
        <v>2720</v>
      </c>
      <c r="S109" s="6">
        <v>0.5</v>
      </c>
      <c r="T109" s="6" t="s">
        <v>2721</v>
      </c>
      <c r="U109" s="6" t="s">
        <v>64</v>
      </c>
      <c r="V109" s="9"/>
      <c r="W109" s="9" t="s">
        <v>2722</v>
      </c>
      <c r="X109" s="9">
        <v>1</v>
      </c>
      <c r="Y109" s="9">
        <v>0.5</v>
      </c>
      <c r="Z109" s="9" t="s">
        <v>2723</v>
      </c>
      <c r="AA109" s="9" t="s">
        <v>2724</v>
      </c>
      <c r="AB109" s="9">
        <v>3</v>
      </c>
      <c r="AC109" s="32" t="s">
        <v>2725</v>
      </c>
      <c r="AD109" s="9">
        <v>0.5</v>
      </c>
      <c r="AE109" s="9" t="s">
        <v>2726</v>
      </c>
      <c r="AF109" s="9" t="s">
        <v>37</v>
      </c>
      <c r="AG109" s="11"/>
      <c r="AH109" s="11" t="s">
        <v>2727</v>
      </c>
      <c r="AI109" s="11">
        <v>1</v>
      </c>
      <c r="AJ109" s="11">
        <v>1</v>
      </c>
      <c r="AK109" s="11" t="s">
        <v>79</v>
      </c>
      <c r="AL109" s="11">
        <v>0.5</v>
      </c>
      <c r="AM109" s="11" t="s">
        <v>2728</v>
      </c>
      <c r="AN109" s="11" t="s">
        <v>64</v>
      </c>
      <c r="AO109" s="6"/>
      <c r="AP109" s="6" t="s">
        <v>2729</v>
      </c>
      <c r="AQ109" s="6">
        <v>0.5</v>
      </c>
      <c r="AR109" s="6">
        <v>0.5</v>
      </c>
      <c r="AS109" s="6" t="s">
        <v>2730</v>
      </c>
      <c r="AT109" s="6" t="s">
        <v>2731</v>
      </c>
      <c r="AU109" s="6">
        <v>3</v>
      </c>
      <c r="AV109" s="7">
        <v>1</v>
      </c>
      <c r="AW109" s="6" t="s">
        <v>2732</v>
      </c>
      <c r="AX109" s="6">
        <v>0.5</v>
      </c>
      <c r="AY109" s="6" t="s">
        <v>2728</v>
      </c>
      <c r="AZ109" s="6" t="s">
        <v>64</v>
      </c>
      <c r="BA109" s="9"/>
      <c r="BB109" s="9" t="s">
        <v>2733</v>
      </c>
      <c r="BC109" s="9">
        <v>1</v>
      </c>
      <c r="BD109" s="9">
        <v>0</v>
      </c>
      <c r="BE109" s="9" t="s">
        <v>2734</v>
      </c>
      <c r="BF109" s="9">
        <v>0.5</v>
      </c>
      <c r="BG109" s="9" t="s">
        <v>2735</v>
      </c>
      <c r="BH109" s="9" t="s">
        <v>43</v>
      </c>
      <c r="BI109" s="8"/>
      <c r="BJ109" s="8" t="s">
        <v>2736</v>
      </c>
      <c r="BK109" s="8">
        <v>1</v>
      </c>
      <c r="BL109" s="8">
        <v>0</v>
      </c>
      <c r="BM109" s="8" t="s">
        <v>52</v>
      </c>
      <c r="BN109" s="8">
        <v>0</v>
      </c>
      <c r="BO109" s="8" t="s">
        <v>2737</v>
      </c>
      <c r="BP109" s="8" t="s">
        <v>64</v>
      </c>
      <c r="BQ109" s="11"/>
      <c r="BR109" s="11" t="s">
        <v>2738</v>
      </c>
      <c r="BS109" s="11">
        <v>0</v>
      </c>
      <c r="BT109" s="11">
        <v>0.5</v>
      </c>
      <c r="BU109" s="11" t="s">
        <v>2739</v>
      </c>
      <c r="BV109" s="11" t="s">
        <v>2740</v>
      </c>
      <c r="BW109" s="11">
        <v>1</v>
      </c>
      <c r="BX109" s="11" t="s">
        <v>182</v>
      </c>
      <c r="BY109" s="11">
        <v>0</v>
      </c>
      <c r="BZ109" s="11" t="s">
        <v>2741</v>
      </c>
      <c r="CA109" s="11" t="s">
        <v>37</v>
      </c>
      <c r="CB109" s="22"/>
    </row>
    <row r="110" spans="1:80" s="31" customFormat="1" ht="18" customHeight="1">
      <c r="A110">
        <v>10109</v>
      </c>
      <c r="B110" s="8"/>
      <c r="C110" s="8" t="s">
        <v>2742</v>
      </c>
      <c r="D110" s="5">
        <v>1</v>
      </c>
      <c r="E110" s="5">
        <v>1</v>
      </c>
      <c r="F110" s="8" t="s">
        <v>2743</v>
      </c>
      <c r="G110" s="8"/>
      <c r="H110" s="8">
        <v>3</v>
      </c>
      <c r="I110" s="8" t="s">
        <v>2744</v>
      </c>
      <c r="J110" s="8" t="s">
        <v>67</v>
      </c>
      <c r="K110" s="6"/>
      <c r="L110" s="6" t="s">
        <v>2492</v>
      </c>
      <c r="M110" s="6">
        <v>1</v>
      </c>
      <c r="N110" s="6">
        <v>1</v>
      </c>
      <c r="O110" s="6" t="s">
        <v>2745</v>
      </c>
      <c r="P110" s="6" t="s">
        <v>2746</v>
      </c>
      <c r="Q110" s="7">
        <v>3</v>
      </c>
      <c r="R110" s="6" t="s">
        <v>2747</v>
      </c>
      <c r="S110" s="6">
        <v>1</v>
      </c>
      <c r="T110" s="6" t="s">
        <v>2748</v>
      </c>
      <c r="U110" s="6" t="s">
        <v>67</v>
      </c>
      <c r="V110" s="9"/>
      <c r="W110" s="9" t="s">
        <v>2749</v>
      </c>
      <c r="X110" s="9">
        <v>1</v>
      </c>
      <c r="Y110" s="9">
        <v>1</v>
      </c>
      <c r="Z110" s="9" t="s">
        <v>2750</v>
      </c>
      <c r="AA110" s="9" t="s">
        <v>2751</v>
      </c>
      <c r="AB110" s="9">
        <v>3</v>
      </c>
      <c r="AC110" s="32" t="s">
        <v>2752</v>
      </c>
      <c r="AD110" s="9">
        <v>0.5</v>
      </c>
      <c r="AE110" s="9" t="s">
        <v>2753</v>
      </c>
      <c r="AF110" s="9" t="s">
        <v>43</v>
      </c>
      <c r="AG110" s="11"/>
      <c r="AH110" s="11" t="s">
        <v>2501</v>
      </c>
      <c r="AI110" s="11">
        <v>1</v>
      </c>
      <c r="AJ110" s="11">
        <v>1</v>
      </c>
      <c r="AK110" s="11" t="s">
        <v>2754</v>
      </c>
      <c r="AL110" s="11">
        <v>1</v>
      </c>
      <c r="AM110" s="11" t="s">
        <v>2755</v>
      </c>
      <c r="AN110" s="11" t="s">
        <v>36</v>
      </c>
      <c r="AO110" s="6"/>
      <c r="AP110" s="6" t="s">
        <v>2756</v>
      </c>
      <c r="AQ110" s="6">
        <v>0.5</v>
      </c>
      <c r="AR110" s="6">
        <v>0.5</v>
      </c>
      <c r="AS110" s="6" t="s">
        <v>2757</v>
      </c>
      <c r="AT110" s="6" t="s">
        <v>2758</v>
      </c>
      <c r="AU110" s="6">
        <v>3</v>
      </c>
      <c r="AV110" s="7">
        <v>3</v>
      </c>
      <c r="AW110" s="6" t="s">
        <v>125</v>
      </c>
      <c r="AX110" s="6">
        <v>0.5</v>
      </c>
      <c r="AY110" s="6" t="s">
        <v>2759</v>
      </c>
      <c r="AZ110" s="6" t="s">
        <v>37</v>
      </c>
      <c r="BA110" s="9"/>
      <c r="BB110" s="9" t="s">
        <v>2760</v>
      </c>
      <c r="BC110" s="9">
        <v>1</v>
      </c>
      <c r="BD110" s="9">
        <v>1</v>
      </c>
      <c r="BE110" s="9" t="s">
        <v>2761</v>
      </c>
      <c r="BF110" s="9">
        <v>1</v>
      </c>
      <c r="BG110" s="9" t="s">
        <v>2762</v>
      </c>
      <c r="BH110" s="9" t="s">
        <v>67</v>
      </c>
      <c r="BI110" s="8"/>
      <c r="BJ110" s="8" t="s">
        <v>2763</v>
      </c>
      <c r="BK110" s="8">
        <v>1</v>
      </c>
      <c r="BL110" s="8">
        <v>1</v>
      </c>
      <c r="BM110" s="8" t="s">
        <v>2764</v>
      </c>
      <c r="BN110" s="8">
        <v>0.5</v>
      </c>
      <c r="BO110" s="8" t="s">
        <v>2765</v>
      </c>
      <c r="BP110" s="8" t="s">
        <v>67</v>
      </c>
      <c r="BQ110" s="11"/>
      <c r="BR110" s="11" t="s">
        <v>2766</v>
      </c>
      <c r="BS110" s="11">
        <v>1</v>
      </c>
      <c r="BT110" s="11">
        <v>1</v>
      </c>
      <c r="BU110" s="11" t="s">
        <v>2767</v>
      </c>
      <c r="BV110" s="11" t="s">
        <v>2768</v>
      </c>
      <c r="BW110" s="11">
        <v>1</v>
      </c>
      <c r="BX110" s="11" t="s">
        <v>2769</v>
      </c>
      <c r="BY110" s="11">
        <v>0</v>
      </c>
      <c r="BZ110" s="11" t="s">
        <v>2770</v>
      </c>
      <c r="CA110" s="11" t="s">
        <v>43</v>
      </c>
      <c r="CB110" s="22"/>
    </row>
    <row r="111" spans="1:80" s="31" customFormat="1" ht="18" customHeight="1">
      <c r="A111">
        <v>10110</v>
      </c>
      <c r="B111" s="8"/>
      <c r="C111" s="8" t="s">
        <v>228</v>
      </c>
      <c r="D111" s="5">
        <v>1</v>
      </c>
      <c r="E111" s="5">
        <v>1</v>
      </c>
      <c r="F111" s="8" t="s">
        <v>2771</v>
      </c>
      <c r="G111" s="8"/>
      <c r="H111" s="8">
        <v>3</v>
      </c>
      <c r="I111" s="8" t="s">
        <v>2772</v>
      </c>
      <c r="J111" s="8" t="s">
        <v>42</v>
      </c>
      <c r="K111" s="6"/>
      <c r="L111" s="6" t="s">
        <v>2773</v>
      </c>
      <c r="M111" s="6">
        <v>1</v>
      </c>
      <c r="N111" s="6">
        <v>1</v>
      </c>
      <c r="O111" s="6" t="s">
        <v>2774</v>
      </c>
      <c r="P111" s="6" t="s">
        <v>2775</v>
      </c>
      <c r="Q111" s="7">
        <v>3</v>
      </c>
      <c r="R111" s="6" t="s">
        <v>52</v>
      </c>
      <c r="S111" s="6">
        <v>0.5</v>
      </c>
      <c r="T111" s="6" t="s">
        <v>2776</v>
      </c>
      <c r="U111" s="6" t="s">
        <v>42</v>
      </c>
      <c r="V111" s="9"/>
      <c r="W111" s="9" t="s">
        <v>263</v>
      </c>
      <c r="X111" s="9">
        <v>1</v>
      </c>
      <c r="Y111" s="9">
        <v>1</v>
      </c>
      <c r="Z111" s="9" t="s">
        <v>2777</v>
      </c>
      <c r="AA111" s="9" t="s">
        <v>2778</v>
      </c>
      <c r="AB111" s="9">
        <v>3</v>
      </c>
      <c r="AC111" s="32" t="s">
        <v>178</v>
      </c>
      <c r="AD111" s="9">
        <v>0.5</v>
      </c>
      <c r="AE111" s="9" t="s">
        <v>2779</v>
      </c>
      <c r="AF111" s="9" t="s">
        <v>42</v>
      </c>
      <c r="AG111" s="11"/>
      <c r="AH111" s="11" t="s">
        <v>2780</v>
      </c>
      <c r="AI111" s="11">
        <v>1</v>
      </c>
      <c r="AJ111" s="11">
        <v>1</v>
      </c>
      <c r="AK111" s="11" t="s">
        <v>79</v>
      </c>
      <c r="AL111" s="11">
        <v>0.5</v>
      </c>
      <c r="AM111" s="11" t="s">
        <v>2779</v>
      </c>
      <c r="AN111" s="11" t="s">
        <v>42</v>
      </c>
      <c r="AO111" s="6"/>
      <c r="AP111" s="6" t="s">
        <v>450</v>
      </c>
      <c r="AQ111" s="6">
        <v>1</v>
      </c>
      <c r="AR111" s="6">
        <v>1</v>
      </c>
      <c r="AS111" s="6" t="s">
        <v>2781</v>
      </c>
      <c r="AT111" s="6" t="s">
        <v>2782</v>
      </c>
      <c r="AU111" s="6">
        <v>0</v>
      </c>
      <c r="AV111" s="7">
        <v>0</v>
      </c>
      <c r="AW111" s="6" t="s">
        <v>52</v>
      </c>
      <c r="AX111" s="6">
        <v>0</v>
      </c>
      <c r="AY111" s="6" t="s">
        <v>150</v>
      </c>
      <c r="AZ111" s="6" t="s">
        <v>42</v>
      </c>
      <c r="BA111" s="9"/>
      <c r="BB111" s="9" t="s">
        <v>2783</v>
      </c>
      <c r="BC111" s="9">
        <v>1</v>
      </c>
      <c r="BD111" s="9">
        <v>1</v>
      </c>
      <c r="BE111" s="9" t="s">
        <v>81</v>
      </c>
      <c r="BF111" s="9">
        <v>0.5</v>
      </c>
      <c r="BG111" s="9" t="s">
        <v>150</v>
      </c>
      <c r="BH111" s="9" t="s">
        <v>42</v>
      </c>
      <c r="BI111" s="8"/>
      <c r="BJ111" s="8" t="s">
        <v>248</v>
      </c>
      <c r="BK111" s="8">
        <v>1</v>
      </c>
      <c r="BL111" s="8">
        <v>1</v>
      </c>
      <c r="BM111" s="8" t="s">
        <v>2784</v>
      </c>
      <c r="BN111" s="8">
        <v>0.5</v>
      </c>
      <c r="BO111" s="8" t="s">
        <v>150</v>
      </c>
      <c r="BP111" s="8" t="s">
        <v>42</v>
      </c>
      <c r="BQ111" s="11"/>
      <c r="BR111" s="11" t="s">
        <v>2785</v>
      </c>
      <c r="BS111" s="11">
        <v>1</v>
      </c>
      <c r="BT111" s="11">
        <v>1</v>
      </c>
      <c r="BU111" s="11" t="s">
        <v>2786</v>
      </c>
      <c r="BV111" s="11" t="s">
        <v>48</v>
      </c>
      <c r="BW111" s="11">
        <v>1</v>
      </c>
      <c r="BX111" s="11" t="s">
        <v>2787</v>
      </c>
      <c r="BY111" s="11">
        <v>0</v>
      </c>
      <c r="BZ111" s="11" t="s">
        <v>150</v>
      </c>
      <c r="CA111" s="11" t="s">
        <v>42</v>
      </c>
      <c r="CB111" s="22"/>
    </row>
    <row r="112" spans="1:80" s="31" customFormat="1" ht="18" customHeight="1">
      <c r="A112">
        <v>10111</v>
      </c>
      <c r="B112" s="8"/>
      <c r="C112" s="8" t="s">
        <v>2788</v>
      </c>
      <c r="D112" s="5">
        <v>1</v>
      </c>
      <c r="E112" s="5">
        <v>0</v>
      </c>
      <c r="F112" s="8" t="s">
        <v>2789</v>
      </c>
      <c r="G112" s="8"/>
      <c r="H112" s="8">
        <v>3</v>
      </c>
      <c r="I112" s="8" t="s">
        <v>2790</v>
      </c>
      <c r="J112" s="8" t="s">
        <v>36</v>
      </c>
      <c r="K112" s="6"/>
      <c r="L112" s="6" t="s">
        <v>2791</v>
      </c>
      <c r="M112" s="6">
        <v>1</v>
      </c>
      <c r="N112" s="6">
        <v>1</v>
      </c>
      <c r="O112" s="6" t="s">
        <v>2792</v>
      </c>
      <c r="P112" s="6" t="s">
        <v>2793</v>
      </c>
      <c r="Q112" s="7">
        <v>3</v>
      </c>
      <c r="R112" s="6" t="s">
        <v>2794</v>
      </c>
      <c r="S112" s="6">
        <v>0.5</v>
      </c>
      <c r="T112" s="6" t="s">
        <v>2795</v>
      </c>
      <c r="U112" s="6" t="s">
        <v>67</v>
      </c>
      <c r="V112" s="9"/>
      <c r="W112" s="9" t="s">
        <v>2796</v>
      </c>
      <c r="X112" s="9">
        <v>1</v>
      </c>
      <c r="Y112" s="9">
        <v>0.5</v>
      </c>
      <c r="Z112" s="9" t="s">
        <v>2797</v>
      </c>
      <c r="AA112" s="9" t="s">
        <v>2798</v>
      </c>
      <c r="AB112" s="9">
        <v>3</v>
      </c>
      <c r="AC112" s="32" t="s">
        <v>105</v>
      </c>
      <c r="AD112" s="9">
        <v>0</v>
      </c>
      <c r="AE112" s="9" t="s">
        <v>2799</v>
      </c>
      <c r="AF112" s="9" t="s">
        <v>67</v>
      </c>
      <c r="AG112" s="11"/>
      <c r="AH112" s="11" t="s">
        <v>2800</v>
      </c>
      <c r="AI112" s="11">
        <v>1</v>
      </c>
      <c r="AJ112" s="11">
        <v>1</v>
      </c>
      <c r="AK112" s="11" t="s">
        <v>184</v>
      </c>
      <c r="AL112" s="11">
        <v>0.5</v>
      </c>
      <c r="AM112" s="11" t="s">
        <v>2801</v>
      </c>
      <c r="AN112" s="11" t="s">
        <v>67</v>
      </c>
      <c r="AO112" s="6"/>
      <c r="AP112" s="6" t="s">
        <v>2802</v>
      </c>
      <c r="AQ112" s="6">
        <v>0</v>
      </c>
      <c r="AR112" s="6">
        <v>0</v>
      </c>
      <c r="AS112" s="6" t="s">
        <v>2803</v>
      </c>
      <c r="AT112" s="6" t="s">
        <v>2804</v>
      </c>
      <c r="AU112" s="6">
        <v>3</v>
      </c>
      <c r="AV112" s="7">
        <v>3</v>
      </c>
      <c r="AW112" s="6" t="s">
        <v>105</v>
      </c>
      <c r="AX112" s="6">
        <v>0.5</v>
      </c>
      <c r="AY112" s="6" t="s">
        <v>2805</v>
      </c>
      <c r="AZ112" s="6" t="s">
        <v>37</v>
      </c>
      <c r="BA112" s="9"/>
      <c r="BB112" s="9" t="s">
        <v>2806</v>
      </c>
      <c r="BC112" s="9">
        <v>0.5</v>
      </c>
      <c r="BD112" s="9">
        <v>0.5</v>
      </c>
      <c r="BE112" s="9" t="s">
        <v>202</v>
      </c>
      <c r="BF112" s="9">
        <v>0.5</v>
      </c>
      <c r="BG112" s="9" t="s">
        <v>2807</v>
      </c>
      <c r="BH112" s="9"/>
      <c r="BI112" s="8"/>
      <c r="BJ112" s="8" t="s">
        <v>2808</v>
      </c>
      <c r="BK112" s="8">
        <v>0.5</v>
      </c>
      <c r="BL112" s="8">
        <v>0</v>
      </c>
      <c r="BM112" s="8" t="s">
        <v>1219</v>
      </c>
      <c r="BN112" s="8">
        <v>0</v>
      </c>
      <c r="BO112" s="8" t="s">
        <v>2809</v>
      </c>
      <c r="BP112" s="8" t="s">
        <v>67</v>
      </c>
      <c r="BQ112" s="11"/>
      <c r="BR112" s="11" t="s">
        <v>2810</v>
      </c>
      <c r="BS112" s="11">
        <v>0</v>
      </c>
      <c r="BT112" s="11">
        <v>0</v>
      </c>
      <c r="BU112" s="11" t="s">
        <v>2811</v>
      </c>
      <c r="BV112" s="11" t="s">
        <v>2812</v>
      </c>
      <c r="BW112" s="11">
        <v>0</v>
      </c>
      <c r="BX112" s="11" t="s">
        <v>105</v>
      </c>
      <c r="BY112" s="11">
        <v>0</v>
      </c>
      <c r="BZ112" s="11" t="s">
        <v>2813</v>
      </c>
      <c r="CA112" s="11" t="s">
        <v>64</v>
      </c>
      <c r="CB112" s="22"/>
    </row>
    <row r="113" spans="1:80" s="31" customFormat="1" ht="18" customHeight="1">
      <c r="A113">
        <v>10112</v>
      </c>
      <c r="B113" s="8"/>
      <c r="C113" s="8" t="s">
        <v>2814</v>
      </c>
      <c r="D113" s="5">
        <v>1</v>
      </c>
      <c r="E113" s="5">
        <v>1</v>
      </c>
      <c r="F113" s="8" t="s">
        <v>2815</v>
      </c>
      <c r="G113" s="8"/>
      <c r="H113" s="8">
        <v>2</v>
      </c>
      <c r="I113" s="8" t="s">
        <v>2816</v>
      </c>
      <c r="J113" s="8" t="s">
        <v>42</v>
      </c>
      <c r="K113" s="6"/>
      <c r="L113" s="6" t="s">
        <v>2817</v>
      </c>
      <c r="M113" s="6">
        <v>1</v>
      </c>
      <c r="N113" s="6">
        <v>1</v>
      </c>
      <c r="O113" s="6" t="s">
        <v>2818</v>
      </c>
      <c r="P113" s="6" t="s">
        <v>2819</v>
      </c>
      <c r="Q113" s="7">
        <v>3</v>
      </c>
      <c r="R113" s="6" t="s">
        <v>2820</v>
      </c>
      <c r="S113" s="6">
        <v>1</v>
      </c>
      <c r="T113" s="6" t="s">
        <v>185</v>
      </c>
      <c r="U113" s="6" t="s">
        <v>43</v>
      </c>
      <c r="V113" s="9"/>
      <c r="W113" s="9" t="s">
        <v>2821</v>
      </c>
      <c r="X113" s="9">
        <v>1</v>
      </c>
      <c r="Y113" s="9">
        <v>1</v>
      </c>
      <c r="Z113" s="9" t="s">
        <v>2822</v>
      </c>
      <c r="AA113" s="9" t="s">
        <v>2823</v>
      </c>
      <c r="AB113" s="9">
        <v>3</v>
      </c>
      <c r="AC113" s="32" t="s">
        <v>2824</v>
      </c>
      <c r="AD113" s="9">
        <v>0.5</v>
      </c>
      <c r="AE113" s="9" t="s">
        <v>2825</v>
      </c>
      <c r="AF113" s="9" t="s">
        <v>42</v>
      </c>
      <c r="AG113" s="11"/>
      <c r="AH113" s="11" t="s">
        <v>2826</v>
      </c>
      <c r="AI113" s="11">
        <v>1</v>
      </c>
      <c r="AJ113" s="11">
        <v>1</v>
      </c>
      <c r="AK113" s="11" t="s">
        <v>2827</v>
      </c>
      <c r="AL113" s="11">
        <v>0.5</v>
      </c>
      <c r="AM113" s="11" t="s">
        <v>2828</v>
      </c>
      <c r="AN113" s="11" t="s">
        <v>64</v>
      </c>
      <c r="AO113" s="6"/>
      <c r="AP113" s="6" t="s">
        <v>352</v>
      </c>
      <c r="AQ113" s="6">
        <v>0.5</v>
      </c>
      <c r="AR113" s="6">
        <v>0.5</v>
      </c>
      <c r="AS113" s="6" t="s">
        <v>2829</v>
      </c>
      <c r="AT113" s="6" t="s">
        <v>2830</v>
      </c>
      <c r="AU113" s="6">
        <v>3</v>
      </c>
      <c r="AV113" s="7">
        <v>1</v>
      </c>
      <c r="AW113" s="6" t="s">
        <v>2831</v>
      </c>
      <c r="AX113" s="6">
        <v>0.5</v>
      </c>
      <c r="AY113" s="6" t="s">
        <v>2832</v>
      </c>
      <c r="AZ113" s="6" t="s">
        <v>64</v>
      </c>
      <c r="BA113" s="9"/>
      <c r="BB113" s="9" t="s">
        <v>2833</v>
      </c>
      <c r="BC113" s="9">
        <v>1</v>
      </c>
      <c r="BD113" s="9">
        <v>0.5</v>
      </c>
      <c r="BE113" s="9" t="s">
        <v>134</v>
      </c>
      <c r="BF113" s="9">
        <v>0.5</v>
      </c>
      <c r="BG113" s="9" t="s">
        <v>2834</v>
      </c>
      <c r="BH113" s="9" t="s">
        <v>42</v>
      </c>
      <c r="BI113" s="8"/>
      <c r="BJ113" s="8" t="s">
        <v>2835</v>
      </c>
      <c r="BK113" s="8">
        <v>1</v>
      </c>
      <c r="BL113" s="8">
        <v>1</v>
      </c>
      <c r="BM113" s="8" t="s">
        <v>2836</v>
      </c>
      <c r="BN113" s="8">
        <v>0</v>
      </c>
      <c r="BO113" s="8" t="s">
        <v>2837</v>
      </c>
      <c r="BP113" s="8" t="s">
        <v>42</v>
      </c>
      <c r="BQ113" s="11"/>
      <c r="BR113" s="11" t="s">
        <v>2427</v>
      </c>
      <c r="BS113" s="11">
        <v>1</v>
      </c>
      <c r="BT113" s="11">
        <v>1</v>
      </c>
      <c r="BU113" s="11" t="s">
        <v>2838</v>
      </c>
      <c r="BV113" s="11" t="s">
        <v>2782</v>
      </c>
      <c r="BW113" s="11">
        <v>0</v>
      </c>
      <c r="BX113" s="11" t="s">
        <v>2839</v>
      </c>
      <c r="BY113" s="11">
        <v>0.5</v>
      </c>
      <c r="BZ113" s="11" t="s">
        <v>2840</v>
      </c>
      <c r="CA113" s="11" t="s">
        <v>42</v>
      </c>
      <c r="CB113" s="22"/>
    </row>
    <row r="114" spans="1:80" s="31" customFormat="1" ht="18" customHeight="1">
      <c r="A114">
        <v>10113</v>
      </c>
      <c r="B114" s="8"/>
      <c r="C114" s="8" t="s">
        <v>2841</v>
      </c>
      <c r="D114" s="5">
        <v>1</v>
      </c>
      <c r="E114" s="5">
        <v>0.5</v>
      </c>
      <c r="F114" s="8" t="s">
        <v>2842</v>
      </c>
      <c r="G114" s="8"/>
      <c r="H114" s="8">
        <v>1</v>
      </c>
      <c r="I114" s="8" t="s">
        <v>98</v>
      </c>
      <c r="J114" s="8" t="s">
        <v>42</v>
      </c>
      <c r="K114" s="6"/>
      <c r="L114" s="6" t="s">
        <v>2843</v>
      </c>
      <c r="M114" s="6">
        <v>1</v>
      </c>
      <c r="N114" s="6">
        <v>1</v>
      </c>
      <c r="O114" s="6" t="s">
        <v>135</v>
      </c>
      <c r="P114" s="6" t="s">
        <v>132</v>
      </c>
      <c r="Q114" s="7">
        <v>3</v>
      </c>
      <c r="R114" s="6" t="s">
        <v>153</v>
      </c>
      <c r="S114" s="6">
        <v>0.5</v>
      </c>
      <c r="T114" s="6" t="s">
        <v>2844</v>
      </c>
      <c r="U114" s="6" t="s">
        <v>42</v>
      </c>
      <c r="V114" s="9"/>
      <c r="W114" s="9" t="s">
        <v>263</v>
      </c>
      <c r="X114" s="9">
        <v>1</v>
      </c>
      <c r="Y114" s="9">
        <v>1</v>
      </c>
      <c r="Z114" s="9" t="s">
        <v>135</v>
      </c>
      <c r="AA114" s="9" t="s">
        <v>106</v>
      </c>
      <c r="AB114" s="9">
        <v>0</v>
      </c>
      <c r="AC114" s="32" t="s">
        <v>161</v>
      </c>
      <c r="AD114" s="9">
        <v>0.5</v>
      </c>
      <c r="AE114" s="9" t="s">
        <v>2844</v>
      </c>
      <c r="AF114" s="9" t="s">
        <v>42</v>
      </c>
      <c r="AG114" s="11"/>
      <c r="AH114" s="11" t="s">
        <v>1332</v>
      </c>
      <c r="AI114" s="11">
        <v>1</v>
      </c>
      <c r="AJ114" s="11">
        <v>1</v>
      </c>
      <c r="AK114" s="11" t="s">
        <v>76</v>
      </c>
      <c r="AL114" s="11">
        <v>0.5</v>
      </c>
      <c r="AM114" s="11" t="s">
        <v>2844</v>
      </c>
      <c r="AN114" s="11" t="s">
        <v>42</v>
      </c>
      <c r="AO114" s="6"/>
      <c r="AP114" s="6" t="s">
        <v>241</v>
      </c>
      <c r="AQ114" s="6">
        <v>1</v>
      </c>
      <c r="AR114" s="6">
        <v>1</v>
      </c>
      <c r="AS114" s="6" t="s">
        <v>135</v>
      </c>
      <c r="AT114" s="6" t="s">
        <v>2845</v>
      </c>
      <c r="AU114" s="6">
        <v>0</v>
      </c>
      <c r="AV114" s="7">
        <v>0</v>
      </c>
      <c r="AW114" s="6" t="s">
        <v>2846</v>
      </c>
      <c r="AX114" s="6">
        <v>0.5</v>
      </c>
      <c r="AY114" s="6" t="s">
        <v>2844</v>
      </c>
      <c r="AZ114" s="6" t="s">
        <v>42</v>
      </c>
      <c r="BA114" s="9"/>
      <c r="BB114" s="9" t="s">
        <v>2847</v>
      </c>
      <c r="BC114" s="9">
        <v>1</v>
      </c>
      <c r="BD114" s="9">
        <v>0.5</v>
      </c>
      <c r="BE114" s="9" t="s">
        <v>2848</v>
      </c>
      <c r="BF114" s="9">
        <v>0.5</v>
      </c>
      <c r="BG114" s="9" t="s">
        <v>2844</v>
      </c>
      <c r="BH114" s="9" t="s">
        <v>42</v>
      </c>
      <c r="BI114" s="8"/>
      <c r="BJ114" s="8" t="s">
        <v>1115</v>
      </c>
      <c r="BK114" s="8">
        <v>1</v>
      </c>
      <c r="BL114" s="8">
        <v>1</v>
      </c>
      <c r="BM114" s="8" t="s">
        <v>2849</v>
      </c>
      <c r="BN114" s="8">
        <v>0.5</v>
      </c>
      <c r="BO114" s="8" t="s">
        <v>2844</v>
      </c>
      <c r="BP114" s="8" t="s">
        <v>42</v>
      </c>
      <c r="BQ114" s="11"/>
      <c r="BR114" s="11" t="s">
        <v>250</v>
      </c>
      <c r="BS114" s="11">
        <v>1</v>
      </c>
      <c r="BT114" s="11">
        <v>1</v>
      </c>
      <c r="BU114" s="11" t="s">
        <v>135</v>
      </c>
      <c r="BV114" s="11" t="s">
        <v>132</v>
      </c>
      <c r="BW114" s="11">
        <v>0</v>
      </c>
      <c r="BX114" s="11" t="s">
        <v>51</v>
      </c>
      <c r="BY114" s="11">
        <v>0.5</v>
      </c>
      <c r="BZ114" s="11" t="s">
        <v>2844</v>
      </c>
      <c r="CA114" s="11" t="s">
        <v>42</v>
      </c>
      <c r="CB114" s="22"/>
    </row>
    <row r="115" spans="1:80" s="31" customFormat="1" ht="18" customHeight="1">
      <c r="A115">
        <v>10114</v>
      </c>
      <c r="B115" s="8"/>
      <c r="C115" s="8" t="s">
        <v>2850</v>
      </c>
      <c r="D115" s="5">
        <v>1</v>
      </c>
      <c r="E115" s="5">
        <v>1</v>
      </c>
      <c r="F115" s="8" t="s">
        <v>2851</v>
      </c>
      <c r="G115" s="8"/>
      <c r="H115" s="8">
        <v>0</v>
      </c>
      <c r="I115" s="8" t="s">
        <v>2852</v>
      </c>
      <c r="J115" s="8" t="s">
        <v>64</v>
      </c>
      <c r="K115" s="6"/>
      <c r="L115" s="6" t="s">
        <v>2853</v>
      </c>
      <c r="M115" s="6">
        <v>1</v>
      </c>
      <c r="N115" s="6">
        <v>1</v>
      </c>
      <c r="O115" s="6" t="s">
        <v>2854</v>
      </c>
      <c r="P115" s="6" t="s">
        <v>2855</v>
      </c>
      <c r="Q115" s="7">
        <v>0</v>
      </c>
      <c r="R115" s="6" t="s">
        <v>1219</v>
      </c>
      <c r="S115" s="6">
        <v>0.5</v>
      </c>
      <c r="T115" s="6" t="s">
        <v>2856</v>
      </c>
      <c r="U115" s="6" t="s">
        <v>67</v>
      </c>
      <c r="V115" s="9"/>
      <c r="W115" s="9" t="s">
        <v>2857</v>
      </c>
      <c r="X115" s="9">
        <v>1</v>
      </c>
      <c r="Y115" s="9">
        <v>1</v>
      </c>
      <c r="Z115" s="9" t="s">
        <v>2858</v>
      </c>
      <c r="AA115" s="9" t="s">
        <v>2859</v>
      </c>
      <c r="AB115" s="9">
        <v>3</v>
      </c>
      <c r="AC115" s="32" t="s">
        <v>62</v>
      </c>
      <c r="AD115" s="9">
        <v>0.5</v>
      </c>
      <c r="AE115" s="9" t="s">
        <v>2860</v>
      </c>
      <c r="AF115" s="9" t="s">
        <v>42</v>
      </c>
      <c r="AG115" s="11"/>
      <c r="AH115" s="11" t="s">
        <v>2861</v>
      </c>
      <c r="AI115" s="11">
        <v>1</v>
      </c>
      <c r="AJ115" s="11">
        <v>1</v>
      </c>
      <c r="AK115" s="11" t="s">
        <v>2862</v>
      </c>
      <c r="AL115" s="11">
        <v>0.5</v>
      </c>
      <c r="AM115" s="11" t="s">
        <v>2863</v>
      </c>
      <c r="AN115" s="11" t="s">
        <v>67</v>
      </c>
      <c r="AO115" s="6"/>
      <c r="AP115" s="6" t="s">
        <v>2864</v>
      </c>
      <c r="AQ115" s="6">
        <v>0.5</v>
      </c>
      <c r="AR115" s="6">
        <v>0.5</v>
      </c>
      <c r="AS115" s="6" t="s">
        <v>2865</v>
      </c>
      <c r="AT115" s="6" t="s">
        <v>2866</v>
      </c>
      <c r="AU115" s="6">
        <v>3</v>
      </c>
      <c r="AV115" s="7">
        <v>3</v>
      </c>
      <c r="AW115" s="6" t="s">
        <v>62</v>
      </c>
      <c r="AX115" s="6">
        <v>0.5</v>
      </c>
      <c r="AY115" s="6" t="s">
        <v>2867</v>
      </c>
      <c r="AZ115" s="6" t="s">
        <v>67</v>
      </c>
      <c r="BA115" s="9"/>
      <c r="BB115" s="9" t="s">
        <v>2868</v>
      </c>
      <c r="BC115" s="9">
        <v>1</v>
      </c>
      <c r="BD115" s="9">
        <v>1</v>
      </c>
      <c r="BE115" s="9" t="s">
        <v>61</v>
      </c>
      <c r="BF115" s="9">
        <v>0.5</v>
      </c>
      <c r="BG115" s="9" t="s">
        <v>2869</v>
      </c>
      <c r="BH115" s="9" t="s">
        <v>37</v>
      </c>
      <c r="BI115" s="8"/>
      <c r="BJ115" s="8" t="s">
        <v>2870</v>
      </c>
      <c r="BK115" s="8">
        <v>1</v>
      </c>
      <c r="BL115" s="8">
        <v>1</v>
      </c>
      <c r="BM115" s="8" t="s">
        <v>2871</v>
      </c>
      <c r="BN115" s="8">
        <v>0.5</v>
      </c>
      <c r="BO115" s="8" t="s">
        <v>2872</v>
      </c>
      <c r="BP115" s="8" t="s">
        <v>64</v>
      </c>
      <c r="BQ115" s="11"/>
      <c r="BR115" s="11" t="s">
        <v>2873</v>
      </c>
      <c r="BS115" s="11">
        <v>1</v>
      </c>
      <c r="BT115" s="11">
        <v>1</v>
      </c>
      <c r="BU115" s="11" t="s">
        <v>2874</v>
      </c>
      <c r="BV115" s="11" t="s">
        <v>2875</v>
      </c>
      <c r="BW115" s="11">
        <v>1</v>
      </c>
      <c r="BX115" s="11" t="s">
        <v>62</v>
      </c>
      <c r="BY115" s="11">
        <v>0</v>
      </c>
      <c r="BZ115" s="11" t="s">
        <v>2876</v>
      </c>
      <c r="CA115" s="11" t="s">
        <v>37</v>
      </c>
      <c r="CB115" s="22"/>
    </row>
    <row r="116" spans="1:80" s="31" customFormat="1" ht="18" customHeight="1">
      <c r="A116">
        <v>10115</v>
      </c>
      <c r="B116" s="8"/>
      <c r="C116" s="8" t="s">
        <v>2877</v>
      </c>
      <c r="D116" s="5">
        <v>1</v>
      </c>
      <c r="E116" s="5">
        <v>0.5</v>
      </c>
      <c r="F116" s="8" t="s">
        <v>2878</v>
      </c>
      <c r="G116" s="8"/>
      <c r="H116" s="8">
        <v>2</v>
      </c>
      <c r="I116" s="8" t="s">
        <v>2879</v>
      </c>
      <c r="J116" s="8" t="s">
        <v>42</v>
      </c>
      <c r="K116" s="6"/>
      <c r="L116" s="6" t="s">
        <v>2880</v>
      </c>
      <c r="M116" s="6">
        <v>1</v>
      </c>
      <c r="N116" s="6">
        <v>1</v>
      </c>
      <c r="O116" s="6" t="s">
        <v>2881</v>
      </c>
      <c r="P116" s="6" t="s">
        <v>2882</v>
      </c>
      <c r="Q116" s="7">
        <v>3</v>
      </c>
      <c r="R116" s="6" t="s">
        <v>2883</v>
      </c>
      <c r="S116" s="6">
        <v>0.5</v>
      </c>
      <c r="T116" s="6" t="s">
        <v>2884</v>
      </c>
      <c r="U116" s="6" t="s">
        <v>42</v>
      </c>
      <c r="V116" s="9"/>
      <c r="W116" s="9" t="s">
        <v>2885</v>
      </c>
      <c r="X116" s="9">
        <v>1</v>
      </c>
      <c r="Y116" s="9">
        <v>0.5</v>
      </c>
      <c r="Z116" s="9" t="s">
        <v>2886</v>
      </c>
      <c r="AA116" s="9" t="s">
        <v>2887</v>
      </c>
      <c r="AB116" s="9">
        <v>3</v>
      </c>
      <c r="AC116" s="32" t="s">
        <v>566</v>
      </c>
      <c r="AD116" s="9">
        <v>0.5</v>
      </c>
      <c r="AE116" s="9" t="s">
        <v>2888</v>
      </c>
      <c r="AF116" s="9" t="s">
        <v>67</v>
      </c>
      <c r="AG116" s="11"/>
      <c r="AH116" s="11" t="s">
        <v>2889</v>
      </c>
      <c r="AI116" s="11">
        <v>1</v>
      </c>
      <c r="AJ116" s="11">
        <v>1</v>
      </c>
      <c r="AK116" s="11" t="s">
        <v>2890</v>
      </c>
      <c r="AL116" s="11">
        <v>0.5</v>
      </c>
      <c r="AM116" s="11" t="s">
        <v>2891</v>
      </c>
      <c r="AN116" s="11" t="s">
        <v>67</v>
      </c>
      <c r="AO116" s="6"/>
      <c r="AP116" s="6" t="s">
        <v>2892</v>
      </c>
      <c r="AQ116" s="6">
        <v>0.5</v>
      </c>
      <c r="AR116" s="6">
        <v>0.5</v>
      </c>
      <c r="AS116" s="6" t="s">
        <v>2893</v>
      </c>
      <c r="AT116" s="6" t="s">
        <v>85</v>
      </c>
      <c r="AU116" s="6">
        <v>3</v>
      </c>
      <c r="AV116" s="7">
        <v>2</v>
      </c>
      <c r="AW116" s="6" t="s">
        <v>2894</v>
      </c>
      <c r="AX116" s="6">
        <v>0.5</v>
      </c>
      <c r="AY116" s="6" t="s">
        <v>2895</v>
      </c>
      <c r="AZ116" s="6" t="s">
        <v>67</v>
      </c>
      <c r="BA116" s="9"/>
      <c r="BB116" s="9" t="s">
        <v>2896</v>
      </c>
      <c r="BC116" s="9">
        <v>1</v>
      </c>
      <c r="BD116" s="9">
        <v>0.5</v>
      </c>
      <c r="BE116" s="9" t="s">
        <v>81</v>
      </c>
      <c r="BF116" s="9">
        <v>0.5</v>
      </c>
      <c r="BG116" s="9" t="s">
        <v>2897</v>
      </c>
      <c r="BH116" s="9" t="s">
        <v>67</v>
      </c>
      <c r="BI116" s="8"/>
      <c r="BJ116" s="8" t="s">
        <v>2898</v>
      </c>
      <c r="BK116" s="8">
        <v>1</v>
      </c>
      <c r="BL116" s="8">
        <v>1</v>
      </c>
      <c r="BM116" s="8" t="s">
        <v>2899</v>
      </c>
      <c r="BN116" s="8">
        <v>0.5</v>
      </c>
      <c r="BO116" s="8" t="s">
        <v>2900</v>
      </c>
      <c r="BP116" s="8" t="s">
        <v>67</v>
      </c>
      <c r="BQ116" s="11"/>
      <c r="BR116" s="11" t="s">
        <v>2901</v>
      </c>
      <c r="BS116" s="11">
        <v>1</v>
      </c>
      <c r="BT116" s="11">
        <v>0.5</v>
      </c>
      <c r="BU116" s="11" t="s">
        <v>1267</v>
      </c>
      <c r="BV116" s="11" t="s">
        <v>2902</v>
      </c>
      <c r="BW116" s="11">
        <v>1</v>
      </c>
      <c r="BX116" s="11" t="s">
        <v>2903</v>
      </c>
      <c r="BY116" s="11">
        <v>0</v>
      </c>
      <c r="BZ116" s="11" t="s">
        <v>2904</v>
      </c>
      <c r="CA116" s="11" t="s">
        <v>64</v>
      </c>
      <c r="CB116" s="22"/>
    </row>
    <row r="117" spans="1:80" s="31" customFormat="1" ht="18" customHeight="1">
      <c r="A117">
        <v>10116</v>
      </c>
      <c r="B117" s="8"/>
      <c r="C117" s="8" t="s">
        <v>228</v>
      </c>
      <c r="D117" s="5">
        <v>1</v>
      </c>
      <c r="E117" s="5">
        <v>1</v>
      </c>
      <c r="F117" s="8" t="s">
        <v>2905</v>
      </c>
      <c r="G117" s="8"/>
      <c r="H117" s="8">
        <v>0</v>
      </c>
      <c r="I117" s="8" t="s">
        <v>2906</v>
      </c>
      <c r="J117" s="8" t="s">
        <v>42</v>
      </c>
      <c r="K117" s="6"/>
      <c r="L117" s="6" t="s">
        <v>465</v>
      </c>
      <c r="M117" s="6">
        <v>1</v>
      </c>
      <c r="N117" s="6">
        <v>1</v>
      </c>
      <c r="O117" s="6" t="s">
        <v>2907</v>
      </c>
      <c r="P117" s="6" t="s">
        <v>2908</v>
      </c>
      <c r="Q117" s="7">
        <v>3</v>
      </c>
      <c r="R117" s="6" t="s">
        <v>2909</v>
      </c>
      <c r="S117" s="6">
        <v>0.5</v>
      </c>
      <c r="T117" s="6" t="s">
        <v>2910</v>
      </c>
      <c r="U117" s="6" t="s">
        <v>42</v>
      </c>
      <c r="V117" s="9"/>
      <c r="W117" s="9" t="s">
        <v>263</v>
      </c>
      <c r="X117" s="9">
        <v>1</v>
      </c>
      <c r="Y117" s="9">
        <v>1</v>
      </c>
      <c r="Z117" s="9" t="s">
        <v>2911</v>
      </c>
      <c r="AA117" s="9" t="s">
        <v>204</v>
      </c>
      <c r="AB117" s="9">
        <v>3</v>
      </c>
      <c r="AC117" s="32" t="s">
        <v>62</v>
      </c>
      <c r="AD117" s="9">
        <v>0.5</v>
      </c>
      <c r="AE117" s="9" t="s">
        <v>2912</v>
      </c>
      <c r="AF117" s="9" t="s">
        <v>43</v>
      </c>
      <c r="AG117" s="11"/>
      <c r="AH117" s="11" t="s">
        <v>612</v>
      </c>
      <c r="AI117" s="11">
        <v>1</v>
      </c>
      <c r="AJ117" s="11">
        <v>1</v>
      </c>
      <c r="AK117" s="11" t="s">
        <v>190</v>
      </c>
      <c r="AL117" s="11">
        <v>0.5</v>
      </c>
      <c r="AM117" s="11" t="s">
        <v>2913</v>
      </c>
      <c r="AN117" s="11" t="s">
        <v>67</v>
      </c>
      <c r="AO117" s="6"/>
      <c r="AP117" s="6" t="s">
        <v>241</v>
      </c>
      <c r="AQ117" s="6">
        <v>1</v>
      </c>
      <c r="AR117" s="6">
        <v>1</v>
      </c>
      <c r="AS117" s="6" t="s">
        <v>120</v>
      </c>
      <c r="AT117" s="6" t="s">
        <v>2914</v>
      </c>
      <c r="AU117" s="6">
        <v>2</v>
      </c>
      <c r="AV117" s="7">
        <v>0</v>
      </c>
      <c r="AW117" s="6" t="s">
        <v>62</v>
      </c>
      <c r="AX117" s="6">
        <v>0.5</v>
      </c>
      <c r="AY117" s="6" t="s">
        <v>2915</v>
      </c>
      <c r="AZ117" s="6" t="s">
        <v>67</v>
      </c>
      <c r="BA117" s="9"/>
      <c r="BB117" s="9" t="s">
        <v>573</v>
      </c>
      <c r="BC117" s="9">
        <v>1</v>
      </c>
      <c r="BD117" s="9">
        <v>1</v>
      </c>
      <c r="BE117" s="9" t="s">
        <v>62</v>
      </c>
      <c r="BF117" s="9">
        <v>0</v>
      </c>
      <c r="BG117" s="9" t="s">
        <v>2916</v>
      </c>
      <c r="BH117" s="9" t="s">
        <v>42</v>
      </c>
      <c r="BI117" s="8"/>
      <c r="BJ117" s="8" t="s">
        <v>483</v>
      </c>
      <c r="BK117" s="8">
        <v>1</v>
      </c>
      <c r="BL117" s="8">
        <v>1</v>
      </c>
      <c r="BM117" s="8" t="s">
        <v>62</v>
      </c>
      <c r="BN117" s="8">
        <v>1</v>
      </c>
      <c r="BO117" s="8" t="s">
        <v>189</v>
      </c>
      <c r="BP117" s="8" t="s">
        <v>42</v>
      </c>
      <c r="BQ117" s="11"/>
      <c r="BR117" s="11" t="s">
        <v>383</v>
      </c>
      <c r="BS117" s="11">
        <v>1</v>
      </c>
      <c r="BT117" s="11">
        <v>1</v>
      </c>
      <c r="BU117" s="11" t="s">
        <v>2917</v>
      </c>
      <c r="BV117" s="11" t="s">
        <v>2918</v>
      </c>
      <c r="BW117" s="11">
        <v>1</v>
      </c>
      <c r="BX117" s="11" t="s">
        <v>181</v>
      </c>
      <c r="BY117" s="11">
        <v>0.5</v>
      </c>
      <c r="BZ117" s="11" t="s">
        <v>2919</v>
      </c>
      <c r="CA117" s="11" t="s">
        <v>42</v>
      </c>
      <c r="CB117" s="22"/>
    </row>
    <row r="118" spans="1:80" s="31" customFormat="1" ht="18" customHeight="1">
      <c r="A118">
        <v>10117</v>
      </c>
      <c r="B118" s="8"/>
      <c r="C118" s="8" t="s">
        <v>462</v>
      </c>
      <c r="D118" s="5">
        <v>1</v>
      </c>
      <c r="E118" s="5">
        <v>1</v>
      </c>
      <c r="F118" s="8" t="s">
        <v>2920</v>
      </c>
      <c r="G118" s="8"/>
      <c r="H118" s="8">
        <v>3</v>
      </c>
      <c r="I118" s="8" t="s">
        <v>2921</v>
      </c>
      <c r="J118" s="8" t="s">
        <v>36</v>
      </c>
      <c r="K118" s="6"/>
      <c r="L118" s="6" t="s">
        <v>465</v>
      </c>
      <c r="M118" s="6">
        <v>1</v>
      </c>
      <c r="N118" s="6">
        <v>1</v>
      </c>
      <c r="O118" s="6" t="s">
        <v>2922</v>
      </c>
      <c r="P118" s="6" t="s">
        <v>2923</v>
      </c>
      <c r="Q118" s="7">
        <v>3</v>
      </c>
      <c r="R118" s="6" t="s">
        <v>2924</v>
      </c>
      <c r="S118" s="6">
        <v>1</v>
      </c>
      <c r="T118" s="6" t="s">
        <v>2925</v>
      </c>
      <c r="U118" s="6" t="s">
        <v>64</v>
      </c>
      <c r="V118" s="9"/>
      <c r="W118" s="9" t="s">
        <v>565</v>
      </c>
      <c r="X118" s="9">
        <v>1</v>
      </c>
      <c r="Y118" s="9">
        <v>1</v>
      </c>
      <c r="Z118" s="9" t="s">
        <v>2926</v>
      </c>
      <c r="AA118" s="9" t="s">
        <v>2927</v>
      </c>
      <c r="AB118" s="9">
        <v>3</v>
      </c>
      <c r="AC118" s="32" t="s">
        <v>2928</v>
      </c>
      <c r="AD118" s="9">
        <v>0.5</v>
      </c>
      <c r="AE118" s="9" t="s">
        <v>2929</v>
      </c>
      <c r="AF118" s="9" t="s">
        <v>42</v>
      </c>
      <c r="AG118" s="11"/>
      <c r="AH118" s="11" t="s">
        <v>2930</v>
      </c>
      <c r="AI118" s="11">
        <v>1</v>
      </c>
      <c r="AJ118" s="11">
        <v>1</v>
      </c>
      <c r="AK118" s="11" t="s">
        <v>2931</v>
      </c>
      <c r="AL118" s="11">
        <v>0.5</v>
      </c>
      <c r="AM118" s="11" t="s">
        <v>2932</v>
      </c>
      <c r="AN118" s="11" t="s">
        <v>37</v>
      </c>
      <c r="AO118" s="6"/>
      <c r="AP118" s="6" t="s">
        <v>450</v>
      </c>
      <c r="AQ118" s="6">
        <v>1</v>
      </c>
      <c r="AR118" s="6">
        <v>1</v>
      </c>
      <c r="AS118" s="6" t="s">
        <v>2933</v>
      </c>
      <c r="AT118" s="6" t="s">
        <v>2934</v>
      </c>
      <c r="AU118" s="6">
        <v>3</v>
      </c>
      <c r="AV118" s="7">
        <v>0</v>
      </c>
      <c r="AW118" s="6" t="s">
        <v>2935</v>
      </c>
      <c r="AX118" s="6">
        <v>0.5</v>
      </c>
      <c r="AY118" s="6" t="s">
        <v>2936</v>
      </c>
      <c r="AZ118" s="6" t="s">
        <v>43</v>
      </c>
      <c r="BA118" s="9"/>
      <c r="BB118" s="9" t="s">
        <v>2937</v>
      </c>
      <c r="BC118" s="9">
        <v>1</v>
      </c>
      <c r="BD118" s="9">
        <v>1</v>
      </c>
      <c r="BE118" s="9" t="s">
        <v>2938</v>
      </c>
      <c r="BF118" s="9">
        <v>0.5</v>
      </c>
      <c r="BG118" s="9" t="s">
        <v>2939</v>
      </c>
      <c r="BH118" s="9" t="s">
        <v>42</v>
      </c>
      <c r="BI118" s="8"/>
      <c r="BJ118" s="8" t="s">
        <v>2940</v>
      </c>
      <c r="BK118" s="8">
        <v>1</v>
      </c>
      <c r="BL118" s="8">
        <v>1</v>
      </c>
      <c r="BM118" s="8" t="s">
        <v>2941</v>
      </c>
      <c r="BN118" s="8">
        <v>0.5</v>
      </c>
      <c r="BO118" s="8" t="s">
        <v>1928</v>
      </c>
      <c r="BP118" s="8" t="s">
        <v>43</v>
      </c>
      <c r="BQ118" s="11"/>
      <c r="BR118" s="11" t="s">
        <v>279</v>
      </c>
      <c r="BS118" s="11">
        <v>1</v>
      </c>
      <c r="BT118" s="11">
        <v>1</v>
      </c>
      <c r="BU118" s="11" t="s">
        <v>2942</v>
      </c>
      <c r="BV118" s="11" t="s">
        <v>2943</v>
      </c>
      <c r="BW118" s="11">
        <v>1</v>
      </c>
      <c r="BX118" s="11" t="s">
        <v>2944</v>
      </c>
      <c r="BY118" s="11">
        <v>0</v>
      </c>
      <c r="BZ118" s="11" t="s">
        <v>2945</v>
      </c>
      <c r="CA118" s="11" t="s">
        <v>67</v>
      </c>
      <c r="CB118" s="22"/>
    </row>
    <row r="119" spans="1:80" s="31" customFormat="1" ht="18" customHeight="1">
      <c r="A119">
        <v>10118</v>
      </c>
      <c r="B119" s="8"/>
      <c r="C119" s="8" t="s">
        <v>2946</v>
      </c>
      <c r="D119" s="5">
        <v>1</v>
      </c>
      <c r="E119" s="5">
        <v>1</v>
      </c>
      <c r="F119" s="8" t="s">
        <v>2947</v>
      </c>
      <c r="G119" s="8"/>
      <c r="H119" s="8">
        <v>2</v>
      </c>
      <c r="I119" s="8" t="s">
        <v>2948</v>
      </c>
      <c r="J119" s="8" t="s">
        <v>43</v>
      </c>
      <c r="K119" s="6"/>
      <c r="L119" s="6" t="s">
        <v>837</v>
      </c>
      <c r="M119" s="6">
        <v>1</v>
      </c>
      <c r="N119" s="6">
        <v>1</v>
      </c>
      <c r="O119" s="6" t="s">
        <v>2949</v>
      </c>
      <c r="P119" s="6" t="s">
        <v>2950</v>
      </c>
      <c r="Q119" s="7">
        <v>3</v>
      </c>
      <c r="R119" s="6" t="s">
        <v>2951</v>
      </c>
      <c r="S119" s="6">
        <v>1</v>
      </c>
      <c r="T119" s="6" t="s">
        <v>2952</v>
      </c>
      <c r="U119" s="6" t="s">
        <v>36</v>
      </c>
      <c r="V119" s="9"/>
      <c r="W119" s="9" t="s">
        <v>2953</v>
      </c>
      <c r="X119" s="9">
        <v>1</v>
      </c>
      <c r="Y119" s="9">
        <v>1</v>
      </c>
      <c r="Z119" s="9" t="s">
        <v>2954</v>
      </c>
      <c r="AA119" s="9" t="s">
        <v>2955</v>
      </c>
      <c r="AB119" s="9">
        <v>0</v>
      </c>
      <c r="AC119" s="32" t="s">
        <v>2956</v>
      </c>
      <c r="AD119" s="9">
        <v>0.5</v>
      </c>
      <c r="AE119" s="9" t="s">
        <v>2957</v>
      </c>
      <c r="AF119" s="9" t="s">
        <v>36</v>
      </c>
      <c r="AG119" s="11"/>
      <c r="AH119" s="11" t="s">
        <v>941</v>
      </c>
      <c r="AI119" s="11">
        <v>1</v>
      </c>
      <c r="AJ119" s="11">
        <v>1</v>
      </c>
      <c r="AK119" s="11" t="s">
        <v>2958</v>
      </c>
      <c r="AL119" s="11">
        <v>0.5</v>
      </c>
      <c r="AM119" s="11" t="s">
        <v>2959</v>
      </c>
      <c r="AN119" s="11" t="s">
        <v>64</v>
      </c>
      <c r="AO119" s="6"/>
      <c r="AP119" s="6" t="s">
        <v>2573</v>
      </c>
      <c r="AQ119" s="6">
        <v>1</v>
      </c>
      <c r="AR119" s="6">
        <v>1</v>
      </c>
      <c r="AS119" s="6" t="s">
        <v>2960</v>
      </c>
      <c r="AT119" s="6" t="s">
        <v>2961</v>
      </c>
      <c r="AU119" s="6">
        <v>3</v>
      </c>
      <c r="AV119" s="7">
        <v>0</v>
      </c>
      <c r="AW119" s="6" t="s">
        <v>2962</v>
      </c>
      <c r="AX119" s="6">
        <v>1</v>
      </c>
      <c r="AY119" s="6" t="s">
        <v>2963</v>
      </c>
      <c r="AZ119" s="6" t="s">
        <v>67</v>
      </c>
      <c r="BA119" s="9"/>
      <c r="BB119" s="9" t="s">
        <v>2964</v>
      </c>
      <c r="BC119" s="9">
        <v>1</v>
      </c>
      <c r="BD119" s="9">
        <v>1</v>
      </c>
      <c r="BE119" s="9" t="s">
        <v>2965</v>
      </c>
      <c r="BF119" s="9">
        <v>1</v>
      </c>
      <c r="BG119" s="9" t="s">
        <v>2966</v>
      </c>
      <c r="BH119" s="9" t="s">
        <v>42</v>
      </c>
      <c r="BI119" s="8"/>
      <c r="BJ119" s="8" t="s">
        <v>844</v>
      </c>
      <c r="BK119" s="8">
        <v>1</v>
      </c>
      <c r="BL119" s="8">
        <v>1</v>
      </c>
      <c r="BM119" s="8" t="s">
        <v>2967</v>
      </c>
      <c r="BN119" s="8">
        <v>0.5</v>
      </c>
      <c r="BO119" s="8" t="s">
        <v>2968</v>
      </c>
      <c r="BP119" s="8" t="s">
        <v>36</v>
      </c>
      <c r="BQ119" s="11"/>
      <c r="BR119" s="11" t="s">
        <v>2969</v>
      </c>
      <c r="BS119" s="11">
        <v>1</v>
      </c>
      <c r="BT119" s="11">
        <v>1</v>
      </c>
      <c r="BU119" s="11" t="s">
        <v>2970</v>
      </c>
      <c r="BV119" s="11" t="s">
        <v>2971</v>
      </c>
      <c r="BW119" s="11">
        <v>1</v>
      </c>
      <c r="BX119" s="11" t="s">
        <v>2972</v>
      </c>
      <c r="BY119" s="11">
        <v>0</v>
      </c>
      <c r="BZ119" s="11" t="s">
        <v>2973</v>
      </c>
      <c r="CA119" s="11" t="s">
        <v>36</v>
      </c>
      <c r="CB119" s="22"/>
    </row>
    <row r="120" spans="1:80" s="31" customFormat="1" ht="18" customHeight="1">
      <c r="A120">
        <v>10119</v>
      </c>
      <c r="B120" s="8"/>
      <c r="C120" s="8" t="s">
        <v>2974</v>
      </c>
      <c r="D120" s="5">
        <v>1</v>
      </c>
      <c r="E120" s="5">
        <v>1</v>
      </c>
      <c r="F120" s="8" t="s">
        <v>2975</v>
      </c>
      <c r="G120" s="8"/>
      <c r="H120" s="8">
        <v>1</v>
      </c>
      <c r="I120" s="8" t="s">
        <v>2976</v>
      </c>
      <c r="J120" s="8" t="s">
        <v>64</v>
      </c>
      <c r="K120" s="6"/>
      <c r="L120" s="6" t="s">
        <v>2349</v>
      </c>
      <c r="M120" s="6">
        <v>1</v>
      </c>
      <c r="N120" s="6">
        <v>1</v>
      </c>
      <c r="O120" s="6" t="s">
        <v>2977</v>
      </c>
      <c r="P120" s="6" t="s">
        <v>2978</v>
      </c>
      <c r="Q120" s="7">
        <v>3</v>
      </c>
      <c r="R120" s="6" t="s">
        <v>2979</v>
      </c>
      <c r="S120" s="6">
        <v>0.5</v>
      </c>
      <c r="T120" s="6" t="s">
        <v>147</v>
      </c>
      <c r="U120" s="6" t="s">
        <v>42</v>
      </c>
      <c r="V120" s="9"/>
      <c r="W120" s="9" t="s">
        <v>1747</v>
      </c>
      <c r="X120" s="9">
        <v>1</v>
      </c>
      <c r="Y120" s="9">
        <v>0.5</v>
      </c>
      <c r="Z120" s="9" t="s">
        <v>2980</v>
      </c>
      <c r="AA120" s="9" t="s">
        <v>2981</v>
      </c>
      <c r="AB120" s="9">
        <v>0</v>
      </c>
      <c r="AC120" s="32" t="s">
        <v>2982</v>
      </c>
      <c r="AD120" s="9">
        <v>0</v>
      </c>
      <c r="AE120" s="9" t="s">
        <v>147</v>
      </c>
      <c r="AF120" s="9" t="s">
        <v>42</v>
      </c>
      <c r="AG120" s="11"/>
      <c r="AH120" s="11" t="s">
        <v>941</v>
      </c>
      <c r="AI120" s="11">
        <v>1</v>
      </c>
      <c r="AJ120" s="11">
        <v>1</v>
      </c>
      <c r="AK120" s="11" t="s">
        <v>2983</v>
      </c>
      <c r="AL120" s="11">
        <v>0.5</v>
      </c>
      <c r="AM120" s="11" t="s">
        <v>2984</v>
      </c>
      <c r="AN120" s="11" t="s">
        <v>42</v>
      </c>
      <c r="AO120" s="6"/>
      <c r="AP120" s="6" t="s">
        <v>2985</v>
      </c>
      <c r="AQ120" s="6">
        <v>0.5</v>
      </c>
      <c r="AR120" s="6">
        <v>0.5</v>
      </c>
      <c r="AS120" s="6" t="s">
        <v>2986</v>
      </c>
      <c r="AT120" s="6" t="s">
        <v>2987</v>
      </c>
      <c r="AU120" s="6">
        <v>3</v>
      </c>
      <c r="AV120" s="7">
        <v>0</v>
      </c>
      <c r="AW120" s="6" t="s">
        <v>2988</v>
      </c>
      <c r="AX120" s="6">
        <v>0.5</v>
      </c>
      <c r="AY120" s="6" t="s">
        <v>2989</v>
      </c>
      <c r="AZ120" s="6" t="s">
        <v>37</v>
      </c>
      <c r="BA120" s="9"/>
      <c r="BB120" s="9" t="s">
        <v>1750</v>
      </c>
      <c r="BC120" s="9">
        <v>1</v>
      </c>
      <c r="BD120" s="9">
        <v>1</v>
      </c>
      <c r="BE120" s="9" t="s">
        <v>2990</v>
      </c>
      <c r="BF120" s="9">
        <v>0</v>
      </c>
      <c r="BG120" s="9" t="s">
        <v>2991</v>
      </c>
      <c r="BH120" s="9" t="s">
        <v>42</v>
      </c>
      <c r="BI120" s="8"/>
      <c r="BJ120" s="8" t="s">
        <v>2992</v>
      </c>
      <c r="BK120" s="8">
        <v>1</v>
      </c>
      <c r="BL120" s="8">
        <v>0</v>
      </c>
      <c r="BM120" s="8" t="s">
        <v>47</v>
      </c>
      <c r="BN120" s="8">
        <v>0</v>
      </c>
      <c r="BO120" s="8" t="s">
        <v>2993</v>
      </c>
      <c r="BP120" s="8" t="s">
        <v>37</v>
      </c>
      <c r="BQ120" s="11"/>
      <c r="BR120" s="11" t="s">
        <v>2994</v>
      </c>
      <c r="BS120" s="11">
        <v>1</v>
      </c>
      <c r="BT120" s="11">
        <v>0.5</v>
      </c>
      <c r="BU120" s="11" t="s">
        <v>2995</v>
      </c>
      <c r="BV120" s="11" t="s">
        <v>2996</v>
      </c>
      <c r="BW120" s="11">
        <v>1</v>
      </c>
      <c r="BX120" s="11" t="s">
        <v>2997</v>
      </c>
      <c r="BY120" s="11">
        <v>0</v>
      </c>
      <c r="BZ120" s="11" t="s">
        <v>2998</v>
      </c>
      <c r="CA120" s="11" t="s">
        <v>37</v>
      </c>
      <c r="CB120" s="22"/>
    </row>
    <row r="121" spans="1:80" s="31" customFormat="1" ht="18" customHeight="1">
      <c r="A121">
        <v>10120</v>
      </c>
      <c r="B121" s="8"/>
      <c r="C121" s="8" t="s">
        <v>2999</v>
      </c>
      <c r="D121" s="5">
        <v>1</v>
      </c>
      <c r="E121" s="5">
        <v>1</v>
      </c>
      <c r="F121" s="8" t="s">
        <v>135</v>
      </c>
      <c r="G121" s="8"/>
      <c r="H121" s="8">
        <v>0</v>
      </c>
      <c r="I121" s="8" t="s">
        <v>3000</v>
      </c>
      <c r="J121" s="8" t="s">
        <v>43</v>
      </c>
      <c r="K121" s="6"/>
      <c r="L121" s="6" t="s">
        <v>3001</v>
      </c>
      <c r="M121" s="6">
        <v>1</v>
      </c>
      <c r="N121" s="6">
        <v>1</v>
      </c>
      <c r="O121" s="6" t="s">
        <v>97</v>
      </c>
      <c r="P121" s="6" t="s">
        <v>3002</v>
      </c>
      <c r="Q121" s="7">
        <v>3</v>
      </c>
      <c r="R121" s="6" t="s">
        <v>3003</v>
      </c>
      <c r="S121" s="6">
        <v>0</v>
      </c>
      <c r="T121" s="6" t="s">
        <v>163</v>
      </c>
      <c r="U121" s="6" t="s">
        <v>67</v>
      </c>
      <c r="V121" s="9"/>
      <c r="W121" s="9" t="s">
        <v>3004</v>
      </c>
      <c r="X121" s="9">
        <v>1</v>
      </c>
      <c r="Y121" s="9">
        <v>1</v>
      </c>
      <c r="Z121" s="9" t="s">
        <v>97</v>
      </c>
      <c r="AA121" s="9" t="s">
        <v>3005</v>
      </c>
      <c r="AB121" s="9">
        <v>3</v>
      </c>
      <c r="AC121" s="32" t="s">
        <v>3006</v>
      </c>
      <c r="AD121" s="9">
        <v>0.5</v>
      </c>
      <c r="AE121" s="9" t="s">
        <v>163</v>
      </c>
      <c r="AF121" s="9" t="s">
        <v>42</v>
      </c>
      <c r="AG121" s="11"/>
      <c r="AH121" s="11" t="s">
        <v>3007</v>
      </c>
      <c r="AI121" s="11">
        <v>1</v>
      </c>
      <c r="AJ121" s="11">
        <v>1</v>
      </c>
      <c r="AK121" s="11" t="s">
        <v>3008</v>
      </c>
      <c r="AL121" s="11">
        <v>0.5</v>
      </c>
      <c r="AM121" s="11" t="s">
        <v>3009</v>
      </c>
      <c r="AN121" s="11" t="s">
        <v>64</v>
      </c>
      <c r="AO121" s="6"/>
      <c r="AP121" s="6" t="s">
        <v>3010</v>
      </c>
      <c r="AQ121" s="6">
        <v>1</v>
      </c>
      <c r="AR121" s="6">
        <v>1</v>
      </c>
      <c r="AS121" s="6" t="s">
        <v>3011</v>
      </c>
      <c r="AT121" s="6" t="s">
        <v>132</v>
      </c>
      <c r="AU121" s="6">
        <v>0</v>
      </c>
      <c r="AV121" s="7">
        <v>0</v>
      </c>
      <c r="AW121" s="6" t="s">
        <v>3012</v>
      </c>
      <c r="AX121" s="6">
        <v>0.5</v>
      </c>
      <c r="AY121" s="6" t="s">
        <v>3013</v>
      </c>
      <c r="AZ121" s="6" t="s">
        <v>64</v>
      </c>
      <c r="BA121" s="9"/>
      <c r="BB121" s="9" t="s">
        <v>3014</v>
      </c>
      <c r="BC121" s="9">
        <v>1</v>
      </c>
      <c r="BD121" s="9">
        <v>1</v>
      </c>
      <c r="BE121" s="9" t="s">
        <v>3015</v>
      </c>
      <c r="BF121" s="9">
        <v>0</v>
      </c>
      <c r="BG121" s="9" t="s">
        <v>163</v>
      </c>
      <c r="BH121" s="9" t="s">
        <v>67</v>
      </c>
      <c r="BI121" s="8"/>
      <c r="BJ121" s="8" t="s">
        <v>3016</v>
      </c>
      <c r="BK121" s="8">
        <v>1</v>
      </c>
      <c r="BL121" s="8">
        <v>1</v>
      </c>
      <c r="BM121" s="8" t="s">
        <v>3017</v>
      </c>
      <c r="BN121" s="8">
        <v>0</v>
      </c>
      <c r="BO121" s="8" t="s">
        <v>108</v>
      </c>
      <c r="BP121" s="8" t="s">
        <v>42</v>
      </c>
      <c r="BQ121" s="11"/>
      <c r="BR121" s="11" t="s">
        <v>3018</v>
      </c>
      <c r="BS121" s="11">
        <v>1</v>
      </c>
      <c r="BT121" s="11">
        <v>1</v>
      </c>
      <c r="BU121" s="11" t="s">
        <v>135</v>
      </c>
      <c r="BV121" s="11" t="s">
        <v>132</v>
      </c>
      <c r="BW121" s="11">
        <v>0</v>
      </c>
      <c r="BX121" s="11" t="s">
        <v>3019</v>
      </c>
      <c r="BY121" s="11">
        <v>0.5</v>
      </c>
      <c r="BZ121" s="11" t="s">
        <v>129</v>
      </c>
      <c r="CA121" s="11" t="s">
        <v>64</v>
      </c>
      <c r="CB121" s="22"/>
    </row>
    <row r="122" spans="1:80" s="31" customFormat="1" ht="18" customHeight="1">
      <c r="A122">
        <v>10121</v>
      </c>
      <c r="B122" s="8"/>
      <c r="C122" s="8" t="s">
        <v>3020</v>
      </c>
      <c r="D122" s="5">
        <v>1</v>
      </c>
      <c r="E122" s="5">
        <v>1</v>
      </c>
      <c r="F122" s="8" t="s">
        <v>121</v>
      </c>
      <c r="G122" s="8"/>
      <c r="H122" s="8">
        <v>0</v>
      </c>
      <c r="I122" s="8" t="s">
        <v>3021</v>
      </c>
      <c r="J122" s="8" t="s">
        <v>42</v>
      </c>
      <c r="K122" s="6"/>
      <c r="L122" s="6" t="s">
        <v>837</v>
      </c>
      <c r="M122" s="6">
        <v>1</v>
      </c>
      <c r="N122" s="6">
        <v>1</v>
      </c>
      <c r="O122" s="6" t="s">
        <v>3022</v>
      </c>
      <c r="P122" s="6" t="s">
        <v>3023</v>
      </c>
      <c r="Q122" s="7">
        <v>3</v>
      </c>
      <c r="R122" s="6" t="s">
        <v>3024</v>
      </c>
      <c r="S122" s="6">
        <v>1</v>
      </c>
      <c r="T122" s="6" t="s">
        <v>3025</v>
      </c>
      <c r="U122" s="6" t="s">
        <v>67</v>
      </c>
      <c r="V122" s="9"/>
      <c r="W122" s="9" t="s">
        <v>839</v>
      </c>
      <c r="X122" s="9">
        <v>1</v>
      </c>
      <c r="Y122" s="9">
        <v>1</v>
      </c>
      <c r="Z122" s="9" t="s">
        <v>121</v>
      </c>
      <c r="AA122" s="9" t="s">
        <v>3026</v>
      </c>
      <c r="AB122" s="9">
        <v>0</v>
      </c>
      <c r="AC122" s="32" t="s">
        <v>94</v>
      </c>
      <c r="AD122" s="9">
        <v>0.5</v>
      </c>
      <c r="AE122" s="9" t="s">
        <v>3027</v>
      </c>
      <c r="AF122" s="9" t="s">
        <v>35</v>
      </c>
      <c r="AG122" s="11"/>
      <c r="AH122" s="11" t="s">
        <v>548</v>
      </c>
      <c r="AI122" s="11">
        <v>1</v>
      </c>
      <c r="AJ122" s="11">
        <v>1</v>
      </c>
      <c r="AK122" s="11" t="s">
        <v>3028</v>
      </c>
      <c r="AL122" s="11">
        <v>1</v>
      </c>
      <c r="AM122" s="11" t="s">
        <v>3029</v>
      </c>
      <c r="AN122" s="11" t="s">
        <v>67</v>
      </c>
      <c r="AO122" s="6"/>
      <c r="AP122" s="6" t="s">
        <v>2620</v>
      </c>
      <c r="AQ122" s="6">
        <v>1</v>
      </c>
      <c r="AR122" s="6">
        <v>1</v>
      </c>
      <c r="AS122" s="6" t="s">
        <v>120</v>
      </c>
      <c r="AT122" s="6" t="s">
        <v>3030</v>
      </c>
      <c r="AU122" s="6">
        <v>2</v>
      </c>
      <c r="AV122" s="7">
        <v>3</v>
      </c>
      <c r="AW122" s="6" t="s">
        <v>3031</v>
      </c>
      <c r="AX122" s="6">
        <v>1</v>
      </c>
      <c r="AY122" s="6" t="s">
        <v>3032</v>
      </c>
      <c r="AZ122" s="6" t="s">
        <v>67</v>
      </c>
      <c r="BA122" s="9"/>
      <c r="BB122" s="9" t="s">
        <v>3033</v>
      </c>
      <c r="BC122" s="9">
        <v>1</v>
      </c>
      <c r="BD122" s="9">
        <v>1</v>
      </c>
      <c r="BE122" s="9" t="s">
        <v>3034</v>
      </c>
      <c r="BF122" s="9">
        <v>1</v>
      </c>
      <c r="BG122" s="9" t="s">
        <v>3021</v>
      </c>
      <c r="BH122" s="9" t="s">
        <v>42</v>
      </c>
      <c r="BI122" s="8"/>
      <c r="BJ122" s="8" t="s">
        <v>3035</v>
      </c>
      <c r="BK122" s="8">
        <v>1</v>
      </c>
      <c r="BL122" s="8">
        <v>1</v>
      </c>
      <c r="BM122" s="8" t="s">
        <v>3036</v>
      </c>
      <c r="BN122" s="8">
        <v>0.5</v>
      </c>
      <c r="BO122" s="8" t="s">
        <v>3037</v>
      </c>
      <c r="BP122" s="8" t="s">
        <v>67</v>
      </c>
      <c r="BQ122" s="11"/>
      <c r="BR122" s="11" t="s">
        <v>2969</v>
      </c>
      <c r="BS122" s="11">
        <v>1</v>
      </c>
      <c r="BT122" s="11">
        <v>1</v>
      </c>
      <c r="BU122" s="11" t="s">
        <v>3038</v>
      </c>
      <c r="BV122" s="11" t="s">
        <v>488</v>
      </c>
      <c r="BW122" s="11">
        <v>0</v>
      </c>
      <c r="BX122" s="11" t="s">
        <v>3039</v>
      </c>
      <c r="BY122" s="11">
        <v>0</v>
      </c>
      <c r="BZ122" s="11" t="s">
        <v>3040</v>
      </c>
      <c r="CA122" s="11" t="s">
        <v>35</v>
      </c>
      <c r="CB122" s="22"/>
    </row>
    <row r="123" spans="1:80" s="31" customFormat="1" ht="18" customHeight="1">
      <c r="A123">
        <v>10122</v>
      </c>
      <c r="B123" s="8"/>
      <c r="C123" s="8" t="s">
        <v>3041</v>
      </c>
      <c r="D123" s="5">
        <v>1</v>
      </c>
      <c r="E123" s="5">
        <v>1</v>
      </c>
      <c r="F123" s="8" t="s">
        <v>3042</v>
      </c>
      <c r="G123" s="8"/>
      <c r="H123" s="8">
        <v>3</v>
      </c>
      <c r="I123" s="8" t="s">
        <v>3043</v>
      </c>
      <c r="J123" s="8" t="s">
        <v>67</v>
      </c>
      <c r="K123" s="6"/>
      <c r="L123" s="6" t="s">
        <v>3044</v>
      </c>
      <c r="M123" s="6">
        <v>1</v>
      </c>
      <c r="N123" s="6">
        <v>1</v>
      </c>
      <c r="O123" s="6" t="s">
        <v>3045</v>
      </c>
      <c r="P123" s="6" t="s">
        <v>3046</v>
      </c>
      <c r="Q123" s="7">
        <v>3</v>
      </c>
      <c r="R123" s="6" t="s">
        <v>153</v>
      </c>
      <c r="S123" s="6">
        <v>0.5</v>
      </c>
      <c r="T123" s="6" t="s">
        <v>3047</v>
      </c>
      <c r="U123" s="6" t="s">
        <v>36</v>
      </c>
      <c r="V123" s="9"/>
      <c r="W123" s="9" t="s">
        <v>2000</v>
      </c>
      <c r="X123" s="9">
        <v>1</v>
      </c>
      <c r="Y123" s="9">
        <v>1</v>
      </c>
      <c r="Z123" s="9" t="s">
        <v>3048</v>
      </c>
      <c r="AA123" s="9" t="s">
        <v>3049</v>
      </c>
      <c r="AB123" s="9">
        <v>3</v>
      </c>
      <c r="AC123" s="32" t="s">
        <v>3050</v>
      </c>
      <c r="AD123" s="9">
        <v>0.5</v>
      </c>
      <c r="AE123" s="9" t="s">
        <v>3051</v>
      </c>
      <c r="AF123" s="9" t="s">
        <v>64</v>
      </c>
      <c r="AG123" s="11"/>
      <c r="AH123" s="11" t="s">
        <v>3052</v>
      </c>
      <c r="AI123" s="11">
        <v>1</v>
      </c>
      <c r="AJ123" s="11">
        <v>1</v>
      </c>
      <c r="AK123" s="11" t="s">
        <v>161</v>
      </c>
      <c r="AL123" s="11">
        <v>0</v>
      </c>
      <c r="AM123" s="11" t="s">
        <v>3053</v>
      </c>
      <c r="AN123" s="11" t="s">
        <v>67</v>
      </c>
      <c r="AO123" s="6"/>
      <c r="AP123" s="6" t="s">
        <v>352</v>
      </c>
      <c r="AQ123" s="6">
        <v>0.5</v>
      </c>
      <c r="AR123" s="6">
        <v>0.5</v>
      </c>
      <c r="AS123" s="6" t="s">
        <v>3054</v>
      </c>
      <c r="AT123" s="6" t="s">
        <v>3055</v>
      </c>
      <c r="AU123" s="6">
        <v>3</v>
      </c>
      <c r="AV123" s="7">
        <v>2</v>
      </c>
      <c r="AW123" s="6" t="s">
        <v>134</v>
      </c>
      <c r="AX123" s="6">
        <v>0.5</v>
      </c>
      <c r="AY123" s="6" t="s">
        <v>3056</v>
      </c>
      <c r="AZ123" s="6" t="s">
        <v>67</v>
      </c>
      <c r="BA123" s="9"/>
      <c r="BB123" s="9" t="s">
        <v>1906</v>
      </c>
      <c r="BC123" s="9">
        <v>1</v>
      </c>
      <c r="BD123" s="9">
        <v>1</v>
      </c>
      <c r="BE123" s="9" t="s">
        <v>195</v>
      </c>
      <c r="BF123" s="9">
        <v>0</v>
      </c>
      <c r="BG123" s="9" t="s">
        <v>3057</v>
      </c>
      <c r="BH123" s="9" t="s">
        <v>64</v>
      </c>
      <c r="BI123" s="8"/>
      <c r="BJ123" s="8" t="s">
        <v>3058</v>
      </c>
      <c r="BK123" s="8">
        <v>1</v>
      </c>
      <c r="BL123" s="8">
        <v>1</v>
      </c>
      <c r="BM123" s="8" t="s">
        <v>161</v>
      </c>
      <c r="BN123" s="8">
        <v>0</v>
      </c>
      <c r="BO123" s="8" t="s">
        <v>3059</v>
      </c>
      <c r="BP123" s="8" t="s">
        <v>67</v>
      </c>
      <c r="BQ123" s="11"/>
      <c r="BR123" s="11" t="s">
        <v>458</v>
      </c>
      <c r="BS123" s="11">
        <v>1</v>
      </c>
      <c r="BT123" s="11">
        <v>1</v>
      </c>
      <c r="BU123" s="11" t="s">
        <v>3060</v>
      </c>
      <c r="BV123" s="11" t="s">
        <v>3061</v>
      </c>
      <c r="BW123" s="11">
        <v>1</v>
      </c>
      <c r="BX123" s="11"/>
      <c r="BY123" s="11">
        <v>0</v>
      </c>
      <c r="BZ123" s="11"/>
      <c r="CA123" s="11" t="s">
        <v>37</v>
      </c>
      <c r="CB123" s="22"/>
    </row>
    <row r="124" spans="1:80" s="31" customFormat="1" ht="18" customHeight="1">
      <c r="A124">
        <v>10123</v>
      </c>
      <c r="B124" s="8"/>
      <c r="C124" s="8" t="s">
        <v>3062</v>
      </c>
      <c r="D124" s="5">
        <v>1</v>
      </c>
      <c r="E124" s="5">
        <v>1</v>
      </c>
      <c r="F124" s="8" t="s">
        <v>3063</v>
      </c>
      <c r="G124" s="8"/>
      <c r="H124" s="8">
        <v>2</v>
      </c>
      <c r="I124" s="8" t="s">
        <v>3064</v>
      </c>
      <c r="J124" s="8" t="s">
        <v>36</v>
      </c>
      <c r="K124" s="6"/>
      <c r="L124" s="6" t="s">
        <v>2453</v>
      </c>
      <c r="M124" s="6">
        <v>1</v>
      </c>
      <c r="N124" s="6">
        <v>1</v>
      </c>
      <c r="O124" s="6" t="s">
        <v>3065</v>
      </c>
      <c r="P124" s="6" t="s">
        <v>3066</v>
      </c>
      <c r="Q124" s="7">
        <v>3</v>
      </c>
      <c r="R124" s="6" t="s">
        <v>3067</v>
      </c>
      <c r="S124" s="6">
        <v>0.5</v>
      </c>
      <c r="T124" s="6" t="s">
        <v>3068</v>
      </c>
      <c r="U124" s="6" t="s">
        <v>43</v>
      </c>
      <c r="V124" s="9"/>
      <c r="W124" s="9" t="s">
        <v>3069</v>
      </c>
      <c r="X124" s="9">
        <v>1</v>
      </c>
      <c r="Y124" s="9">
        <v>1</v>
      </c>
      <c r="Z124" s="9" t="s">
        <v>3070</v>
      </c>
      <c r="AA124" s="9" t="s">
        <v>3070</v>
      </c>
      <c r="AB124" s="9">
        <v>3</v>
      </c>
      <c r="AC124" s="32" t="s">
        <v>3071</v>
      </c>
      <c r="AD124" s="9">
        <v>0.5</v>
      </c>
      <c r="AE124" s="9" t="s">
        <v>3072</v>
      </c>
      <c r="AF124" s="9" t="s">
        <v>42</v>
      </c>
      <c r="AG124" s="11"/>
      <c r="AH124" s="11" t="s">
        <v>3073</v>
      </c>
      <c r="AI124" s="11">
        <v>1</v>
      </c>
      <c r="AJ124" s="11">
        <v>1</v>
      </c>
      <c r="AK124" s="11" t="s">
        <v>3074</v>
      </c>
      <c r="AL124" s="11">
        <v>0</v>
      </c>
      <c r="AM124" s="11" t="s">
        <v>3075</v>
      </c>
      <c r="AN124" s="11" t="s">
        <v>67</v>
      </c>
      <c r="AO124" s="6"/>
      <c r="AP124" s="6" t="s">
        <v>1837</v>
      </c>
      <c r="AQ124" s="6">
        <v>1</v>
      </c>
      <c r="AR124" s="6">
        <v>1</v>
      </c>
      <c r="AS124" s="6" t="s">
        <v>3076</v>
      </c>
      <c r="AT124" s="6" t="s">
        <v>3077</v>
      </c>
      <c r="AU124" s="6">
        <v>3</v>
      </c>
      <c r="AV124" s="7">
        <v>3</v>
      </c>
      <c r="AW124" s="6" t="s">
        <v>105</v>
      </c>
      <c r="AX124" s="6">
        <v>0.5</v>
      </c>
      <c r="AY124" s="6" t="s">
        <v>3078</v>
      </c>
      <c r="AZ124" s="6" t="s">
        <v>43</v>
      </c>
      <c r="BA124" s="9"/>
      <c r="BB124" s="9" t="s">
        <v>3079</v>
      </c>
      <c r="BC124" s="9">
        <v>1</v>
      </c>
      <c r="BD124" s="9">
        <v>1</v>
      </c>
      <c r="BE124" s="9" t="s">
        <v>3080</v>
      </c>
      <c r="BF124" s="9">
        <v>0.5</v>
      </c>
      <c r="BG124" s="9" t="s">
        <v>3081</v>
      </c>
      <c r="BH124" s="9" t="s">
        <v>67</v>
      </c>
      <c r="BI124" s="8"/>
      <c r="BJ124" s="8" t="s">
        <v>3082</v>
      </c>
      <c r="BK124" s="8">
        <v>1</v>
      </c>
      <c r="BL124" s="8">
        <v>1</v>
      </c>
      <c r="BM124" s="8" t="s">
        <v>62</v>
      </c>
      <c r="BN124" s="8">
        <v>0</v>
      </c>
      <c r="BO124" s="8" t="s">
        <v>1059</v>
      </c>
      <c r="BP124" s="8" t="s">
        <v>43</v>
      </c>
      <c r="BQ124" s="11"/>
      <c r="BR124" s="11" t="s">
        <v>3083</v>
      </c>
      <c r="BS124" s="11">
        <v>1</v>
      </c>
      <c r="BT124" s="11">
        <v>1</v>
      </c>
      <c r="BU124" s="11" t="s">
        <v>3084</v>
      </c>
      <c r="BV124" s="11" t="s">
        <v>3085</v>
      </c>
      <c r="BW124" s="11">
        <v>0</v>
      </c>
      <c r="BX124" s="11" t="s">
        <v>62</v>
      </c>
      <c r="BY124" s="11">
        <v>0</v>
      </c>
      <c r="BZ124" s="11" t="s">
        <v>3086</v>
      </c>
      <c r="CA124" s="11" t="s">
        <v>42</v>
      </c>
      <c r="CB124" s="22"/>
    </row>
    <row r="125" spans="1:80" s="31" customFormat="1" ht="18" customHeight="1">
      <c r="A125">
        <v>10124</v>
      </c>
      <c r="B125" s="8"/>
      <c r="C125" s="8" t="s">
        <v>604</v>
      </c>
      <c r="D125" s="5">
        <v>1</v>
      </c>
      <c r="E125" s="5">
        <v>1</v>
      </c>
      <c r="F125" s="8" t="s">
        <v>3087</v>
      </c>
      <c r="G125" s="8"/>
      <c r="H125" s="8">
        <v>1</v>
      </c>
      <c r="I125" s="8" t="s">
        <v>168</v>
      </c>
      <c r="J125" s="8" t="s">
        <v>42</v>
      </c>
      <c r="K125" s="6"/>
      <c r="L125" s="6" t="s">
        <v>3088</v>
      </c>
      <c r="M125" s="6">
        <v>1</v>
      </c>
      <c r="N125" s="6">
        <v>1</v>
      </c>
      <c r="O125" s="6" t="s">
        <v>120</v>
      </c>
      <c r="P125" s="6" t="s">
        <v>3089</v>
      </c>
      <c r="Q125" s="7">
        <v>3</v>
      </c>
      <c r="R125" s="6" t="s">
        <v>52</v>
      </c>
      <c r="S125" s="6">
        <v>0.5</v>
      </c>
      <c r="T125" s="6" t="s">
        <v>168</v>
      </c>
      <c r="U125" s="6" t="s">
        <v>42</v>
      </c>
      <c r="V125" s="9"/>
      <c r="W125" s="9" t="s">
        <v>263</v>
      </c>
      <c r="X125" s="9">
        <v>1</v>
      </c>
      <c r="Y125" s="9">
        <v>1</v>
      </c>
      <c r="Z125" s="9" t="s">
        <v>3090</v>
      </c>
      <c r="AA125" s="9" t="s">
        <v>3091</v>
      </c>
      <c r="AB125" s="9">
        <v>3</v>
      </c>
      <c r="AC125" s="32" t="s">
        <v>68</v>
      </c>
      <c r="AD125" s="9">
        <v>0.5</v>
      </c>
      <c r="AE125" s="9" t="s">
        <v>168</v>
      </c>
      <c r="AF125" s="9" t="s">
        <v>42</v>
      </c>
      <c r="AG125" s="11"/>
      <c r="AH125" s="11" t="s">
        <v>1574</v>
      </c>
      <c r="AI125" s="11">
        <v>1</v>
      </c>
      <c r="AJ125" s="11">
        <v>1</v>
      </c>
      <c r="AK125" s="11" t="s">
        <v>79</v>
      </c>
      <c r="AL125" s="11">
        <v>0.5</v>
      </c>
      <c r="AM125" s="11" t="s">
        <v>168</v>
      </c>
      <c r="AN125" s="11" t="s">
        <v>42</v>
      </c>
      <c r="AO125" s="6"/>
      <c r="AP125" s="6" t="s">
        <v>241</v>
      </c>
      <c r="AQ125" s="6">
        <v>1</v>
      </c>
      <c r="AR125" s="6">
        <v>1</v>
      </c>
      <c r="AS125" s="6" t="s">
        <v>121</v>
      </c>
      <c r="AT125" s="6" t="s">
        <v>3092</v>
      </c>
      <c r="AU125" s="6">
        <v>0</v>
      </c>
      <c r="AV125" s="7">
        <v>0</v>
      </c>
      <c r="AW125" s="6" t="s">
        <v>62</v>
      </c>
      <c r="AX125" s="6">
        <v>0.5</v>
      </c>
      <c r="AY125" s="6" t="s">
        <v>168</v>
      </c>
      <c r="AZ125" s="6" t="s">
        <v>42</v>
      </c>
      <c r="BA125" s="9"/>
      <c r="BB125" s="9" t="s">
        <v>3093</v>
      </c>
      <c r="BC125" s="9">
        <v>1</v>
      </c>
      <c r="BD125" s="9">
        <v>1</v>
      </c>
      <c r="BE125" s="9" t="s">
        <v>81</v>
      </c>
      <c r="BF125" s="9">
        <v>0.5</v>
      </c>
      <c r="BG125" s="9" t="s">
        <v>168</v>
      </c>
      <c r="BH125" s="9" t="s">
        <v>42</v>
      </c>
      <c r="BI125" s="8"/>
      <c r="BJ125" s="8" t="s">
        <v>652</v>
      </c>
      <c r="BK125" s="8">
        <v>1</v>
      </c>
      <c r="BL125" s="8">
        <v>1</v>
      </c>
      <c r="BM125" s="8" t="s">
        <v>62</v>
      </c>
      <c r="BN125" s="8">
        <v>0</v>
      </c>
      <c r="BO125" s="8" t="s">
        <v>168</v>
      </c>
      <c r="BP125" s="8" t="s">
        <v>42</v>
      </c>
      <c r="BQ125" s="11"/>
      <c r="BR125" s="11" t="s">
        <v>655</v>
      </c>
      <c r="BS125" s="11">
        <v>1</v>
      </c>
      <c r="BT125" s="11">
        <v>1</v>
      </c>
      <c r="BU125" s="11" t="s">
        <v>3090</v>
      </c>
      <c r="BV125" s="11" t="s">
        <v>170</v>
      </c>
      <c r="BW125" s="11">
        <v>1</v>
      </c>
      <c r="BX125" s="11" t="s">
        <v>62</v>
      </c>
      <c r="BY125" s="11">
        <v>0</v>
      </c>
      <c r="BZ125" s="11" t="s">
        <v>168</v>
      </c>
      <c r="CA125" s="11" t="s">
        <v>42</v>
      </c>
      <c r="CB125" s="22"/>
    </row>
    <row r="126" spans="1:80" s="31" customFormat="1" ht="18" customHeight="1">
      <c r="A126">
        <v>10125</v>
      </c>
      <c r="B126" s="8"/>
      <c r="C126" s="8" t="s">
        <v>228</v>
      </c>
      <c r="D126" s="5">
        <v>1</v>
      </c>
      <c r="E126" s="5">
        <v>1</v>
      </c>
      <c r="F126" s="8" t="s">
        <v>3094</v>
      </c>
      <c r="G126" s="8"/>
      <c r="H126" s="8">
        <v>0</v>
      </c>
      <c r="I126" s="8" t="s">
        <v>3095</v>
      </c>
      <c r="J126" s="8" t="s">
        <v>42</v>
      </c>
      <c r="K126" s="6"/>
      <c r="L126" s="6" t="s">
        <v>230</v>
      </c>
      <c r="M126" s="6">
        <v>1</v>
      </c>
      <c r="N126" s="6">
        <v>1</v>
      </c>
      <c r="O126" s="6" t="s">
        <v>3094</v>
      </c>
      <c r="P126" s="6" t="s">
        <v>3096</v>
      </c>
      <c r="Q126" s="7">
        <v>0</v>
      </c>
      <c r="R126" s="6" t="s">
        <v>153</v>
      </c>
      <c r="S126" s="6">
        <v>0.5</v>
      </c>
      <c r="T126" s="6" t="s">
        <v>3095</v>
      </c>
      <c r="U126" s="6" t="s">
        <v>42</v>
      </c>
      <c r="V126" s="9"/>
      <c r="W126" s="9" t="s">
        <v>1231</v>
      </c>
      <c r="X126" s="9">
        <v>1</v>
      </c>
      <c r="Y126" s="9">
        <v>1</v>
      </c>
      <c r="Z126" s="9" t="s">
        <v>3097</v>
      </c>
      <c r="AA126" s="9" t="s">
        <v>3098</v>
      </c>
      <c r="AB126" s="9">
        <v>3</v>
      </c>
      <c r="AC126" s="32" t="s">
        <v>1563</v>
      </c>
      <c r="AD126" s="9">
        <v>0.5</v>
      </c>
      <c r="AE126" s="9" t="s">
        <v>3095</v>
      </c>
      <c r="AF126" s="9" t="s">
        <v>42</v>
      </c>
      <c r="AG126" s="11"/>
      <c r="AH126" s="11" t="s">
        <v>238</v>
      </c>
      <c r="AI126" s="11">
        <v>1</v>
      </c>
      <c r="AJ126" s="11">
        <v>1</v>
      </c>
      <c r="AK126" s="11" t="s">
        <v>116</v>
      </c>
      <c r="AL126" s="11">
        <v>0.5</v>
      </c>
      <c r="AM126" s="11" t="s">
        <v>3095</v>
      </c>
      <c r="AN126" s="11" t="s">
        <v>42</v>
      </c>
      <c r="AO126" s="6"/>
      <c r="AP126" s="6" t="s">
        <v>2082</v>
      </c>
      <c r="AQ126" s="6">
        <v>1</v>
      </c>
      <c r="AR126" s="6">
        <v>1</v>
      </c>
      <c r="AS126" s="6" t="s">
        <v>3099</v>
      </c>
      <c r="AT126" s="6" t="s">
        <v>3100</v>
      </c>
      <c r="AU126" s="6">
        <v>3</v>
      </c>
      <c r="AV126" s="7">
        <v>1</v>
      </c>
      <c r="AW126" s="6" t="s">
        <v>70</v>
      </c>
      <c r="AX126" s="6">
        <v>0.5</v>
      </c>
      <c r="AY126" s="6" t="s">
        <v>3101</v>
      </c>
      <c r="AZ126" s="6" t="s">
        <v>42</v>
      </c>
      <c r="BA126" s="9"/>
      <c r="BB126" s="9" t="s">
        <v>777</v>
      </c>
      <c r="BC126" s="9">
        <v>1</v>
      </c>
      <c r="BD126" s="9">
        <v>1</v>
      </c>
      <c r="BE126" s="9" t="s">
        <v>176</v>
      </c>
      <c r="BF126" s="9">
        <v>0.5</v>
      </c>
      <c r="BG126" s="9" t="s">
        <v>3102</v>
      </c>
      <c r="BH126" s="9" t="s">
        <v>64</v>
      </c>
      <c r="BI126" s="8"/>
      <c r="BJ126" s="8" t="s">
        <v>248</v>
      </c>
      <c r="BK126" s="8">
        <v>1</v>
      </c>
      <c r="BL126" s="8">
        <v>1</v>
      </c>
      <c r="BM126" s="8" t="s">
        <v>196</v>
      </c>
      <c r="BN126" s="8">
        <v>0</v>
      </c>
      <c r="BO126" s="8" t="s">
        <v>3101</v>
      </c>
      <c r="BP126" s="8" t="s">
        <v>42</v>
      </c>
      <c r="BQ126" s="11"/>
      <c r="BR126" s="11" t="s">
        <v>383</v>
      </c>
      <c r="BS126" s="11">
        <v>1</v>
      </c>
      <c r="BT126" s="11">
        <v>1</v>
      </c>
      <c r="BU126" s="11" t="s">
        <v>3103</v>
      </c>
      <c r="BV126" s="11" t="s">
        <v>143</v>
      </c>
      <c r="BW126" s="11">
        <v>0</v>
      </c>
      <c r="BX126" s="11" t="s">
        <v>138</v>
      </c>
      <c r="BY126" s="11">
        <v>0</v>
      </c>
      <c r="BZ126" s="11" t="s">
        <v>3101</v>
      </c>
      <c r="CA126" s="11" t="s">
        <v>42</v>
      </c>
      <c r="CB126" s="22"/>
    </row>
    <row r="127" spans="1:80" s="31" customFormat="1" ht="18" customHeight="1">
      <c r="A127">
        <v>10126</v>
      </c>
      <c r="B127" s="8"/>
      <c r="C127" s="8" t="s">
        <v>3104</v>
      </c>
      <c r="D127" s="5">
        <v>1</v>
      </c>
      <c r="E127" s="5">
        <v>1</v>
      </c>
      <c r="F127" s="8" t="s">
        <v>3105</v>
      </c>
      <c r="G127" s="8"/>
      <c r="H127" s="8">
        <v>0</v>
      </c>
      <c r="I127" s="8" t="s">
        <v>3106</v>
      </c>
      <c r="J127" s="8" t="s">
        <v>42</v>
      </c>
      <c r="K127" s="6"/>
      <c r="L127" s="6" t="s">
        <v>3107</v>
      </c>
      <c r="M127" s="6">
        <v>1</v>
      </c>
      <c r="N127" s="6">
        <v>1</v>
      </c>
      <c r="O127" s="6" t="s">
        <v>3108</v>
      </c>
      <c r="P127" s="6" t="s">
        <v>3109</v>
      </c>
      <c r="Q127" s="7">
        <v>3</v>
      </c>
      <c r="R127" s="6" t="s">
        <v>199</v>
      </c>
      <c r="S127" s="6">
        <v>0.5</v>
      </c>
      <c r="T127" s="6" t="s">
        <v>3110</v>
      </c>
      <c r="U127" s="6" t="s">
        <v>42</v>
      </c>
      <c r="V127" s="9"/>
      <c r="W127" s="9" t="s">
        <v>3111</v>
      </c>
      <c r="X127" s="9">
        <v>1</v>
      </c>
      <c r="Y127" s="9">
        <v>1</v>
      </c>
      <c r="Z127" s="9" t="s">
        <v>3112</v>
      </c>
      <c r="AA127" s="9" t="s">
        <v>3113</v>
      </c>
      <c r="AB127" s="9">
        <v>3</v>
      </c>
      <c r="AC127" s="32" t="s">
        <v>3114</v>
      </c>
      <c r="AD127" s="9">
        <v>0.5</v>
      </c>
      <c r="AE127" s="9" t="s">
        <v>3115</v>
      </c>
      <c r="AF127" s="9" t="s">
        <v>64</v>
      </c>
      <c r="AG127" s="11"/>
      <c r="AH127" s="11" t="s">
        <v>3116</v>
      </c>
      <c r="AI127" s="11">
        <v>1</v>
      </c>
      <c r="AJ127" s="11">
        <v>1</v>
      </c>
      <c r="AK127" s="11" t="s">
        <v>3117</v>
      </c>
      <c r="AL127" s="11">
        <v>0</v>
      </c>
      <c r="AM127" s="11" t="s">
        <v>3118</v>
      </c>
      <c r="AN127" s="11" t="s">
        <v>43</v>
      </c>
      <c r="AO127" s="6"/>
      <c r="AP127" s="6" t="s">
        <v>3119</v>
      </c>
      <c r="AQ127" s="6">
        <v>1</v>
      </c>
      <c r="AR127" s="6">
        <v>1</v>
      </c>
      <c r="AS127" s="6" t="s">
        <v>3120</v>
      </c>
      <c r="AT127" s="6" t="s">
        <v>3121</v>
      </c>
      <c r="AU127" s="6">
        <v>3</v>
      </c>
      <c r="AV127" s="7">
        <v>3</v>
      </c>
      <c r="AW127" s="6" t="s">
        <v>3122</v>
      </c>
      <c r="AX127" s="6">
        <v>0.5</v>
      </c>
      <c r="AY127" s="6" t="s">
        <v>3123</v>
      </c>
      <c r="AZ127" s="6" t="s">
        <v>67</v>
      </c>
      <c r="BA127" s="9"/>
      <c r="BB127" s="9" t="s">
        <v>3124</v>
      </c>
      <c r="BC127" s="9">
        <v>1</v>
      </c>
      <c r="BD127" s="9">
        <v>1</v>
      </c>
      <c r="BE127" s="9" t="s">
        <v>3125</v>
      </c>
      <c r="BF127" s="9">
        <v>0.5</v>
      </c>
      <c r="BG127" s="9" t="s">
        <v>3126</v>
      </c>
      <c r="BH127" s="9" t="s">
        <v>64</v>
      </c>
      <c r="BI127" s="8"/>
      <c r="BJ127" s="8" t="s">
        <v>3127</v>
      </c>
      <c r="BK127" s="8">
        <v>1</v>
      </c>
      <c r="BL127" s="8">
        <v>1</v>
      </c>
      <c r="BM127" s="8" t="s">
        <v>3128</v>
      </c>
      <c r="BN127" s="8">
        <v>0.5</v>
      </c>
      <c r="BO127" s="8" t="s">
        <v>3129</v>
      </c>
      <c r="BP127" s="8" t="s">
        <v>36</v>
      </c>
      <c r="BQ127" s="11"/>
      <c r="BR127" s="11" t="s">
        <v>3130</v>
      </c>
      <c r="BS127" s="11">
        <v>1</v>
      </c>
      <c r="BT127" s="11">
        <v>1</v>
      </c>
      <c r="BU127" s="11" t="s">
        <v>3131</v>
      </c>
      <c r="BV127" s="11" t="s">
        <v>3132</v>
      </c>
      <c r="BW127" s="11">
        <v>0</v>
      </c>
      <c r="BX127" s="11" t="s">
        <v>51</v>
      </c>
      <c r="BY127" s="11">
        <v>0.5</v>
      </c>
      <c r="BZ127" s="11" t="s">
        <v>3133</v>
      </c>
      <c r="CA127" s="11" t="s">
        <v>64</v>
      </c>
      <c r="CB127" s="22"/>
    </row>
    <row r="128" spans="1:80" s="31" customFormat="1" ht="18" customHeight="1">
      <c r="A128">
        <v>10127</v>
      </c>
      <c r="B128" s="8"/>
      <c r="C128" s="8" t="s">
        <v>3134</v>
      </c>
      <c r="D128" s="5">
        <v>1</v>
      </c>
      <c r="E128" s="5">
        <v>1</v>
      </c>
      <c r="F128" s="8" t="s">
        <v>3135</v>
      </c>
      <c r="G128" s="8"/>
      <c r="H128" s="8">
        <v>0</v>
      </c>
      <c r="I128" s="8" t="s">
        <v>3136</v>
      </c>
      <c r="J128" s="8" t="s">
        <v>64</v>
      </c>
      <c r="K128" s="6"/>
      <c r="L128" s="6" t="s">
        <v>3137</v>
      </c>
      <c r="M128" s="6">
        <v>1</v>
      </c>
      <c r="N128" s="6">
        <v>1</v>
      </c>
      <c r="O128" s="6" t="s">
        <v>3138</v>
      </c>
      <c r="P128" s="6" t="s">
        <v>3139</v>
      </c>
      <c r="Q128" s="7">
        <v>3</v>
      </c>
      <c r="R128" s="6" t="s">
        <v>166</v>
      </c>
      <c r="S128" s="6">
        <v>0.5</v>
      </c>
      <c r="T128" s="6" t="s">
        <v>3140</v>
      </c>
      <c r="U128" s="6" t="s">
        <v>42</v>
      </c>
      <c r="V128" s="9"/>
      <c r="W128" s="9" t="s">
        <v>839</v>
      </c>
      <c r="X128" s="9">
        <v>1</v>
      </c>
      <c r="Y128" s="9">
        <v>1</v>
      </c>
      <c r="Z128" s="9" t="s">
        <v>3141</v>
      </c>
      <c r="AA128" s="9" t="s">
        <v>86</v>
      </c>
      <c r="AB128" s="9">
        <v>3</v>
      </c>
      <c r="AC128" s="32" t="s">
        <v>3142</v>
      </c>
      <c r="AD128" s="9">
        <v>0.5</v>
      </c>
      <c r="AE128" s="9" t="s">
        <v>83</v>
      </c>
      <c r="AF128" s="9" t="s">
        <v>64</v>
      </c>
      <c r="AG128" s="11"/>
      <c r="AH128" s="11" t="s">
        <v>840</v>
      </c>
      <c r="AI128" s="11">
        <v>1</v>
      </c>
      <c r="AJ128" s="11">
        <v>1</v>
      </c>
      <c r="AK128" s="11" t="s">
        <v>3143</v>
      </c>
      <c r="AL128" s="11">
        <v>0.5</v>
      </c>
      <c r="AM128" s="11" t="s">
        <v>3144</v>
      </c>
      <c r="AN128" s="11" t="s">
        <v>43</v>
      </c>
      <c r="AO128" s="6"/>
      <c r="AP128" s="6" t="s">
        <v>3145</v>
      </c>
      <c r="AQ128" s="6">
        <v>0.5</v>
      </c>
      <c r="AR128" s="6">
        <v>0.5</v>
      </c>
      <c r="AS128" s="6" t="s">
        <v>200</v>
      </c>
      <c r="AT128" s="6" t="s">
        <v>86</v>
      </c>
      <c r="AU128" s="6">
        <v>0</v>
      </c>
      <c r="AV128" s="7">
        <v>0</v>
      </c>
      <c r="AW128" s="6" t="s">
        <v>62</v>
      </c>
      <c r="AX128" s="6">
        <v>0.5</v>
      </c>
      <c r="AY128" s="6" t="s">
        <v>3146</v>
      </c>
      <c r="AZ128" s="6" t="s">
        <v>37</v>
      </c>
      <c r="BA128" s="9"/>
      <c r="BB128" s="9" t="s">
        <v>3147</v>
      </c>
      <c r="BC128" s="9">
        <v>1</v>
      </c>
      <c r="BD128" s="9">
        <v>1</v>
      </c>
      <c r="BE128" s="9" t="s">
        <v>134</v>
      </c>
      <c r="BF128" s="9">
        <v>0.5</v>
      </c>
      <c r="BG128" s="9" t="s">
        <v>3148</v>
      </c>
      <c r="BH128" s="9" t="s">
        <v>64</v>
      </c>
      <c r="BI128" s="8"/>
      <c r="BJ128" s="8" t="s">
        <v>3149</v>
      </c>
      <c r="BK128" s="8">
        <v>1</v>
      </c>
      <c r="BL128" s="8">
        <v>1</v>
      </c>
      <c r="BM128" s="8" t="s">
        <v>62</v>
      </c>
      <c r="BN128" s="8">
        <v>0</v>
      </c>
      <c r="BO128" s="8" t="s">
        <v>3150</v>
      </c>
      <c r="BP128" s="8" t="s">
        <v>37</v>
      </c>
      <c r="BQ128" s="11"/>
      <c r="BR128" s="11" t="s">
        <v>3151</v>
      </c>
      <c r="BS128" s="11">
        <v>1</v>
      </c>
      <c r="BT128" s="11">
        <v>1</v>
      </c>
      <c r="BU128" s="11" t="s">
        <v>3152</v>
      </c>
      <c r="BV128" s="11" t="s">
        <v>3153</v>
      </c>
      <c r="BW128" s="11">
        <v>1</v>
      </c>
      <c r="BX128" s="11" t="s">
        <v>3154</v>
      </c>
      <c r="BY128" s="11">
        <v>0</v>
      </c>
      <c r="BZ128" s="11" t="s">
        <v>3155</v>
      </c>
      <c r="CA128" s="11" t="s">
        <v>67</v>
      </c>
      <c r="CB128" s="22"/>
    </row>
    <row r="129" spans="1:80" s="31" customFormat="1" ht="18" customHeight="1">
      <c r="A129">
        <v>10128</v>
      </c>
      <c r="B129" s="8"/>
      <c r="C129" s="8" t="s">
        <v>604</v>
      </c>
      <c r="D129" s="5">
        <v>1</v>
      </c>
      <c r="E129" s="5">
        <v>1</v>
      </c>
      <c r="F129" s="8" t="s">
        <v>3156</v>
      </c>
      <c r="G129" s="8"/>
      <c r="H129" s="8">
        <v>1</v>
      </c>
      <c r="I129" s="8" t="s">
        <v>201</v>
      </c>
      <c r="J129" s="8" t="s">
        <v>42</v>
      </c>
      <c r="K129" s="6"/>
      <c r="L129" s="6" t="s">
        <v>465</v>
      </c>
      <c r="M129" s="6">
        <v>1</v>
      </c>
      <c r="N129" s="6">
        <v>1</v>
      </c>
      <c r="O129" s="6" t="s">
        <v>3157</v>
      </c>
      <c r="P129" s="6" t="s">
        <v>60</v>
      </c>
      <c r="Q129" s="7">
        <v>1</v>
      </c>
      <c r="R129" s="6" t="s">
        <v>3158</v>
      </c>
      <c r="S129" s="6">
        <v>0.5</v>
      </c>
      <c r="T129" s="6" t="s">
        <v>93</v>
      </c>
      <c r="U129" s="6" t="s">
        <v>42</v>
      </c>
      <c r="V129" s="9"/>
      <c r="W129" s="9" t="s">
        <v>263</v>
      </c>
      <c r="X129" s="9">
        <v>1</v>
      </c>
      <c r="Y129" s="9">
        <v>1</v>
      </c>
      <c r="Z129" s="9" t="s">
        <v>3157</v>
      </c>
      <c r="AA129" s="9" t="s">
        <v>60</v>
      </c>
      <c r="AB129" s="9">
        <v>3</v>
      </c>
      <c r="AC129" s="32" t="s">
        <v>3159</v>
      </c>
      <c r="AD129" s="9">
        <v>0.5</v>
      </c>
      <c r="AE129" s="9" t="s">
        <v>93</v>
      </c>
      <c r="AF129" s="9" t="s">
        <v>42</v>
      </c>
      <c r="AG129" s="11"/>
      <c r="AH129" s="11" t="s">
        <v>1574</v>
      </c>
      <c r="AI129" s="11">
        <v>1</v>
      </c>
      <c r="AJ129" s="11">
        <v>1</v>
      </c>
      <c r="AK129" s="11" t="s">
        <v>184</v>
      </c>
      <c r="AL129" s="11">
        <v>0.5</v>
      </c>
      <c r="AM129" s="11" t="s">
        <v>93</v>
      </c>
      <c r="AN129" s="11" t="s">
        <v>42</v>
      </c>
      <c r="AO129" s="6"/>
      <c r="AP129" s="6" t="s">
        <v>241</v>
      </c>
      <c r="AQ129" s="6">
        <v>1</v>
      </c>
      <c r="AR129" s="6">
        <v>1</v>
      </c>
      <c r="AS129" s="6" t="s">
        <v>65</v>
      </c>
      <c r="AT129" s="6" t="s">
        <v>3160</v>
      </c>
      <c r="AU129" s="6">
        <v>0</v>
      </c>
      <c r="AV129" s="7">
        <v>0</v>
      </c>
      <c r="AW129" s="6" t="s">
        <v>3161</v>
      </c>
      <c r="AX129" s="6">
        <v>0.5</v>
      </c>
      <c r="AY129" s="6" t="s">
        <v>93</v>
      </c>
      <c r="AZ129" s="6" t="s">
        <v>42</v>
      </c>
      <c r="BA129" s="9"/>
      <c r="BB129" s="9" t="s">
        <v>3162</v>
      </c>
      <c r="BC129" s="9">
        <v>1</v>
      </c>
      <c r="BD129" s="9">
        <v>1</v>
      </c>
      <c r="BE129" s="9" t="s">
        <v>202</v>
      </c>
      <c r="BF129" s="9">
        <v>0.5</v>
      </c>
      <c r="BG129" s="9" t="s">
        <v>93</v>
      </c>
      <c r="BH129" s="9" t="s">
        <v>42</v>
      </c>
      <c r="BI129" s="8"/>
      <c r="BJ129" s="8" t="s">
        <v>3163</v>
      </c>
      <c r="BK129" s="8">
        <v>1</v>
      </c>
      <c r="BL129" s="8">
        <v>1</v>
      </c>
      <c r="BM129" s="8" t="s">
        <v>3164</v>
      </c>
      <c r="BN129" s="8">
        <v>0.5</v>
      </c>
      <c r="BO129" s="8" t="s">
        <v>93</v>
      </c>
      <c r="BP129" s="8" t="s">
        <v>42</v>
      </c>
      <c r="BQ129" s="11"/>
      <c r="BR129" s="11" t="s">
        <v>655</v>
      </c>
      <c r="BS129" s="11">
        <v>1</v>
      </c>
      <c r="BT129" s="11">
        <v>1</v>
      </c>
      <c r="BU129" s="11" t="s">
        <v>3165</v>
      </c>
      <c r="BV129" s="11" t="s">
        <v>3166</v>
      </c>
      <c r="BW129" s="11">
        <v>1</v>
      </c>
      <c r="BX129" s="11" t="s">
        <v>3167</v>
      </c>
      <c r="BY129" s="11">
        <v>0</v>
      </c>
      <c r="BZ129" s="11" t="s">
        <v>93</v>
      </c>
      <c r="CA129" s="11" t="s">
        <v>42</v>
      </c>
      <c r="CB129" s="22"/>
    </row>
    <row r="130" spans="1:80" s="31" customFormat="1" ht="18" customHeight="1">
      <c r="A130">
        <v>10129</v>
      </c>
      <c r="B130" s="8"/>
      <c r="C130" s="8" t="s">
        <v>3168</v>
      </c>
      <c r="D130" s="5">
        <v>1</v>
      </c>
      <c r="E130" s="5">
        <v>0.5</v>
      </c>
      <c r="F130" s="8" t="s">
        <v>3169</v>
      </c>
      <c r="G130" s="8"/>
      <c r="H130" s="8">
        <v>0</v>
      </c>
      <c r="I130" s="8" t="s">
        <v>3170</v>
      </c>
      <c r="J130" s="8" t="s">
        <v>64</v>
      </c>
      <c r="K130" s="6"/>
      <c r="L130" s="6" t="s">
        <v>3171</v>
      </c>
      <c r="M130" s="6">
        <v>1</v>
      </c>
      <c r="N130" s="6">
        <v>1</v>
      </c>
      <c r="O130" s="6" t="s">
        <v>3172</v>
      </c>
      <c r="P130" s="6" t="s">
        <v>3173</v>
      </c>
      <c r="Q130" s="7">
        <v>1</v>
      </c>
      <c r="R130" s="6" t="s">
        <v>3174</v>
      </c>
      <c r="S130" s="6">
        <v>1</v>
      </c>
      <c r="T130" s="6" t="s">
        <v>3175</v>
      </c>
      <c r="U130" s="6" t="s">
        <v>42</v>
      </c>
      <c r="V130" s="9"/>
      <c r="W130" s="9" t="s">
        <v>3176</v>
      </c>
      <c r="X130" s="9">
        <v>1</v>
      </c>
      <c r="Y130" s="9">
        <v>1</v>
      </c>
      <c r="Z130" s="9" t="s">
        <v>3177</v>
      </c>
      <c r="AA130" s="9" t="s">
        <v>3178</v>
      </c>
      <c r="AB130" s="9">
        <v>3</v>
      </c>
      <c r="AC130" s="32" t="s">
        <v>3179</v>
      </c>
      <c r="AD130" s="9">
        <v>0.5</v>
      </c>
      <c r="AE130" s="9" t="s">
        <v>3180</v>
      </c>
      <c r="AF130" s="9" t="s">
        <v>43</v>
      </c>
      <c r="AG130" s="11"/>
      <c r="AH130" s="11" t="s">
        <v>3181</v>
      </c>
      <c r="AI130" s="11">
        <v>1</v>
      </c>
      <c r="AJ130" s="11">
        <v>1</v>
      </c>
      <c r="AK130" s="11" t="s">
        <v>79</v>
      </c>
      <c r="AL130" s="11">
        <v>0.5</v>
      </c>
      <c r="AM130" s="11" t="s">
        <v>3182</v>
      </c>
      <c r="AN130" s="11" t="s">
        <v>43</v>
      </c>
      <c r="AO130" s="6"/>
      <c r="AP130" s="6" t="s">
        <v>3183</v>
      </c>
      <c r="AQ130" s="6">
        <v>1</v>
      </c>
      <c r="AR130" s="6">
        <v>1</v>
      </c>
      <c r="AS130" s="6" t="s">
        <v>3184</v>
      </c>
      <c r="AT130" s="6" t="s">
        <v>3185</v>
      </c>
      <c r="AU130" s="6">
        <v>3</v>
      </c>
      <c r="AV130" s="7">
        <v>3</v>
      </c>
      <c r="AW130" s="6" t="s">
        <v>2894</v>
      </c>
      <c r="AX130" s="6">
        <v>0.5</v>
      </c>
      <c r="AY130" s="6" t="s">
        <v>3186</v>
      </c>
      <c r="AZ130" s="6" t="s">
        <v>37</v>
      </c>
      <c r="BA130" s="9"/>
      <c r="BB130" s="9" t="s">
        <v>3187</v>
      </c>
      <c r="BC130" s="9">
        <v>1</v>
      </c>
      <c r="BD130" s="9">
        <v>1</v>
      </c>
      <c r="BE130" s="9" t="s">
        <v>3188</v>
      </c>
      <c r="BF130" s="9">
        <v>1</v>
      </c>
      <c r="BG130" s="9" t="s">
        <v>71</v>
      </c>
      <c r="BH130" s="9" t="s">
        <v>42</v>
      </c>
      <c r="BI130" s="8"/>
      <c r="BJ130" s="8" t="s">
        <v>3189</v>
      </c>
      <c r="BK130" s="8">
        <v>1</v>
      </c>
      <c r="BL130" s="8">
        <v>0.5</v>
      </c>
      <c r="BM130" s="8" t="s">
        <v>52</v>
      </c>
      <c r="BN130" s="8">
        <v>0</v>
      </c>
      <c r="BO130" s="8" t="s">
        <v>3190</v>
      </c>
      <c r="BP130" s="8" t="s">
        <v>42</v>
      </c>
      <c r="BQ130" s="11"/>
      <c r="BR130" s="11" t="s">
        <v>3191</v>
      </c>
      <c r="BS130" s="11">
        <v>1</v>
      </c>
      <c r="BT130" s="11">
        <v>0.5</v>
      </c>
      <c r="BU130" s="11" t="s">
        <v>3192</v>
      </c>
      <c r="BV130" s="11" t="s">
        <v>3193</v>
      </c>
      <c r="BW130" s="11">
        <v>1</v>
      </c>
      <c r="BX130" s="11" t="s">
        <v>3179</v>
      </c>
      <c r="BY130" s="11">
        <v>0</v>
      </c>
      <c r="BZ130" s="11" t="s">
        <v>3194</v>
      </c>
      <c r="CA130" s="11" t="s">
        <v>42</v>
      </c>
      <c r="CB130" s="22"/>
    </row>
    <row r="131" spans="1:80" s="31" customFormat="1" ht="18" customHeight="1">
      <c r="A131">
        <v>10130</v>
      </c>
      <c r="B131" s="8"/>
      <c r="C131" s="8" t="s">
        <v>3195</v>
      </c>
      <c r="D131" s="5">
        <v>1</v>
      </c>
      <c r="E131" s="5">
        <v>1</v>
      </c>
      <c r="F131" s="8" t="s">
        <v>3196</v>
      </c>
      <c r="G131" s="8"/>
      <c r="H131" s="8">
        <v>1</v>
      </c>
      <c r="I131" s="8" t="s">
        <v>1797</v>
      </c>
      <c r="J131" s="8" t="s">
        <v>42</v>
      </c>
      <c r="K131" s="6"/>
      <c r="L131" s="6" t="s">
        <v>3197</v>
      </c>
      <c r="M131" s="6">
        <v>1</v>
      </c>
      <c r="N131" s="6">
        <v>1</v>
      </c>
      <c r="O131" s="6" t="s">
        <v>3198</v>
      </c>
      <c r="P131" s="6" t="s">
        <v>3199</v>
      </c>
      <c r="Q131" s="7">
        <v>1</v>
      </c>
      <c r="R131" s="6" t="s">
        <v>3200</v>
      </c>
      <c r="S131" s="6">
        <v>1</v>
      </c>
      <c r="T131" s="6" t="s">
        <v>3201</v>
      </c>
      <c r="U131" s="6" t="s">
        <v>64</v>
      </c>
      <c r="V131" s="9"/>
      <c r="W131" s="9" t="s">
        <v>839</v>
      </c>
      <c r="X131" s="9">
        <v>1</v>
      </c>
      <c r="Y131" s="9">
        <v>1</v>
      </c>
      <c r="Z131" s="9" t="s">
        <v>3202</v>
      </c>
      <c r="AA131" s="9" t="s">
        <v>3203</v>
      </c>
      <c r="AB131" s="9">
        <v>3</v>
      </c>
      <c r="AC131" s="32" t="s">
        <v>1877</v>
      </c>
      <c r="AD131" s="9">
        <v>0.5</v>
      </c>
      <c r="AE131" s="9" t="s">
        <v>3204</v>
      </c>
      <c r="AF131" s="9" t="s">
        <v>64</v>
      </c>
      <c r="AG131" s="11"/>
      <c r="AH131" s="11" t="s">
        <v>3205</v>
      </c>
      <c r="AI131" s="11">
        <v>1</v>
      </c>
      <c r="AJ131" s="11">
        <v>1</v>
      </c>
      <c r="AK131" s="11" t="s">
        <v>3206</v>
      </c>
      <c r="AL131" s="11">
        <v>0.5</v>
      </c>
      <c r="AM131" s="11" t="s">
        <v>3207</v>
      </c>
      <c r="AN131" s="11" t="s">
        <v>64</v>
      </c>
      <c r="AO131" s="6"/>
      <c r="AP131" s="6" t="s">
        <v>2642</v>
      </c>
      <c r="AQ131" s="6">
        <v>0.5</v>
      </c>
      <c r="AR131" s="6">
        <v>0.5</v>
      </c>
      <c r="AS131" s="6" t="s">
        <v>3208</v>
      </c>
      <c r="AT131" s="6" t="s">
        <v>3209</v>
      </c>
      <c r="AU131" s="6">
        <v>0</v>
      </c>
      <c r="AV131" s="7">
        <v>0</v>
      </c>
      <c r="AW131" s="6" t="s">
        <v>3210</v>
      </c>
      <c r="AX131" s="6">
        <v>0.5</v>
      </c>
      <c r="AY131" s="6" t="s">
        <v>3211</v>
      </c>
      <c r="AZ131" s="6" t="s">
        <v>64</v>
      </c>
      <c r="BA131" s="9"/>
      <c r="BB131" s="9" t="s">
        <v>3212</v>
      </c>
      <c r="BC131" s="9">
        <v>1</v>
      </c>
      <c r="BD131" s="9">
        <v>0.5</v>
      </c>
      <c r="BE131" s="9" t="s">
        <v>3213</v>
      </c>
      <c r="BF131" s="9">
        <v>1</v>
      </c>
      <c r="BG131" s="9" t="s">
        <v>3214</v>
      </c>
      <c r="BH131" s="9" t="s">
        <v>67</v>
      </c>
      <c r="BI131" s="8"/>
      <c r="BJ131" s="8" t="s">
        <v>3215</v>
      </c>
      <c r="BK131" s="8">
        <v>1</v>
      </c>
      <c r="BL131" s="8">
        <v>0.5</v>
      </c>
      <c r="BM131" s="8" t="s">
        <v>3216</v>
      </c>
      <c r="BN131" s="8">
        <v>0.5</v>
      </c>
      <c r="BO131" s="8" t="s">
        <v>3217</v>
      </c>
      <c r="BP131" s="8" t="s">
        <v>36</v>
      </c>
      <c r="BQ131" s="11"/>
      <c r="BR131" s="11" t="s">
        <v>3218</v>
      </c>
      <c r="BS131" s="11">
        <v>1</v>
      </c>
      <c r="BT131" s="11">
        <v>1</v>
      </c>
      <c r="BU131" s="11" t="s">
        <v>3219</v>
      </c>
      <c r="BV131" s="11" t="s">
        <v>175</v>
      </c>
      <c r="BW131" s="11">
        <v>1</v>
      </c>
      <c r="BX131" s="11" t="s">
        <v>41</v>
      </c>
      <c r="BY131" s="11">
        <v>0</v>
      </c>
      <c r="BZ131" s="11" t="s">
        <v>3220</v>
      </c>
      <c r="CA131" s="11" t="s">
        <v>64</v>
      </c>
      <c r="CB131" s="22"/>
    </row>
    <row r="132" spans="1:80" s="31" customFormat="1" ht="18" customHeight="1">
      <c r="A132">
        <v>10131</v>
      </c>
      <c r="B132" s="8"/>
      <c r="C132" s="8" t="s">
        <v>3221</v>
      </c>
      <c r="D132" s="5">
        <v>1</v>
      </c>
      <c r="E132" s="5">
        <v>1</v>
      </c>
      <c r="F132" s="8" t="s">
        <v>3222</v>
      </c>
      <c r="G132" s="8"/>
      <c r="H132" s="8">
        <v>1</v>
      </c>
      <c r="I132" s="8" t="s">
        <v>3223</v>
      </c>
      <c r="J132" s="8" t="s">
        <v>43</v>
      </c>
      <c r="K132" s="6"/>
      <c r="L132" s="6" t="s">
        <v>3224</v>
      </c>
      <c r="M132" s="6">
        <v>1</v>
      </c>
      <c r="N132" s="6">
        <v>1</v>
      </c>
      <c r="O132" s="6" t="s">
        <v>3225</v>
      </c>
      <c r="P132" s="6" t="s">
        <v>3226</v>
      </c>
      <c r="Q132" s="7">
        <v>3</v>
      </c>
      <c r="R132" s="6" t="s">
        <v>3227</v>
      </c>
      <c r="S132" s="6">
        <v>1</v>
      </c>
      <c r="T132" s="6" t="s">
        <v>3228</v>
      </c>
      <c r="U132" s="6" t="s">
        <v>42</v>
      </c>
      <c r="V132" s="9"/>
      <c r="W132" s="9" t="s">
        <v>3229</v>
      </c>
      <c r="X132" s="9">
        <v>1</v>
      </c>
      <c r="Y132" s="9">
        <v>1</v>
      </c>
      <c r="Z132" s="9" t="s">
        <v>3230</v>
      </c>
      <c r="AA132" s="9" t="s">
        <v>3231</v>
      </c>
      <c r="AB132" s="9">
        <v>3</v>
      </c>
      <c r="AC132" s="32" t="s">
        <v>44</v>
      </c>
      <c r="AD132" s="9">
        <v>0</v>
      </c>
      <c r="AE132" s="9" t="s">
        <v>3232</v>
      </c>
      <c r="AF132" s="9" t="s">
        <v>42</v>
      </c>
      <c r="AG132" s="11"/>
      <c r="AH132" s="11" t="s">
        <v>3233</v>
      </c>
      <c r="AI132" s="11">
        <v>1</v>
      </c>
      <c r="AJ132" s="11">
        <v>1</v>
      </c>
      <c r="AK132" s="11" t="s">
        <v>3234</v>
      </c>
      <c r="AL132" s="11">
        <v>0.5</v>
      </c>
      <c r="AM132" s="11" t="s">
        <v>3235</v>
      </c>
      <c r="AN132" s="11" t="s">
        <v>43</v>
      </c>
      <c r="AO132" s="6"/>
      <c r="AP132" s="6" t="s">
        <v>3236</v>
      </c>
      <c r="AQ132" s="6">
        <v>1</v>
      </c>
      <c r="AR132" s="6">
        <v>1</v>
      </c>
      <c r="AS132" s="6" t="s">
        <v>3237</v>
      </c>
      <c r="AT132" s="6" t="s">
        <v>3238</v>
      </c>
      <c r="AU132" s="6">
        <v>3</v>
      </c>
      <c r="AV132" s="7">
        <v>0</v>
      </c>
      <c r="AW132" s="6" t="s">
        <v>140</v>
      </c>
      <c r="AX132" s="6">
        <v>0.5</v>
      </c>
      <c r="AY132" s="6" t="s">
        <v>3239</v>
      </c>
      <c r="AZ132" s="6" t="s">
        <v>36</v>
      </c>
      <c r="BA132" s="9"/>
      <c r="BB132" s="9" t="s">
        <v>3240</v>
      </c>
      <c r="BC132" s="9">
        <v>1</v>
      </c>
      <c r="BD132" s="9">
        <v>1</v>
      </c>
      <c r="BE132" s="9" t="s">
        <v>3241</v>
      </c>
      <c r="BF132" s="9">
        <v>1</v>
      </c>
      <c r="BG132" s="9" t="s">
        <v>3242</v>
      </c>
      <c r="BH132" s="9" t="s">
        <v>35</v>
      </c>
      <c r="BI132" s="8"/>
      <c r="BJ132" s="8" t="s">
        <v>3243</v>
      </c>
      <c r="BK132" s="8">
        <v>1</v>
      </c>
      <c r="BL132" s="8">
        <v>0.5</v>
      </c>
      <c r="BM132" s="8" t="s">
        <v>456</v>
      </c>
      <c r="BN132" s="8">
        <v>0.5</v>
      </c>
      <c r="BO132" s="8" t="s">
        <v>3232</v>
      </c>
      <c r="BP132" s="8" t="s">
        <v>43</v>
      </c>
      <c r="BQ132" s="11"/>
      <c r="BR132" s="11" t="s">
        <v>250</v>
      </c>
      <c r="BS132" s="11">
        <v>1</v>
      </c>
      <c r="BT132" s="11">
        <v>1</v>
      </c>
      <c r="BU132" s="11" t="s">
        <v>3244</v>
      </c>
      <c r="BV132" s="11" t="s">
        <v>3238</v>
      </c>
      <c r="BW132" s="11">
        <v>1</v>
      </c>
      <c r="BX132" s="11" t="s">
        <v>3245</v>
      </c>
      <c r="BY132" s="11">
        <v>0.5</v>
      </c>
      <c r="BZ132" s="11" t="s">
        <v>3246</v>
      </c>
      <c r="CA132" s="11" t="s">
        <v>42</v>
      </c>
      <c r="CB132" s="22"/>
    </row>
    <row r="133" spans="1:80" s="31" customFormat="1" ht="18" customHeight="1">
      <c r="A133">
        <v>10132</v>
      </c>
      <c r="B133" s="8"/>
      <c r="C133" s="8" t="s">
        <v>3247</v>
      </c>
      <c r="D133" s="5">
        <v>1</v>
      </c>
      <c r="E133" s="5">
        <v>1</v>
      </c>
      <c r="F133" s="8" t="s">
        <v>3248</v>
      </c>
      <c r="G133" s="8"/>
      <c r="H133" s="8">
        <v>2</v>
      </c>
      <c r="I133" s="8" t="s">
        <v>3249</v>
      </c>
      <c r="J133" s="8" t="s">
        <v>42</v>
      </c>
      <c r="K133" s="6"/>
      <c r="L133" s="6" t="s">
        <v>3250</v>
      </c>
      <c r="M133" s="6">
        <v>1</v>
      </c>
      <c r="N133" s="6">
        <v>1</v>
      </c>
      <c r="O133" s="6" t="s">
        <v>3251</v>
      </c>
      <c r="P133" s="6" t="s">
        <v>3252</v>
      </c>
      <c r="Q133" s="7">
        <v>3</v>
      </c>
      <c r="R133" s="6" t="s">
        <v>3253</v>
      </c>
      <c r="S133" s="6">
        <v>1</v>
      </c>
      <c r="T133" s="6" t="s">
        <v>3254</v>
      </c>
      <c r="U133" s="6" t="s">
        <v>67</v>
      </c>
      <c r="V133" s="9"/>
      <c r="W133" s="9" t="s">
        <v>263</v>
      </c>
      <c r="X133" s="9">
        <v>1</v>
      </c>
      <c r="Y133" s="9">
        <v>1</v>
      </c>
      <c r="Z133" s="9" t="s">
        <v>3255</v>
      </c>
      <c r="AA133" s="9" t="s">
        <v>3256</v>
      </c>
      <c r="AB133" s="9">
        <v>3</v>
      </c>
      <c r="AC133" s="32" t="s">
        <v>133</v>
      </c>
      <c r="AD133" s="9">
        <v>0.5</v>
      </c>
      <c r="AE133" s="9" t="s">
        <v>3257</v>
      </c>
      <c r="AF133" s="9" t="s">
        <v>67</v>
      </c>
      <c r="AG133" s="11"/>
      <c r="AH133" s="11" t="s">
        <v>3258</v>
      </c>
      <c r="AI133" s="11">
        <v>1</v>
      </c>
      <c r="AJ133" s="11">
        <v>1</v>
      </c>
      <c r="AK133" s="11" t="s">
        <v>3259</v>
      </c>
      <c r="AL133" s="11">
        <v>0.5</v>
      </c>
      <c r="AM133" s="11" t="s">
        <v>3260</v>
      </c>
      <c r="AN133" s="11" t="s">
        <v>43</v>
      </c>
      <c r="AO133" s="6"/>
      <c r="AP133" s="6" t="s">
        <v>1902</v>
      </c>
      <c r="AQ133" s="6">
        <v>0.5</v>
      </c>
      <c r="AR133" s="6">
        <v>0.5</v>
      </c>
      <c r="AS133" s="6" t="s">
        <v>3261</v>
      </c>
      <c r="AT133" s="6" t="s">
        <v>3262</v>
      </c>
      <c r="AU133" s="6">
        <v>3</v>
      </c>
      <c r="AV133" s="7">
        <v>3</v>
      </c>
      <c r="AW133" s="6" t="s">
        <v>62</v>
      </c>
      <c r="AX133" s="6">
        <v>0.5</v>
      </c>
      <c r="AY133" s="6" t="s">
        <v>3263</v>
      </c>
      <c r="AZ133" s="6" t="s">
        <v>43</v>
      </c>
      <c r="BA133" s="9"/>
      <c r="BB133" s="9" t="s">
        <v>3264</v>
      </c>
      <c r="BC133" s="9">
        <v>1</v>
      </c>
      <c r="BD133" s="9">
        <v>1</v>
      </c>
      <c r="BE133" s="9" t="s">
        <v>3265</v>
      </c>
      <c r="BF133" s="9">
        <v>1</v>
      </c>
      <c r="BG133" s="9" t="s">
        <v>3266</v>
      </c>
      <c r="BH133" s="9" t="s">
        <v>64</v>
      </c>
      <c r="BI133" s="8"/>
      <c r="BJ133" s="8" t="s">
        <v>3267</v>
      </c>
      <c r="BK133" s="8">
        <v>1</v>
      </c>
      <c r="BL133" s="8">
        <v>1</v>
      </c>
      <c r="BM133" s="8" t="s">
        <v>2909</v>
      </c>
      <c r="BN133" s="8">
        <v>0</v>
      </c>
      <c r="BO133" s="8" t="s">
        <v>3268</v>
      </c>
      <c r="BP133" s="8" t="s">
        <v>67</v>
      </c>
      <c r="BQ133" s="11"/>
      <c r="BR133" s="11" t="s">
        <v>2427</v>
      </c>
      <c r="BS133" s="11">
        <v>1</v>
      </c>
      <c r="BT133" s="11">
        <v>0.5</v>
      </c>
      <c r="BU133" s="11" t="s">
        <v>3269</v>
      </c>
      <c r="BV133" s="11" t="s">
        <v>3270</v>
      </c>
      <c r="BW133" s="11">
        <v>1</v>
      </c>
      <c r="BX133" s="11" t="s">
        <v>3271</v>
      </c>
      <c r="BY133" s="11">
        <v>0</v>
      </c>
      <c r="BZ133" s="11" t="s">
        <v>3272</v>
      </c>
      <c r="CA133" s="11" t="s">
        <v>42</v>
      </c>
      <c r="CB133" s="22"/>
    </row>
    <row r="134" spans="1:80" s="31" customFormat="1" ht="18" customHeight="1">
      <c r="A134">
        <v>10133</v>
      </c>
      <c r="B134" s="8"/>
      <c r="C134" s="8" t="s">
        <v>3273</v>
      </c>
      <c r="D134" s="5">
        <v>1</v>
      </c>
      <c r="E134" s="5">
        <v>0.5</v>
      </c>
      <c r="F134" s="8" t="s">
        <v>100</v>
      </c>
      <c r="G134" s="8"/>
      <c r="H134" s="8">
        <v>0</v>
      </c>
      <c r="I134" s="8" t="s">
        <v>3274</v>
      </c>
      <c r="J134" s="8" t="s">
        <v>64</v>
      </c>
      <c r="K134" s="6"/>
      <c r="L134" s="6" t="s">
        <v>3275</v>
      </c>
      <c r="M134" s="6">
        <v>1</v>
      </c>
      <c r="N134" s="6">
        <v>1</v>
      </c>
      <c r="O134" s="6" t="s">
        <v>100</v>
      </c>
      <c r="P134" s="6" t="s">
        <v>3276</v>
      </c>
      <c r="Q134" s="7">
        <v>0</v>
      </c>
      <c r="R134" s="6" t="s">
        <v>62</v>
      </c>
      <c r="S134" s="6">
        <v>0</v>
      </c>
      <c r="T134" s="6" t="s">
        <v>3277</v>
      </c>
      <c r="U134" s="6" t="s">
        <v>36</v>
      </c>
      <c r="V134" s="9"/>
      <c r="W134" s="9" t="s">
        <v>1128</v>
      </c>
      <c r="X134" s="9">
        <v>1</v>
      </c>
      <c r="Y134" s="9">
        <v>1</v>
      </c>
      <c r="Z134" s="9" t="s">
        <v>100</v>
      </c>
      <c r="AA134" s="9" t="s">
        <v>3278</v>
      </c>
      <c r="AB134" s="9">
        <v>0</v>
      </c>
      <c r="AC134" s="32" t="s">
        <v>149</v>
      </c>
      <c r="AD134" s="9">
        <v>0.5</v>
      </c>
      <c r="AE134" s="9" t="s">
        <v>3279</v>
      </c>
      <c r="AF134" s="9" t="s">
        <v>36</v>
      </c>
      <c r="AG134" s="11"/>
      <c r="AH134" s="11" t="s">
        <v>3280</v>
      </c>
      <c r="AI134" s="11">
        <v>1</v>
      </c>
      <c r="AJ134" s="11">
        <v>1</v>
      </c>
      <c r="AK134" s="11" t="s">
        <v>151</v>
      </c>
      <c r="AL134" s="11">
        <v>0.5</v>
      </c>
      <c r="AM134" s="11" t="s">
        <v>3281</v>
      </c>
      <c r="AN134" s="11" t="s">
        <v>36</v>
      </c>
      <c r="AO134" s="6"/>
      <c r="AP134" s="6" t="s">
        <v>3145</v>
      </c>
      <c r="AQ134" s="6">
        <v>0.5</v>
      </c>
      <c r="AR134" s="6">
        <v>0.5</v>
      </c>
      <c r="AS134" s="6" t="s">
        <v>3282</v>
      </c>
      <c r="AT134" s="6" t="s">
        <v>3283</v>
      </c>
      <c r="AU134" s="6">
        <v>0</v>
      </c>
      <c r="AV134" s="7">
        <v>0</v>
      </c>
      <c r="AW134" s="6" t="s">
        <v>149</v>
      </c>
      <c r="AX134" s="6">
        <v>0.5</v>
      </c>
      <c r="AY134" s="6" t="s">
        <v>3284</v>
      </c>
      <c r="AZ134" s="6" t="s">
        <v>64</v>
      </c>
      <c r="BA134" s="9"/>
      <c r="BB134" s="9" t="s">
        <v>3285</v>
      </c>
      <c r="BC134" s="9">
        <v>1</v>
      </c>
      <c r="BD134" s="9">
        <v>0.5</v>
      </c>
      <c r="BE134" s="9" t="s">
        <v>151</v>
      </c>
      <c r="BF134" s="9">
        <v>1</v>
      </c>
      <c r="BG134" s="9" t="s">
        <v>3286</v>
      </c>
      <c r="BH134" s="9" t="s">
        <v>36</v>
      </c>
      <c r="BI134" s="8"/>
      <c r="BJ134" s="8" t="s">
        <v>3287</v>
      </c>
      <c r="BK134" s="8">
        <v>1</v>
      </c>
      <c r="BL134" s="8">
        <v>1</v>
      </c>
      <c r="BM134" s="8" t="s">
        <v>151</v>
      </c>
      <c r="BN134" s="8">
        <v>0</v>
      </c>
      <c r="BO134" s="8" t="s">
        <v>3288</v>
      </c>
      <c r="BP134" s="8" t="s">
        <v>36</v>
      </c>
      <c r="BQ134" s="11"/>
      <c r="BR134" s="11" t="s">
        <v>3289</v>
      </c>
      <c r="BS134" s="11">
        <v>1</v>
      </c>
      <c r="BT134" s="11">
        <v>0.5</v>
      </c>
      <c r="BU134" s="11" t="s">
        <v>3290</v>
      </c>
      <c r="BV134" s="11" t="s">
        <v>3291</v>
      </c>
      <c r="BW134" s="11">
        <v>1</v>
      </c>
      <c r="BX134" s="11" t="s">
        <v>151</v>
      </c>
      <c r="BY134" s="11">
        <v>0</v>
      </c>
      <c r="BZ134" s="11" t="s">
        <v>3292</v>
      </c>
      <c r="CA134" s="11" t="s">
        <v>67</v>
      </c>
      <c r="CB134" s="22"/>
    </row>
    <row r="135" spans="1:80" s="31" customFormat="1" ht="18" customHeight="1">
      <c r="A135">
        <v>10134</v>
      </c>
      <c r="B135" s="8"/>
      <c r="C135" s="8" t="s">
        <v>462</v>
      </c>
      <c r="D135" s="5">
        <v>1</v>
      </c>
      <c r="E135" s="5">
        <v>1</v>
      </c>
      <c r="F135" s="8" t="s">
        <v>3293</v>
      </c>
      <c r="G135" s="8"/>
      <c r="H135" s="8">
        <v>2</v>
      </c>
      <c r="I135" s="8" t="s">
        <v>3294</v>
      </c>
      <c r="J135" s="8" t="s">
        <v>42</v>
      </c>
      <c r="K135" s="6"/>
      <c r="L135" s="6" t="s">
        <v>465</v>
      </c>
      <c r="M135" s="6">
        <v>1</v>
      </c>
      <c r="N135" s="6">
        <v>1</v>
      </c>
      <c r="O135" s="6" t="s">
        <v>3295</v>
      </c>
      <c r="P135" s="6" t="s">
        <v>3296</v>
      </c>
      <c r="Q135" s="7">
        <v>3</v>
      </c>
      <c r="R135" s="6" t="s">
        <v>52</v>
      </c>
      <c r="S135" s="6">
        <v>0.5</v>
      </c>
      <c r="T135" s="6" t="s">
        <v>3294</v>
      </c>
      <c r="U135" s="6" t="s">
        <v>36</v>
      </c>
      <c r="V135" s="9"/>
      <c r="W135" s="9" t="s">
        <v>609</v>
      </c>
      <c r="X135" s="9">
        <v>1</v>
      </c>
      <c r="Y135" s="9">
        <v>1</v>
      </c>
      <c r="Z135" s="9" t="s">
        <v>3297</v>
      </c>
      <c r="AA135" s="9" t="s">
        <v>3298</v>
      </c>
      <c r="AB135" s="9">
        <v>3</v>
      </c>
      <c r="AC135" s="32" t="s">
        <v>92</v>
      </c>
      <c r="AD135" s="9">
        <v>0.5</v>
      </c>
      <c r="AE135" s="9" t="s">
        <v>3294</v>
      </c>
      <c r="AF135" s="9" t="s">
        <v>42</v>
      </c>
      <c r="AG135" s="11"/>
      <c r="AH135" s="11" t="s">
        <v>771</v>
      </c>
      <c r="AI135" s="11">
        <v>1</v>
      </c>
      <c r="AJ135" s="11">
        <v>1</v>
      </c>
      <c r="AK135" s="11" t="s">
        <v>3299</v>
      </c>
      <c r="AL135" s="11">
        <v>0.5</v>
      </c>
      <c r="AM135" s="11" t="s">
        <v>3294</v>
      </c>
      <c r="AN135" s="11" t="s">
        <v>42</v>
      </c>
      <c r="AO135" s="6"/>
      <c r="AP135" s="6" t="s">
        <v>3300</v>
      </c>
      <c r="AQ135" s="6">
        <v>1</v>
      </c>
      <c r="AR135" s="6">
        <v>1</v>
      </c>
      <c r="AS135" s="6" t="s">
        <v>3301</v>
      </c>
      <c r="AT135" s="6" t="s">
        <v>3302</v>
      </c>
      <c r="AU135" s="6">
        <v>3</v>
      </c>
      <c r="AV135" s="7">
        <v>0</v>
      </c>
      <c r="AW135" s="6" t="s">
        <v>62</v>
      </c>
      <c r="AX135" s="6">
        <v>0.5</v>
      </c>
      <c r="AY135" s="6" t="s">
        <v>3294</v>
      </c>
      <c r="AZ135" s="6" t="s">
        <v>42</v>
      </c>
      <c r="BA135" s="9"/>
      <c r="BB135" s="9" t="s">
        <v>3303</v>
      </c>
      <c r="BC135" s="9">
        <v>1</v>
      </c>
      <c r="BD135" s="9">
        <v>1</v>
      </c>
      <c r="BE135" s="9" t="s">
        <v>81</v>
      </c>
      <c r="BF135" s="9">
        <v>0.5</v>
      </c>
      <c r="BG135" s="9" t="s">
        <v>3294</v>
      </c>
      <c r="BH135" s="9"/>
      <c r="BI135" s="8"/>
      <c r="BJ135" s="8" t="s">
        <v>1009</v>
      </c>
      <c r="BK135" s="8">
        <v>1</v>
      </c>
      <c r="BL135" s="8">
        <v>1</v>
      </c>
      <c r="BM135" s="8" t="s">
        <v>3304</v>
      </c>
      <c r="BN135" s="8">
        <v>0.5</v>
      </c>
      <c r="BO135" s="8" t="s">
        <v>3294</v>
      </c>
      <c r="BP135" s="8"/>
      <c r="BQ135" s="11"/>
      <c r="BR135" s="11" t="s">
        <v>279</v>
      </c>
      <c r="BS135" s="11">
        <v>1</v>
      </c>
      <c r="BT135" s="11">
        <v>1</v>
      </c>
      <c r="BU135" s="11" t="s">
        <v>3305</v>
      </c>
      <c r="BV135" s="11" t="s">
        <v>3306</v>
      </c>
      <c r="BW135" s="11">
        <v>2</v>
      </c>
      <c r="BX135" s="11" t="s">
        <v>62</v>
      </c>
      <c r="BY135" s="11">
        <v>0</v>
      </c>
      <c r="BZ135" s="11" t="s">
        <v>3294</v>
      </c>
      <c r="CA135" s="11" t="s">
        <v>42</v>
      </c>
      <c r="CB135" s="22"/>
    </row>
    <row r="136" spans="1:80" s="31" customFormat="1" ht="18" customHeight="1">
      <c r="A136">
        <v>10135</v>
      </c>
      <c r="B136" s="8"/>
      <c r="C136" s="8" t="s">
        <v>228</v>
      </c>
      <c r="D136" s="5">
        <v>1</v>
      </c>
      <c r="E136" s="5">
        <v>1</v>
      </c>
      <c r="F136" s="8" t="s">
        <v>3307</v>
      </c>
      <c r="G136" s="8"/>
      <c r="H136" s="8">
        <v>3</v>
      </c>
      <c r="I136" s="8" t="s">
        <v>3308</v>
      </c>
      <c r="J136" s="8" t="s">
        <v>42</v>
      </c>
      <c r="K136" s="6"/>
      <c r="L136" s="6" t="s">
        <v>230</v>
      </c>
      <c r="M136" s="6">
        <v>1</v>
      </c>
      <c r="N136" s="6">
        <v>1</v>
      </c>
      <c r="O136" s="6" t="s">
        <v>3309</v>
      </c>
      <c r="P136" s="6" t="s">
        <v>3310</v>
      </c>
      <c r="Q136" s="7">
        <v>3</v>
      </c>
      <c r="R136" s="6" t="s">
        <v>153</v>
      </c>
      <c r="S136" s="6">
        <v>0.5</v>
      </c>
      <c r="T136" s="6" t="s">
        <v>3311</v>
      </c>
      <c r="U136" s="6" t="s">
        <v>43</v>
      </c>
      <c r="V136" s="9"/>
      <c r="W136" s="9" t="s">
        <v>565</v>
      </c>
      <c r="X136" s="9">
        <v>1</v>
      </c>
      <c r="Y136" s="9">
        <v>1</v>
      </c>
      <c r="Z136" s="9" t="s">
        <v>3312</v>
      </c>
      <c r="AA136" s="9" t="s">
        <v>3313</v>
      </c>
      <c r="AB136" s="9">
        <v>3</v>
      </c>
      <c r="AC136" s="32" t="s">
        <v>41</v>
      </c>
      <c r="AD136" s="9">
        <v>0</v>
      </c>
      <c r="AE136" s="9" t="s">
        <v>3314</v>
      </c>
      <c r="AF136" s="9" t="s">
        <v>42</v>
      </c>
      <c r="AG136" s="11"/>
      <c r="AH136" s="11" t="s">
        <v>238</v>
      </c>
      <c r="AI136" s="11">
        <v>1</v>
      </c>
      <c r="AJ136" s="11">
        <v>1</v>
      </c>
      <c r="AK136" s="11" t="s">
        <v>116</v>
      </c>
      <c r="AL136" s="11">
        <v>0.5</v>
      </c>
      <c r="AM136" s="11" t="s">
        <v>3315</v>
      </c>
      <c r="AN136" s="11" t="s">
        <v>43</v>
      </c>
      <c r="AO136" s="6"/>
      <c r="AP136" s="6" t="s">
        <v>450</v>
      </c>
      <c r="AQ136" s="6">
        <v>1</v>
      </c>
      <c r="AR136" s="6">
        <v>1</v>
      </c>
      <c r="AS136" s="6" t="s">
        <v>3316</v>
      </c>
      <c r="AT136" s="6" t="s">
        <v>3317</v>
      </c>
      <c r="AU136" s="6">
        <v>3</v>
      </c>
      <c r="AV136" s="7">
        <v>3</v>
      </c>
      <c r="AW136" s="6" t="s">
        <v>41</v>
      </c>
      <c r="AX136" s="6">
        <v>0.5</v>
      </c>
      <c r="AY136" s="6" t="s">
        <v>3318</v>
      </c>
      <c r="AZ136" s="6" t="s">
        <v>42</v>
      </c>
      <c r="BA136" s="9"/>
      <c r="BB136" s="9" t="s">
        <v>573</v>
      </c>
      <c r="BC136" s="9">
        <v>1</v>
      </c>
      <c r="BD136" s="9">
        <v>1</v>
      </c>
      <c r="BE136" s="9" t="s">
        <v>202</v>
      </c>
      <c r="BF136" s="9">
        <v>0.5</v>
      </c>
      <c r="BG136" s="9" t="s">
        <v>3319</v>
      </c>
      <c r="BH136" s="9" t="s">
        <v>37</v>
      </c>
      <c r="BI136" s="8"/>
      <c r="BJ136" s="8" t="s">
        <v>3320</v>
      </c>
      <c r="BK136" s="8">
        <v>1</v>
      </c>
      <c r="BL136" s="8">
        <v>1</v>
      </c>
      <c r="BM136" s="8" t="s">
        <v>3321</v>
      </c>
      <c r="BN136" s="8">
        <v>0.5</v>
      </c>
      <c r="BO136" s="8" t="s">
        <v>3322</v>
      </c>
      <c r="BP136" s="8" t="s">
        <v>36</v>
      </c>
      <c r="BQ136" s="11"/>
      <c r="BR136" s="11" t="s">
        <v>383</v>
      </c>
      <c r="BS136" s="11">
        <v>1</v>
      </c>
      <c r="BT136" s="11">
        <v>1</v>
      </c>
      <c r="BU136" s="11" t="s">
        <v>3323</v>
      </c>
      <c r="BV136" s="11" t="s">
        <v>3324</v>
      </c>
      <c r="BW136" s="11">
        <v>2</v>
      </c>
      <c r="BX136" s="11" t="s">
        <v>41</v>
      </c>
      <c r="BY136" s="11">
        <v>0</v>
      </c>
      <c r="BZ136" s="11" t="s">
        <v>3325</v>
      </c>
      <c r="CA136" s="11" t="s">
        <v>67</v>
      </c>
      <c r="CB136" s="22"/>
    </row>
    <row r="137" spans="1:80" s="31" customFormat="1" ht="18" customHeight="1">
      <c r="A137">
        <v>10136</v>
      </c>
      <c r="B137" s="8"/>
      <c r="C137" s="8" t="s">
        <v>228</v>
      </c>
      <c r="D137" s="5">
        <v>1</v>
      </c>
      <c r="E137" s="5">
        <v>1</v>
      </c>
      <c r="F137" s="8" t="s">
        <v>3326</v>
      </c>
      <c r="G137" s="8"/>
      <c r="H137" s="8">
        <v>2</v>
      </c>
      <c r="I137" s="8" t="s">
        <v>3327</v>
      </c>
      <c r="J137" s="8" t="s">
        <v>42</v>
      </c>
      <c r="K137" s="6"/>
      <c r="L137" s="6" t="s">
        <v>230</v>
      </c>
      <c r="M137" s="6">
        <v>1</v>
      </c>
      <c r="N137" s="6">
        <v>1</v>
      </c>
      <c r="O137" s="6" t="s">
        <v>3328</v>
      </c>
      <c r="P137" s="6" t="s">
        <v>3329</v>
      </c>
      <c r="Q137" s="7">
        <v>3</v>
      </c>
      <c r="R137" s="6" t="s">
        <v>47</v>
      </c>
      <c r="S137" s="6">
        <v>0.5</v>
      </c>
      <c r="T137" s="6" t="s">
        <v>3330</v>
      </c>
      <c r="U137" s="6" t="s">
        <v>43</v>
      </c>
      <c r="V137" s="9"/>
      <c r="W137" s="9" t="s">
        <v>1231</v>
      </c>
      <c r="X137" s="9">
        <v>1</v>
      </c>
      <c r="Y137" s="9">
        <v>1</v>
      </c>
      <c r="Z137" s="9" t="s">
        <v>3331</v>
      </c>
      <c r="AA137" s="9" t="s">
        <v>3332</v>
      </c>
      <c r="AB137" s="9">
        <v>0</v>
      </c>
      <c r="AC137" s="32" t="s">
        <v>41</v>
      </c>
      <c r="AD137" s="9">
        <v>0</v>
      </c>
      <c r="AE137" s="9" t="s">
        <v>3333</v>
      </c>
      <c r="AF137" s="9" t="s">
        <v>42</v>
      </c>
      <c r="AG137" s="11"/>
      <c r="AH137" s="11" t="s">
        <v>238</v>
      </c>
      <c r="AI137" s="11">
        <v>1</v>
      </c>
      <c r="AJ137" s="11">
        <v>1</v>
      </c>
      <c r="AK137" s="11" t="s">
        <v>103</v>
      </c>
      <c r="AL137" s="11">
        <v>0.5</v>
      </c>
      <c r="AM137" s="11" t="s">
        <v>3334</v>
      </c>
      <c r="AN137" s="11" t="s">
        <v>67</v>
      </c>
      <c r="AO137" s="6"/>
      <c r="AP137" s="6" t="s">
        <v>320</v>
      </c>
      <c r="AQ137" s="6">
        <v>1</v>
      </c>
      <c r="AR137" s="6">
        <v>1</v>
      </c>
      <c r="AS137" s="6" t="s">
        <v>3335</v>
      </c>
      <c r="AT137" s="6" t="s">
        <v>3336</v>
      </c>
      <c r="AU137" s="6">
        <v>3</v>
      </c>
      <c r="AV137" s="7">
        <v>3</v>
      </c>
      <c r="AW137" s="6" t="s">
        <v>158</v>
      </c>
      <c r="AX137" s="6">
        <v>0.5</v>
      </c>
      <c r="AY137" s="6" t="s">
        <v>3337</v>
      </c>
      <c r="AZ137" s="6" t="s">
        <v>67</v>
      </c>
      <c r="BA137" s="9"/>
      <c r="BB137" s="9" t="s">
        <v>3338</v>
      </c>
      <c r="BC137" s="9">
        <v>1</v>
      </c>
      <c r="BD137" s="9">
        <v>1</v>
      </c>
      <c r="BE137" s="9" t="s">
        <v>78</v>
      </c>
      <c r="BF137" s="9">
        <v>0.5</v>
      </c>
      <c r="BG137" s="9" t="s">
        <v>3339</v>
      </c>
      <c r="BH137" s="9" t="s">
        <v>67</v>
      </c>
      <c r="BI137" s="8"/>
      <c r="BJ137" s="8" t="s">
        <v>248</v>
      </c>
      <c r="BK137" s="8">
        <v>1</v>
      </c>
      <c r="BL137" s="8">
        <v>1</v>
      </c>
      <c r="BM137" s="8" t="s">
        <v>3340</v>
      </c>
      <c r="BN137" s="8">
        <v>0.5</v>
      </c>
      <c r="BO137" s="8" t="s">
        <v>3341</v>
      </c>
      <c r="BP137" s="8" t="s">
        <v>67</v>
      </c>
      <c r="BQ137" s="11"/>
      <c r="BR137" s="11" t="s">
        <v>331</v>
      </c>
      <c r="BS137" s="11">
        <v>1</v>
      </c>
      <c r="BT137" s="11">
        <v>1</v>
      </c>
      <c r="BU137" s="11" t="s">
        <v>3342</v>
      </c>
      <c r="BV137" s="11" t="s">
        <v>3343</v>
      </c>
      <c r="BW137" s="11">
        <v>1</v>
      </c>
      <c r="BX137" s="11" t="s">
        <v>41</v>
      </c>
      <c r="BY137" s="11">
        <v>0</v>
      </c>
      <c r="BZ137" s="11" t="s">
        <v>3344</v>
      </c>
      <c r="CA137" s="11" t="s">
        <v>64</v>
      </c>
      <c r="CB137" s="22"/>
    </row>
    <row r="138" spans="1:80" s="31" customFormat="1" ht="18" customHeight="1">
      <c r="A138">
        <v>10137</v>
      </c>
      <c r="B138" s="8"/>
      <c r="C138" s="8" t="s">
        <v>3345</v>
      </c>
      <c r="D138" s="5">
        <v>1</v>
      </c>
      <c r="E138" s="5">
        <v>1</v>
      </c>
      <c r="F138" s="8" t="s">
        <v>3346</v>
      </c>
      <c r="G138" s="8"/>
      <c r="H138" s="8">
        <v>3</v>
      </c>
      <c r="I138" s="8" t="s">
        <v>3347</v>
      </c>
      <c r="J138" s="8" t="s">
        <v>42</v>
      </c>
      <c r="K138" s="6"/>
      <c r="L138" s="6" t="s">
        <v>2349</v>
      </c>
      <c r="M138" s="6">
        <v>1</v>
      </c>
      <c r="N138" s="6">
        <v>1</v>
      </c>
      <c r="O138" s="6" t="s">
        <v>3348</v>
      </c>
      <c r="P138" s="6" t="s">
        <v>3349</v>
      </c>
      <c r="Q138" s="7">
        <v>3</v>
      </c>
      <c r="R138" s="6" t="s">
        <v>3350</v>
      </c>
      <c r="S138" s="6">
        <v>1</v>
      </c>
      <c r="T138" s="6" t="s">
        <v>3351</v>
      </c>
      <c r="U138" s="6" t="s">
        <v>42</v>
      </c>
      <c r="V138" s="9"/>
      <c r="W138" s="9" t="s">
        <v>1747</v>
      </c>
      <c r="X138" s="9">
        <v>1</v>
      </c>
      <c r="Y138" s="9">
        <v>0</v>
      </c>
      <c r="Z138" s="9" t="s">
        <v>3352</v>
      </c>
      <c r="AA138" s="9" t="s">
        <v>3353</v>
      </c>
      <c r="AB138" s="9">
        <v>0</v>
      </c>
      <c r="AC138" s="32" t="s">
        <v>3354</v>
      </c>
      <c r="AD138" s="9">
        <v>0.5</v>
      </c>
      <c r="AE138" s="9" t="s">
        <v>3355</v>
      </c>
      <c r="AF138" s="9" t="s">
        <v>64</v>
      </c>
      <c r="AG138" s="11"/>
      <c r="AH138" s="11" t="s">
        <v>3356</v>
      </c>
      <c r="AI138" s="11">
        <v>1</v>
      </c>
      <c r="AJ138" s="11">
        <v>1</v>
      </c>
      <c r="AK138" s="11" t="s">
        <v>184</v>
      </c>
      <c r="AL138" s="11">
        <v>0.5</v>
      </c>
      <c r="AM138" s="11" t="s">
        <v>3357</v>
      </c>
      <c r="AN138" s="11" t="s">
        <v>67</v>
      </c>
      <c r="AO138" s="6"/>
      <c r="AP138" s="6" t="s">
        <v>2108</v>
      </c>
      <c r="AQ138" s="6">
        <v>1</v>
      </c>
      <c r="AR138" s="6">
        <v>0.5</v>
      </c>
      <c r="AS138" s="6" t="s">
        <v>3358</v>
      </c>
      <c r="AT138" s="6" t="s">
        <v>3359</v>
      </c>
      <c r="AU138" s="6">
        <v>0</v>
      </c>
      <c r="AV138" s="7">
        <v>3</v>
      </c>
      <c r="AW138" s="6" t="s">
        <v>3360</v>
      </c>
      <c r="AX138" s="6">
        <v>1</v>
      </c>
      <c r="AY138" s="6" t="s">
        <v>3361</v>
      </c>
      <c r="AZ138" s="6" t="s">
        <v>42</v>
      </c>
      <c r="BA138" s="9"/>
      <c r="BB138" s="9" t="s">
        <v>3362</v>
      </c>
      <c r="BC138" s="9">
        <v>1</v>
      </c>
      <c r="BD138" s="9">
        <v>0.5</v>
      </c>
      <c r="BE138" s="9" t="s">
        <v>176</v>
      </c>
      <c r="BF138" s="9">
        <v>0.5</v>
      </c>
      <c r="BG138" s="9" t="s">
        <v>3363</v>
      </c>
      <c r="BH138" s="9" t="s">
        <v>37</v>
      </c>
      <c r="BI138" s="8"/>
      <c r="BJ138" s="8" t="s">
        <v>3364</v>
      </c>
      <c r="BK138" s="8">
        <v>1</v>
      </c>
      <c r="BL138" s="8">
        <v>0.5</v>
      </c>
      <c r="BM138" s="8" t="s">
        <v>3365</v>
      </c>
      <c r="BN138" s="8">
        <v>0.5</v>
      </c>
      <c r="BO138" s="8" t="s">
        <v>3366</v>
      </c>
      <c r="BP138" s="8"/>
      <c r="BQ138" s="11"/>
      <c r="BR138" s="11" t="s">
        <v>3367</v>
      </c>
      <c r="BS138" s="11">
        <v>1</v>
      </c>
      <c r="BT138" s="11">
        <v>0.5</v>
      </c>
      <c r="BU138" s="11" t="s">
        <v>3368</v>
      </c>
      <c r="BV138" s="11" t="s">
        <v>3369</v>
      </c>
      <c r="BW138" s="11">
        <v>2</v>
      </c>
      <c r="BX138" s="11" t="s">
        <v>3370</v>
      </c>
      <c r="BY138" s="11">
        <v>0.5</v>
      </c>
      <c r="BZ138" s="11" t="s">
        <v>3371</v>
      </c>
      <c r="CA138" s="11" t="s">
        <v>36</v>
      </c>
      <c r="CB138" s="22"/>
    </row>
    <row r="139" spans="1:80" s="31" customFormat="1" ht="18" customHeight="1">
      <c r="A139">
        <v>10138</v>
      </c>
      <c r="B139" s="8"/>
      <c r="C139" s="8" t="s">
        <v>3372</v>
      </c>
      <c r="D139" s="5">
        <v>1</v>
      </c>
      <c r="E139" s="5">
        <v>1</v>
      </c>
      <c r="F139" s="8" t="s">
        <v>3373</v>
      </c>
      <c r="G139" s="8"/>
      <c r="H139" s="8">
        <v>2</v>
      </c>
      <c r="I139" s="8" t="s">
        <v>3374</v>
      </c>
      <c r="J139" s="8" t="s">
        <v>35</v>
      </c>
      <c r="K139" s="6"/>
      <c r="L139" s="6" t="s">
        <v>3375</v>
      </c>
      <c r="M139" s="6">
        <v>1</v>
      </c>
      <c r="N139" s="6">
        <v>1</v>
      </c>
      <c r="O139" s="6" t="s">
        <v>3376</v>
      </c>
      <c r="P139" s="6" t="s">
        <v>3377</v>
      </c>
      <c r="Q139" s="7">
        <v>0</v>
      </c>
      <c r="R139" s="6" t="s">
        <v>3378</v>
      </c>
      <c r="S139" s="6">
        <v>0.5</v>
      </c>
      <c r="T139" s="6" t="s">
        <v>3374</v>
      </c>
      <c r="U139" s="6" t="s">
        <v>35</v>
      </c>
      <c r="V139" s="9"/>
      <c r="W139" s="9" t="s">
        <v>1747</v>
      </c>
      <c r="X139" s="9">
        <v>1</v>
      </c>
      <c r="Y139" s="9">
        <v>0</v>
      </c>
      <c r="Z139" s="9" t="s">
        <v>3379</v>
      </c>
      <c r="AA139" s="9" t="s">
        <v>3380</v>
      </c>
      <c r="AB139" s="9">
        <v>1</v>
      </c>
      <c r="AC139" s="32" t="s">
        <v>3381</v>
      </c>
      <c r="AD139" s="9">
        <v>0.5</v>
      </c>
      <c r="AE139" s="9" t="s">
        <v>3374</v>
      </c>
      <c r="AF139" s="9" t="s">
        <v>35</v>
      </c>
      <c r="AG139" s="11"/>
      <c r="AH139" s="11" t="s">
        <v>3382</v>
      </c>
      <c r="AI139" s="11">
        <v>1</v>
      </c>
      <c r="AJ139" s="11">
        <v>1</v>
      </c>
      <c r="AK139" s="11" t="s">
        <v>3383</v>
      </c>
      <c r="AL139" s="11">
        <v>0.5</v>
      </c>
      <c r="AM139" s="11" t="s">
        <v>3374</v>
      </c>
      <c r="AN139" s="11" t="s">
        <v>37</v>
      </c>
      <c r="AO139" s="6"/>
      <c r="AP139" s="6" t="s">
        <v>2108</v>
      </c>
      <c r="AQ139" s="6">
        <v>1</v>
      </c>
      <c r="AR139" s="6">
        <v>0.5</v>
      </c>
      <c r="AS139" s="6" t="s">
        <v>3384</v>
      </c>
      <c r="AT139" s="6" t="s">
        <v>3385</v>
      </c>
      <c r="AU139" s="6">
        <v>3</v>
      </c>
      <c r="AV139" s="7">
        <v>3</v>
      </c>
      <c r="AW139" s="6" t="s">
        <v>3386</v>
      </c>
      <c r="AX139" s="6">
        <v>0.5</v>
      </c>
      <c r="AY139" s="6" t="s">
        <v>3374</v>
      </c>
      <c r="AZ139" s="6" t="s">
        <v>37</v>
      </c>
      <c r="BA139" s="9"/>
      <c r="BB139" s="9" t="s">
        <v>3387</v>
      </c>
      <c r="BC139" s="9">
        <v>1</v>
      </c>
      <c r="BD139" s="9">
        <v>0</v>
      </c>
      <c r="BE139" s="9" t="s">
        <v>3388</v>
      </c>
      <c r="BF139" s="9">
        <v>0.5</v>
      </c>
      <c r="BG139" s="9" t="s">
        <v>3374</v>
      </c>
      <c r="BH139" s="9" t="s">
        <v>37</v>
      </c>
      <c r="BI139" s="8"/>
      <c r="BJ139" s="8" t="s">
        <v>3389</v>
      </c>
      <c r="BK139" s="8">
        <v>1</v>
      </c>
      <c r="BL139" s="8">
        <v>1</v>
      </c>
      <c r="BM139" s="8" t="s">
        <v>3390</v>
      </c>
      <c r="BN139" s="8">
        <v>0.5</v>
      </c>
      <c r="BO139" s="8" t="s">
        <v>3374</v>
      </c>
      <c r="BP139" s="8" t="s">
        <v>37</v>
      </c>
      <c r="BQ139" s="11"/>
      <c r="BR139" s="11" t="s">
        <v>3391</v>
      </c>
      <c r="BS139" s="11">
        <v>1</v>
      </c>
      <c r="BT139" s="11">
        <v>0.5</v>
      </c>
      <c r="BU139" s="11" t="s">
        <v>97</v>
      </c>
      <c r="BV139" s="11" t="s">
        <v>97</v>
      </c>
      <c r="BW139" s="11">
        <v>1</v>
      </c>
      <c r="BX139" s="11" t="s">
        <v>203</v>
      </c>
      <c r="BY139" s="11">
        <v>0.5</v>
      </c>
      <c r="BZ139" s="11" t="s">
        <v>3374</v>
      </c>
      <c r="CA139" s="11" t="s">
        <v>37</v>
      </c>
      <c r="CB139" s="22"/>
    </row>
    <row r="140" spans="1:80" s="31" customFormat="1" ht="18" customHeight="1">
      <c r="A140">
        <v>10139</v>
      </c>
      <c r="B140" s="8"/>
      <c r="C140" s="8" t="s">
        <v>3392</v>
      </c>
      <c r="D140" s="5">
        <v>1</v>
      </c>
      <c r="E140" s="5">
        <v>1</v>
      </c>
      <c r="F140" s="8" t="s">
        <v>3393</v>
      </c>
      <c r="G140" s="8"/>
      <c r="H140" s="8">
        <v>0</v>
      </c>
      <c r="I140" s="8" t="s">
        <v>3394</v>
      </c>
      <c r="J140" s="8" t="s">
        <v>35</v>
      </c>
      <c r="K140" s="6"/>
      <c r="L140" s="6" t="s">
        <v>3395</v>
      </c>
      <c r="M140" s="6">
        <v>1</v>
      </c>
      <c r="N140" s="6">
        <v>1</v>
      </c>
      <c r="O140" s="6" t="s">
        <v>3396</v>
      </c>
      <c r="P140" s="6" t="s">
        <v>3397</v>
      </c>
      <c r="Q140" s="7">
        <v>3</v>
      </c>
      <c r="R140" s="6" t="s">
        <v>3398</v>
      </c>
      <c r="S140" s="6">
        <v>1</v>
      </c>
      <c r="T140" s="6" t="s">
        <v>3399</v>
      </c>
      <c r="U140" s="6" t="s">
        <v>67</v>
      </c>
      <c r="V140" s="9"/>
      <c r="W140" s="9" t="s">
        <v>3400</v>
      </c>
      <c r="X140" s="9">
        <v>1</v>
      </c>
      <c r="Y140" s="9">
        <v>1</v>
      </c>
      <c r="Z140" s="9" t="s">
        <v>3401</v>
      </c>
      <c r="AA140" s="9" t="s">
        <v>3402</v>
      </c>
      <c r="AB140" s="9">
        <v>0</v>
      </c>
      <c r="AC140" s="32" t="s">
        <v>3403</v>
      </c>
      <c r="AD140" s="9">
        <v>1</v>
      </c>
      <c r="AE140" s="9" t="s">
        <v>3404</v>
      </c>
      <c r="AF140" s="9" t="s">
        <v>64</v>
      </c>
      <c r="AG140" s="11"/>
      <c r="AH140" s="11" t="s">
        <v>3405</v>
      </c>
      <c r="AI140" s="11">
        <v>1</v>
      </c>
      <c r="AJ140" s="11">
        <v>1</v>
      </c>
      <c r="AK140" s="11" t="s">
        <v>3406</v>
      </c>
      <c r="AL140" s="11">
        <v>0.5</v>
      </c>
      <c r="AM140" s="11" t="s">
        <v>3407</v>
      </c>
      <c r="AN140" s="11" t="s">
        <v>67</v>
      </c>
      <c r="AO140" s="6"/>
      <c r="AP140" s="6" t="s">
        <v>3408</v>
      </c>
      <c r="AQ140" s="6">
        <v>1</v>
      </c>
      <c r="AR140" s="6">
        <v>1</v>
      </c>
      <c r="AS140" s="6" t="s">
        <v>3409</v>
      </c>
      <c r="AT140" s="6" t="s">
        <v>3410</v>
      </c>
      <c r="AU140" s="6">
        <v>3</v>
      </c>
      <c r="AV140" s="7">
        <v>3</v>
      </c>
      <c r="AW140" s="6" t="s">
        <v>3411</v>
      </c>
      <c r="AX140" s="6">
        <v>0.5</v>
      </c>
      <c r="AY140" s="6" t="s">
        <v>3407</v>
      </c>
      <c r="AZ140" s="6" t="s">
        <v>67</v>
      </c>
      <c r="BA140" s="9"/>
      <c r="BB140" s="9" t="s">
        <v>3412</v>
      </c>
      <c r="BC140" s="9">
        <v>1</v>
      </c>
      <c r="BD140" s="9">
        <v>1</v>
      </c>
      <c r="BE140" s="9" t="s">
        <v>81</v>
      </c>
      <c r="BF140" s="9">
        <v>0.5</v>
      </c>
      <c r="BG140" s="9" t="s">
        <v>3413</v>
      </c>
      <c r="BH140" s="9" t="s">
        <v>64</v>
      </c>
      <c r="BI140" s="8"/>
      <c r="BJ140" s="8" t="s">
        <v>3414</v>
      </c>
      <c r="BK140" s="8">
        <v>1</v>
      </c>
      <c r="BL140" s="8">
        <v>1</v>
      </c>
      <c r="BM140" s="8" t="s">
        <v>53</v>
      </c>
      <c r="BN140" s="8">
        <v>0.5</v>
      </c>
      <c r="BO140" s="8" t="s">
        <v>3407</v>
      </c>
      <c r="BP140" s="8" t="s">
        <v>67</v>
      </c>
      <c r="BQ140" s="11"/>
      <c r="BR140" s="11" t="s">
        <v>3415</v>
      </c>
      <c r="BS140" s="11">
        <v>1</v>
      </c>
      <c r="BT140" s="11">
        <v>1</v>
      </c>
      <c r="BU140" s="11" t="s">
        <v>3416</v>
      </c>
      <c r="BV140" s="11" t="s">
        <v>3417</v>
      </c>
      <c r="BW140" s="11">
        <v>0</v>
      </c>
      <c r="BX140" s="11" t="s">
        <v>49</v>
      </c>
      <c r="BY140" s="11">
        <v>0.5</v>
      </c>
      <c r="BZ140" s="11" t="s">
        <v>3418</v>
      </c>
      <c r="CA140" s="11" t="s">
        <v>64</v>
      </c>
      <c r="CB140" s="22"/>
    </row>
    <row r="141" spans="1:80" s="31" customFormat="1" ht="18" customHeight="1">
      <c r="A141">
        <v>10140</v>
      </c>
      <c r="B141" s="8"/>
      <c r="C141" s="8" t="s">
        <v>3419</v>
      </c>
      <c r="D141" s="5">
        <v>1</v>
      </c>
      <c r="E141" s="5">
        <v>1</v>
      </c>
      <c r="F141" s="8" t="s">
        <v>3420</v>
      </c>
      <c r="G141" s="8"/>
      <c r="H141" s="8">
        <v>0</v>
      </c>
      <c r="I141" s="8" t="s">
        <v>3421</v>
      </c>
      <c r="J141" s="8" t="s">
        <v>42</v>
      </c>
      <c r="K141" s="6"/>
      <c r="L141" s="6" t="s">
        <v>3422</v>
      </c>
      <c r="M141" s="6">
        <v>1</v>
      </c>
      <c r="N141" s="6">
        <v>1</v>
      </c>
      <c r="O141" s="6" t="s">
        <v>3423</v>
      </c>
      <c r="P141" s="6" t="s">
        <v>3424</v>
      </c>
      <c r="Q141" s="7">
        <v>3</v>
      </c>
      <c r="R141" s="6" t="s">
        <v>153</v>
      </c>
      <c r="S141" s="6">
        <v>0.5</v>
      </c>
      <c r="T141" s="6" t="s">
        <v>3425</v>
      </c>
      <c r="U141" s="6" t="s">
        <v>42</v>
      </c>
      <c r="V141" s="9"/>
      <c r="W141" s="9" t="s">
        <v>263</v>
      </c>
      <c r="X141" s="9">
        <v>1</v>
      </c>
      <c r="Y141" s="9">
        <v>1</v>
      </c>
      <c r="Z141" s="9" t="s">
        <v>3426</v>
      </c>
      <c r="AA141" s="9" t="s">
        <v>3427</v>
      </c>
      <c r="AB141" s="9">
        <v>3</v>
      </c>
      <c r="AC141" s="32" t="s">
        <v>3428</v>
      </c>
      <c r="AD141" s="9">
        <v>0.5</v>
      </c>
      <c r="AE141" s="9" t="s">
        <v>3429</v>
      </c>
      <c r="AF141" s="9" t="s">
        <v>43</v>
      </c>
      <c r="AG141" s="11"/>
      <c r="AH141" s="11" t="s">
        <v>238</v>
      </c>
      <c r="AI141" s="11">
        <v>1</v>
      </c>
      <c r="AJ141" s="11">
        <v>1</v>
      </c>
      <c r="AK141" s="11" t="s">
        <v>146</v>
      </c>
      <c r="AL141" s="11">
        <v>0.5</v>
      </c>
      <c r="AM141" s="11" t="s">
        <v>1059</v>
      </c>
      <c r="AN141" s="11" t="s">
        <v>43</v>
      </c>
      <c r="AO141" s="6"/>
      <c r="AP141" s="6" t="s">
        <v>352</v>
      </c>
      <c r="AQ141" s="6">
        <v>0.5</v>
      </c>
      <c r="AR141" s="6">
        <v>0.5</v>
      </c>
      <c r="AS141" s="6" t="s">
        <v>3430</v>
      </c>
      <c r="AT141" s="6" t="s">
        <v>3431</v>
      </c>
      <c r="AU141" s="6">
        <v>3</v>
      </c>
      <c r="AV141" s="7">
        <v>3</v>
      </c>
      <c r="AW141" s="6" t="s">
        <v>38</v>
      </c>
      <c r="AX141" s="6">
        <v>0.5</v>
      </c>
      <c r="AY141" s="6" t="s">
        <v>3432</v>
      </c>
      <c r="AZ141" s="6" t="s">
        <v>67</v>
      </c>
      <c r="BA141" s="9"/>
      <c r="BB141" s="9" t="s">
        <v>3433</v>
      </c>
      <c r="BC141" s="9">
        <v>1</v>
      </c>
      <c r="BD141" s="9">
        <v>0.5</v>
      </c>
      <c r="BE141" s="9" t="s">
        <v>3434</v>
      </c>
      <c r="BF141" s="9">
        <v>0.5</v>
      </c>
      <c r="BG141" s="9" t="s">
        <v>3435</v>
      </c>
      <c r="BH141" s="9" t="s">
        <v>64</v>
      </c>
      <c r="BI141" s="8"/>
      <c r="BJ141" s="8" t="s">
        <v>3436</v>
      </c>
      <c r="BK141" s="8">
        <v>1</v>
      </c>
      <c r="BL141" s="8">
        <v>1</v>
      </c>
      <c r="BM141" s="8" t="s">
        <v>3437</v>
      </c>
      <c r="BN141" s="8">
        <v>0.5</v>
      </c>
      <c r="BO141" s="8" t="s">
        <v>118</v>
      </c>
      <c r="BP141" s="8" t="s">
        <v>37</v>
      </c>
      <c r="BQ141" s="11"/>
      <c r="BR141" s="11" t="s">
        <v>3438</v>
      </c>
      <c r="BS141" s="11">
        <v>1</v>
      </c>
      <c r="BT141" s="11">
        <v>0.5</v>
      </c>
      <c r="BU141" s="11" t="s">
        <v>3439</v>
      </c>
      <c r="BV141" s="11" t="s">
        <v>3440</v>
      </c>
      <c r="BW141" s="11">
        <v>2</v>
      </c>
      <c r="BX141" s="11" t="s">
        <v>84</v>
      </c>
      <c r="BY141" s="11">
        <v>0</v>
      </c>
      <c r="BZ141" s="11" t="s">
        <v>3441</v>
      </c>
      <c r="CA141" s="11" t="s">
        <v>37</v>
      </c>
      <c r="CB141" s="22"/>
    </row>
    <row r="142" spans="1:80" s="31" customFormat="1" ht="18" customHeight="1">
      <c r="A142">
        <v>10141</v>
      </c>
      <c r="B142" s="8"/>
      <c r="C142" s="8" t="s">
        <v>3442</v>
      </c>
      <c r="D142" s="5">
        <v>1</v>
      </c>
      <c r="E142" s="5">
        <v>1</v>
      </c>
      <c r="F142" s="8" t="s">
        <v>3443</v>
      </c>
      <c r="G142" s="8"/>
      <c r="H142" s="8">
        <v>3</v>
      </c>
      <c r="I142" s="8" t="s">
        <v>3444</v>
      </c>
      <c r="J142" s="8" t="s">
        <v>67</v>
      </c>
      <c r="K142" s="6"/>
      <c r="L142" s="6" t="s">
        <v>3445</v>
      </c>
      <c r="M142" s="6">
        <v>1</v>
      </c>
      <c r="N142" s="6">
        <v>1</v>
      </c>
      <c r="O142" s="6" t="s">
        <v>3446</v>
      </c>
      <c r="P142" s="6" t="s">
        <v>3447</v>
      </c>
      <c r="Q142" s="7">
        <v>3</v>
      </c>
      <c r="R142" s="6" t="s">
        <v>3448</v>
      </c>
      <c r="S142" s="6">
        <v>0.5</v>
      </c>
      <c r="T142" s="6" t="s">
        <v>3449</v>
      </c>
      <c r="U142" s="6" t="s">
        <v>36</v>
      </c>
      <c r="V142" s="9"/>
      <c r="W142" s="9" t="s">
        <v>3450</v>
      </c>
      <c r="X142" s="9">
        <v>1</v>
      </c>
      <c r="Y142" s="9">
        <v>0.5</v>
      </c>
      <c r="Z142" s="9" t="s">
        <v>3451</v>
      </c>
      <c r="AA142" s="9" t="s">
        <v>3452</v>
      </c>
      <c r="AB142" s="9">
        <v>0</v>
      </c>
      <c r="AC142" s="32" t="s">
        <v>3453</v>
      </c>
      <c r="AD142" s="9">
        <v>0.5</v>
      </c>
      <c r="AE142" s="9" t="s">
        <v>186</v>
      </c>
      <c r="AF142" s="9" t="s">
        <v>64</v>
      </c>
      <c r="AG142" s="11"/>
      <c r="AH142" s="11" t="s">
        <v>3454</v>
      </c>
      <c r="AI142" s="11">
        <v>1</v>
      </c>
      <c r="AJ142" s="11">
        <v>1</v>
      </c>
      <c r="AK142" s="11" t="s">
        <v>3455</v>
      </c>
      <c r="AL142" s="11">
        <v>1</v>
      </c>
      <c r="AM142" s="11" t="s">
        <v>711</v>
      </c>
      <c r="AN142" s="11" t="s">
        <v>37</v>
      </c>
      <c r="AO142" s="6"/>
      <c r="AP142" s="6" t="s">
        <v>3456</v>
      </c>
      <c r="AQ142" s="6">
        <v>1</v>
      </c>
      <c r="AR142" s="6">
        <v>1</v>
      </c>
      <c r="AS142" s="6" t="s">
        <v>3457</v>
      </c>
      <c r="AT142" s="6" t="s">
        <v>3458</v>
      </c>
      <c r="AU142" s="6">
        <v>3</v>
      </c>
      <c r="AV142" s="7">
        <v>3</v>
      </c>
      <c r="AW142" s="6" t="s">
        <v>3459</v>
      </c>
      <c r="AX142" s="6">
        <v>0</v>
      </c>
      <c r="AY142" s="6" t="s">
        <v>3460</v>
      </c>
      <c r="AZ142" s="6" t="s">
        <v>67</v>
      </c>
      <c r="BA142" s="9"/>
      <c r="BB142" s="9" t="s">
        <v>3461</v>
      </c>
      <c r="BC142" s="9">
        <v>1</v>
      </c>
      <c r="BD142" s="9">
        <v>1</v>
      </c>
      <c r="BE142" s="9" t="s">
        <v>3462</v>
      </c>
      <c r="BF142" s="9">
        <v>1</v>
      </c>
      <c r="BG142" s="9" t="s">
        <v>3463</v>
      </c>
      <c r="BH142" s="9" t="s">
        <v>64</v>
      </c>
      <c r="BI142" s="8"/>
      <c r="BJ142" s="8" t="s">
        <v>3464</v>
      </c>
      <c r="BK142" s="8">
        <v>1</v>
      </c>
      <c r="BL142" s="8">
        <v>0.5</v>
      </c>
      <c r="BM142" s="8" t="s">
        <v>3465</v>
      </c>
      <c r="BN142" s="8">
        <v>0</v>
      </c>
      <c r="BO142" s="8" t="s">
        <v>3466</v>
      </c>
      <c r="BP142" s="8" t="s">
        <v>42</v>
      </c>
      <c r="BQ142" s="11"/>
      <c r="BR142" s="11" t="s">
        <v>3467</v>
      </c>
      <c r="BS142" s="11">
        <v>1</v>
      </c>
      <c r="BT142" s="11">
        <v>0.5</v>
      </c>
      <c r="BU142" s="11" t="s">
        <v>3468</v>
      </c>
      <c r="BV142" s="11" t="s">
        <v>3469</v>
      </c>
      <c r="BW142" s="11">
        <v>0</v>
      </c>
      <c r="BX142" s="11" t="s">
        <v>3470</v>
      </c>
      <c r="BY142" s="11">
        <v>0</v>
      </c>
      <c r="BZ142" s="11" t="s">
        <v>3471</v>
      </c>
      <c r="CA142" s="11" t="s">
        <v>42</v>
      </c>
      <c r="CB142" s="22"/>
    </row>
    <row r="143" spans="1:80" s="31" customFormat="1" ht="18" customHeight="1">
      <c r="A143">
        <v>10142</v>
      </c>
      <c r="B143" s="8"/>
      <c r="C143" s="8" t="s">
        <v>2182</v>
      </c>
      <c r="D143" s="5">
        <v>1</v>
      </c>
      <c r="E143" s="5">
        <v>1</v>
      </c>
      <c r="F143" s="8" t="s">
        <v>3472</v>
      </c>
      <c r="G143" s="8"/>
      <c r="H143" s="8">
        <v>0</v>
      </c>
      <c r="I143" s="8" t="s">
        <v>3473</v>
      </c>
      <c r="J143" s="8" t="s">
        <v>64</v>
      </c>
      <c r="K143" s="6"/>
      <c r="L143" s="6" t="s">
        <v>230</v>
      </c>
      <c r="M143" s="6">
        <v>1</v>
      </c>
      <c r="N143" s="6">
        <v>1</v>
      </c>
      <c r="O143" s="6" t="s">
        <v>3474</v>
      </c>
      <c r="P143" s="6" t="s">
        <v>3475</v>
      </c>
      <c r="Q143" s="7">
        <v>3</v>
      </c>
      <c r="R143" s="6" t="s">
        <v>608</v>
      </c>
      <c r="S143" s="6">
        <v>0.5</v>
      </c>
      <c r="T143" s="6" t="s">
        <v>3476</v>
      </c>
      <c r="U143" s="6" t="s">
        <v>43</v>
      </c>
      <c r="V143" s="9"/>
      <c r="W143" s="9" t="s">
        <v>565</v>
      </c>
      <c r="X143" s="9">
        <v>1</v>
      </c>
      <c r="Y143" s="9">
        <v>1</v>
      </c>
      <c r="Z143" s="9" t="s">
        <v>3477</v>
      </c>
      <c r="AA143" s="9" t="s">
        <v>3478</v>
      </c>
      <c r="AB143" s="9">
        <v>1</v>
      </c>
      <c r="AC143" s="32" t="s">
        <v>3479</v>
      </c>
      <c r="AD143" s="9">
        <v>0.5</v>
      </c>
      <c r="AE143" s="9" t="s">
        <v>3480</v>
      </c>
      <c r="AF143" s="9" t="s">
        <v>42</v>
      </c>
      <c r="AG143" s="11"/>
      <c r="AH143" s="11" t="s">
        <v>612</v>
      </c>
      <c r="AI143" s="11">
        <v>1</v>
      </c>
      <c r="AJ143" s="11">
        <v>1</v>
      </c>
      <c r="AK143" s="11" t="s">
        <v>79</v>
      </c>
      <c r="AL143" s="11">
        <v>0.5</v>
      </c>
      <c r="AM143" s="11" t="s">
        <v>3481</v>
      </c>
      <c r="AN143" s="11" t="s">
        <v>67</v>
      </c>
      <c r="AO143" s="6"/>
      <c r="AP143" s="6" t="s">
        <v>3482</v>
      </c>
      <c r="AQ143" s="6">
        <v>1</v>
      </c>
      <c r="AR143" s="6">
        <v>1</v>
      </c>
      <c r="AS143" s="6" t="s">
        <v>3483</v>
      </c>
      <c r="AT143" s="6" t="s">
        <v>3484</v>
      </c>
      <c r="AU143" s="6">
        <v>0</v>
      </c>
      <c r="AV143" s="7">
        <v>3</v>
      </c>
      <c r="AW143" s="6" t="s">
        <v>117</v>
      </c>
      <c r="AX143" s="6">
        <v>0.5</v>
      </c>
      <c r="AY143" s="6" t="s">
        <v>3485</v>
      </c>
      <c r="AZ143" s="6" t="s">
        <v>67</v>
      </c>
      <c r="BA143" s="9"/>
      <c r="BB143" s="9" t="s">
        <v>3486</v>
      </c>
      <c r="BC143" s="9">
        <v>1</v>
      </c>
      <c r="BD143" s="9">
        <v>1</v>
      </c>
      <c r="BE143" s="9" t="s">
        <v>61</v>
      </c>
      <c r="BF143" s="9">
        <v>0.5</v>
      </c>
      <c r="BG143" s="9" t="s">
        <v>3487</v>
      </c>
      <c r="BH143" s="9" t="s">
        <v>67</v>
      </c>
      <c r="BI143" s="8"/>
      <c r="BJ143" s="8" t="s">
        <v>248</v>
      </c>
      <c r="BK143" s="8">
        <v>1</v>
      </c>
      <c r="BL143" s="8">
        <v>1</v>
      </c>
      <c r="BM143" s="8" t="s">
        <v>3488</v>
      </c>
      <c r="BN143" s="8">
        <v>0.5</v>
      </c>
      <c r="BO143" s="8" t="s">
        <v>3489</v>
      </c>
      <c r="BP143" s="8" t="s">
        <v>99</v>
      </c>
      <c r="BQ143" s="11"/>
      <c r="BR143" s="11" t="s">
        <v>3490</v>
      </c>
      <c r="BS143" s="11">
        <v>1</v>
      </c>
      <c r="BT143" s="11">
        <v>1</v>
      </c>
      <c r="BU143" s="11" t="s">
        <v>3491</v>
      </c>
      <c r="BV143" s="11" t="s">
        <v>3492</v>
      </c>
      <c r="BW143" s="11">
        <v>2</v>
      </c>
      <c r="BX143" s="11" t="s">
        <v>70</v>
      </c>
      <c r="BY143" s="11">
        <v>0</v>
      </c>
      <c r="BZ143" s="11" t="s">
        <v>3493</v>
      </c>
      <c r="CA143" s="11" t="s">
        <v>67</v>
      </c>
      <c r="CB143" s="22"/>
    </row>
    <row r="144" spans="1:80" s="31" customFormat="1" ht="18" customHeight="1">
      <c r="A144">
        <v>10143</v>
      </c>
      <c r="B144" s="8"/>
      <c r="C144" s="8" t="s">
        <v>228</v>
      </c>
      <c r="D144" s="5">
        <v>1</v>
      </c>
      <c r="E144" s="5">
        <v>1</v>
      </c>
      <c r="F144" s="8" t="s">
        <v>3494</v>
      </c>
      <c r="G144" s="8"/>
      <c r="H144" s="8">
        <v>3</v>
      </c>
      <c r="I144" s="8" t="s">
        <v>3495</v>
      </c>
      <c r="J144" s="8" t="s">
        <v>64</v>
      </c>
      <c r="K144" s="6"/>
      <c r="L144" s="6" t="s">
        <v>230</v>
      </c>
      <c r="M144" s="6">
        <v>1</v>
      </c>
      <c r="N144" s="6">
        <v>1</v>
      </c>
      <c r="O144" s="6" t="s">
        <v>3496</v>
      </c>
      <c r="P144" s="6" t="s">
        <v>3497</v>
      </c>
      <c r="Q144" s="7">
        <v>2</v>
      </c>
      <c r="R144" s="6" t="s">
        <v>1563</v>
      </c>
      <c r="S144" s="6">
        <v>0</v>
      </c>
      <c r="T144" s="6" t="s">
        <v>3498</v>
      </c>
      <c r="U144" s="6" t="s">
        <v>64</v>
      </c>
      <c r="V144" s="9"/>
      <c r="W144" s="9" t="s">
        <v>313</v>
      </c>
      <c r="X144" s="9">
        <v>1</v>
      </c>
      <c r="Y144" s="9">
        <v>1</v>
      </c>
      <c r="Z144" s="9" t="s">
        <v>3499</v>
      </c>
      <c r="AA144" s="9" t="s">
        <v>3500</v>
      </c>
      <c r="AB144" s="9">
        <v>0</v>
      </c>
      <c r="AC144" s="32" t="s">
        <v>3501</v>
      </c>
      <c r="AD144" s="9">
        <v>0</v>
      </c>
      <c r="AE144" s="9" t="s">
        <v>3502</v>
      </c>
      <c r="AF144" s="9" t="s">
        <v>37</v>
      </c>
      <c r="AG144" s="11"/>
      <c r="AH144" s="11" t="s">
        <v>2150</v>
      </c>
      <c r="AI144" s="11">
        <v>1</v>
      </c>
      <c r="AJ144" s="11">
        <v>1</v>
      </c>
      <c r="AK144" s="11" t="s">
        <v>3503</v>
      </c>
      <c r="AL144" s="11">
        <v>0.5</v>
      </c>
      <c r="AM144" s="11" t="s">
        <v>3504</v>
      </c>
      <c r="AN144" s="11"/>
      <c r="AO144" s="6"/>
      <c r="AP144" s="6" t="s">
        <v>591</v>
      </c>
      <c r="AQ144" s="6">
        <v>1</v>
      </c>
      <c r="AR144" s="6">
        <v>1</v>
      </c>
      <c r="AS144" s="6" t="s">
        <v>3505</v>
      </c>
      <c r="AT144" s="6" t="s">
        <v>3506</v>
      </c>
      <c r="AU144" s="6">
        <v>0</v>
      </c>
      <c r="AV144" s="7">
        <v>0</v>
      </c>
      <c r="AW144" s="6" t="s">
        <v>3507</v>
      </c>
      <c r="AX144" s="6">
        <v>0.5</v>
      </c>
      <c r="AY144" s="6" t="s">
        <v>3508</v>
      </c>
      <c r="AZ144" s="6" t="s">
        <v>37</v>
      </c>
      <c r="BA144" s="9"/>
      <c r="BB144" s="9" t="s">
        <v>1380</v>
      </c>
      <c r="BC144" s="9">
        <v>1</v>
      </c>
      <c r="BD144" s="9">
        <v>1</v>
      </c>
      <c r="BE144" s="9" t="s">
        <v>2848</v>
      </c>
      <c r="BF144" s="9">
        <v>0.5</v>
      </c>
      <c r="BG144" s="9" t="s">
        <v>3509</v>
      </c>
      <c r="BH144" s="9" t="s">
        <v>36</v>
      </c>
      <c r="BI144" s="8"/>
      <c r="BJ144" s="8" t="s">
        <v>248</v>
      </c>
      <c r="BK144" s="8">
        <v>1</v>
      </c>
      <c r="BL144" s="8">
        <v>1</v>
      </c>
      <c r="BM144" s="8" t="s">
        <v>862</v>
      </c>
      <c r="BN144" s="8">
        <v>0</v>
      </c>
      <c r="BO144" s="8" t="s">
        <v>3510</v>
      </c>
      <c r="BP144" s="8" t="s">
        <v>37</v>
      </c>
      <c r="BQ144" s="11"/>
      <c r="BR144" s="11" t="s">
        <v>3511</v>
      </c>
      <c r="BS144" s="11">
        <v>0</v>
      </c>
      <c r="BT144" s="11">
        <v>0</v>
      </c>
      <c r="BU144" s="11" t="s">
        <v>3512</v>
      </c>
      <c r="BV144" s="11" t="s">
        <v>3513</v>
      </c>
      <c r="BW144" s="11">
        <v>0</v>
      </c>
      <c r="BX144" s="11" t="s">
        <v>3511</v>
      </c>
      <c r="BY144" s="11">
        <v>0</v>
      </c>
      <c r="BZ144" s="11" t="s">
        <v>3514</v>
      </c>
      <c r="CA144" s="11" t="s">
        <v>37</v>
      </c>
      <c r="CB144" s="22"/>
    </row>
    <row r="145" spans="1:80" s="31" customFormat="1" ht="18" customHeight="1">
      <c r="A145">
        <v>10144</v>
      </c>
      <c r="B145" s="8"/>
      <c r="C145" s="8" t="s">
        <v>255</v>
      </c>
      <c r="D145" s="5">
        <v>1</v>
      </c>
      <c r="E145" s="5">
        <v>1</v>
      </c>
      <c r="F145" s="8" t="s">
        <v>100</v>
      </c>
      <c r="G145" s="8"/>
      <c r="H145" s="8">
        <v>0</v>
      </c>
      <c r="I145" s="8" t="s">
        <v>3515</v>
      </c>
      <c r="J145" s="8" t="s">
        <v>64</v>
      </c>
      <c r="K145" s="6"/>
      <c r="L145" s="6" t="s">
        <v>3516</v>
      </c>
      <c r="M145" s="6">
        <v>1</v>
      </c>
      <c r="N145" s="6">
        <v>1</v>
      </c>
      <c r="O145" s="6" t="s">
        <v>3517</v>
      </c>
      <c r="P145" s="6" t="s">
        <v>48</v>
      </c>
      <c r="Q145" s="7">
        <v>3</v>
      </c>
      <c r="R145" s="6" t="s">
        <v>62</v>
      </c>
      <c r="S145" s="6">
        <v>1</v>
      </c>
      <c r="T145" s="6" t="s">
        <v>3518</v>
      </c>
      <c r="U145" s="6" t="s">
        <v>42</v>
      </c>
      <c r="V145" s="9"/>
      <c r="W145" s="9" t="s">
        <v>565</v>
      </c>
      <c r="X145" s="9">
        <v>1</v>
      </c>
      <c r="Y145" s="9">
        <v>1</v>
      </c>
      <c r="Z145" s="9" t="s">
        <v>3519</v>
      </c>
      <c r="AA145" s="9" t="s">
        <v>3520</v>
      </c>
      <c r="AB145" s="9">
        <v>1</v>
      </c>
      <c r="AC145" s="32" t="s">
        <v>68</v>
      </c>
      <c r="AD145" s="9">
        <v>0.5</v>
      </c>
      <c r="AE145" s="9" t="s">
        <v>3521</v>
      </c>
      <c r="AF145" s="9" t="s">
        <v>64</v>
      </c>
      <c r="AG145" s="11"/>
      <c r="AH145" s="11" t="s">
        <v>238</v>
      </c>
      <c r="AI145" s="11">
        <v>1</v>
      </c>
      <c r="AJ145" s="11">
        <v>1</v>
      </c>
      <c r="AK145" s="11" t="s">
        <v>3522</v>
      </c>
      <c r="AL145" s="11">
        <v>1</v>
      </c>
      <c r="AM145" s="11" t="s">
        <v>3523</v>
      </c>
      <c r="AN145" s="11" t="s">
        <v>42</v>
      </c>
      <c r="AO145" s="6"/>
      <c r="AP145" s="6" t="s">
        <v>241</v>
      </c>
      <c r="AQ145" s="6">
        <v>1</v>
      </c>
      <c r="AR145" s="6">
        <v>1</v>
      </c>
      <c r="AS145" s="6" t="s">
        <v>3524</v>
      </c>
      <c r="AT145" s="6" t="s">
        <v>3525</v>
      </c>
      <c r="AU145" s="6">
        <v>3</v>
      </c>
      <c r="AV145" s="7">
        <v>3</v>
      </c>
      <c r="AW145" s="6" t="s">
        <v>62</v>
      </c>
      <c r="AX145" s="6">
        <v>0.5</v>
      </c>
      <c r="AY145" s="6" t="s">
        <v>3526</v>
      </c>
      <c r="AZ145" s="6" t="s">
        <v>37</v>
      </c>
      <c r="BA145" s="9"/>
      <c r="BB145" s="9" t="s">
        <v>1380</v>
      </c>
      <c r="BC145" s="9">
        <v>1</v>
      </c>
      <c r="BD145" s="9">
        <v>1</v>
      </c>
      <c r="BE145" s="9" t="s">
        <v>3527</v>
      </c>
      <c r="BF145" s="9">
        <v>1</v>
      </c>
      <c r="BG145" s="9" t="s">
        <v>45</v>
      </c>
      <c r="BH145" s="9" t="s">
        <v>64</v>
      </c>
      <c r="BI145" s="8"/>
      <c r="BJ145" s="8" t="s">
        <v>248</v>
      </c>
      <c r="BK145" s="8">
        <v>1</v>
      </c>
      <c r="BL145" s="8">
        <v>1</v>
      </c>
      <c r="BM145" s="8" t="s">
        <v>52</v>
      </c>
      <c r="BN145" s="8">
        <v>0</v>
      </c>
      <c r="BO145" s="8" t="s">
        <v>3528</v>
      </c>
      <c r="BP145" s="8" t="s">
        <v>67</v>
      </c>
      <c r="BQ145" s="11"/>
      <c r="BR145" s="11" t="s">
        <v>250</v>
      </c>
      <c r="BS145" s="11">
        <v>1</v>
      </c>
      <c r="BT145" s="11">
        <v>1</v>
      </c>
      <c r="BU145" s="11" t="s">
        <v>3529</v>
      </c>
      <c r="BV145" s="11" t="s">
        <v>3530</v>
      </c>
      <c r="BW145" s="11">
        <v>1</v>
      </c>
      <c r="BX145" s="11" t="s">
        <v>62</v>
      </c>
      <c r="BY145" s="11">
        <v>0</v>
      </c>
      <c r="BZ145" s="11" t="s">
        <v>1408</v>
      </c>
      <c r="CA145" s="11" t="s">
        <v>42</v>
      </c>
      <c r="CB145" s="22"/>
    </row>
    <row r="146" spans="1:80" s="31" customFormat="1" ht="18" customHeight="1">
      <c r="A146">
        <v>10145</v>
      </c>
      <c r="B146" s="8"/>
      <c r="C146" s="8" t="s">
        <v>228</v>
      </c>
      <c r="D146" s="5">
        <v>1</v>
      </c>
      <c r="E146" s="5">
        <v>1</v>
      </c>
      <c r="F146" s="8" t="s">
        <v>3531</v>
      </c>
      <c r="G146" s="8"/>
      <c r="H146" s="8">
        <v>3</v>
      </c>
      <c r="I146" s="8" t="s">
        <v>3532</v>
      </c>
      <c r="J146" s="8" t="s">
        <v>42</v>
      </c>
      <c r="K146" s="6"/>
      <c r="L146" s="6" t="s">
        <v>230</v>
      </c>
      <c r="M146" s="6">
        <v>1</v>
      </c>
      <c r="N146" s="6">
        <v>1</v>
      </c>
      <c r="O146" s="6" t="s">
        <v>3533</v>
      </c>
      <c r="P146" s="6" t="s">
        <v>3534</v>
      </c>
      <c r="Q146" s="7">
        <v>3</v>
      </c>
      <c r="R146" s="6" t="s">
        <v>3535</v>
      </c>
      <c r="S146" s="6">
        <v>1</v>
      </c>
      <c r="T146" s="6" t="s">
        <v>3536</v>
      </c>
      <c r="U146" s="6" t="s">
        <v>64</v>
      </c>
      <c r="V146" s="9"/>
      <c r="W146" s="9" t="s">
        <v>263</v>
      </c>
      <c r="X146" s="9">
        <v>1</v>
      </c>
      <c r="Y146" s="9">
        <v>1</v>
      </c>
      <c r="Z146" s="9" t="s">
        <v>3537</v>
      </c>
      <c r="AA146" s="9" t="s">
        <v>3538</v>
      </c>
      <c r="AB146" s="9">
        <v>1</v>
      </c>
      <c r="AC146" s="32" t="s">
        <v>3539</v>
      </c>
      <c r="AD146" s="9">
        <v>0.5</v>
      </c>
      <c r="AE146" s="9" t="s">
        <v>3540</v>
      </c>
      <c r="AF146" s="9" t="s">
        <v>36</v>
      </c>
      <c r="AG146" s="11"/>
      <c r="AH146" s="11" t="s">
        <v>238</v>
      </c>
      <c r="AI146" s="11">
        <v>1</v>
      </c>
      <c r="AJ146" s="11">
        <v>1</v>
      </c>
      <c r="AK146" s="11" t="s">
        <v>3541</v>
      </c>
      <c r="AL146" s="11">
        <v>0.5</v>
      </c>
      <c r="AM146" s="11" t="s">
        <v>3542</v>
      </c>
      <c r="AN146" s="11" t="s">
        <v>67</v>
      </c>
      <c r="AO146" s="6"/>
      <c r="AP146" s="6" t="s">
        <v>241</v>
      </c>
      <c r="AQ146" s="6">
        <v>1</v>
      </c>
      <c r="AR146" s="6">
        <v>1</v>
      </c>
      <c r="AS146" s="6" t="s">
        <v>3543</v>
      </c>
      <c r="AT146" s="6" t="s">
        <v>3544</v>
      </c>
      <c r="AU146" s="6">
        <v>3</v>
      </c>
      <c r="AV146" s="7">
        <v>3</v>
      </c>
      <c r="AW146" s="6" t="s">
        <v>3545</v>
      </c>
      <c r="AX146" s="6">
        <v>0.5</v>
      </c>
      <c r="AY146" s="6" t="s">
        <v>3546</v>
      </c>
      <c r="AZ146" s="6" t="s">
        <v>64</v>
      </c>
      <c r="BA146" s="9"/>
      <c r="BB146" s="9" t="s">
        <v>3547</v>
      </c>
      <c r="BC146" s="9">
        <v>1</v>
      </c>
      <c r="BD146" s="9">
        <v>1</v>
      </c>
      <c r="BE146" s="9" t="s">
        <v>3548</v>
      </c>
      <c r="BF146" s="9">
        <v>1</v>
      </c>
      <c r="BG146" s="9" t="s">
        <v>3549</v>
      </c>
      <c r="BH146" s="9" t="s">
        <v>67</v>
      </c>
      <c r="BI146" s="8"/>
      <c r="BJ146" s="8" t="s">
        <v>248</v>
      </c>
      <c r="BK146" s="8">
        <v>1</v>
      </c>
      <c r="BL146" s="8">
        <v>1</v>
      </c>
      <c r="BM146" s="8" t="s">
        <v>3550</v>
      </c>
      <c r="BN146" s="8">
        <v>0.5</v>
      </c>
      <c r="BO146" s="8" t="s">
        <v>3551</v>
      </c>
      <c r="BP146" s="8" t="s">
        <v>42</v>
      </c>
      <c r="BQ146" s="11"/>
      <c r="BR146" s="11" t="s">
        <v>383</v>
      </c>
      <c r="BS146" s="11">
        <v>1</v>
      </c>
      <c r="BT146" s="11">
        <v>1</v>
      </c>
      <c r="BU146" s="11" t="s">
        <v>3552</v>
      </c>
      <c r="BV146" s="11" t="s">
        <v>3553</v>
      </c>
      <c r="BW146" s="11">
        <v>1</v>
      </c>
      <c r="BX146" s="11" t="s">
        <v>3554</v>
      </c>
      <c r="BY146" s="11">
        <v>0.5</v>
      </c>
      <c r="BZ146" s="11" t="s">
        <v>3555</v>
      </c>
      <c r="CA146" s="11" t="s">
        <v>67</v>
      </c>
      <c r="CB146" s="22"/>
    </row>
    <row r="147" spans="1:80" s="31" customFormat="1" ht="18" customHeight="1">
      <c r="A147">
        <v>10146</v>
      </c>
      <c r="B147" s="8"/>
      <c r="C147" s="8" t="s">
        <v>255</v>
      </c>
      <c r="D147" s="5">
        <v>1</v>
      </c>
      <c r="E147" s="5">
        <v>1</v>
      </c>
      <c r="F147" s="8" t="s">
        <v>3556</v>
      </c>
      <c r="G147" s="8"/>
      <c r="H147" s="8">
        <v>2</v>
      </c>
      <c r="I147" s="8" t="s">
        <v>3557</v>
      </c>
      <c r="J147" s="8" t="s">
        <v>67</v>
      </c>
      <c r="K147" s="6"/>
      <c r="L147" s="6" t="s">
        <v>3558</v>
      </c>
      <c r="M147" s="6">
        <v>1</v>
      </c>
      <c r="N147" s="6">
        <v>1</v>
      </c>
      <c r="O147" s="6" t="s">
        <v>3559</v>
      </c>
      <c r="P147" s="6" t="s">
        <v>3560</v>
      </c>
      <c r="Q147" s="7">
        <v>3</v>
      </c>
      <c r="R147" s="6" t="s">
        <v>151</v>
      </c>
      <c r="S147" s="6">
        <v>1</v>
      </c>
      <c r="T147" s="6" t="s">
        <v>3561</v>
      </c>
      <c r="U147" s="6" t="s">
        <v>67</v>
      </c>
      <c r="V147" s="9"/>
      <c r="W147" s="9" t="s">
        <v>263</v>
      </c>
      <c r="X147" s="9">
        <v>1</v>
      </c>
      <c r="Y147" s="9">
        <v>1</v>
      </c>
      <c r="Z147" s="9" t="s">
        <v>3562</v>
      </c>
      <c r="AA147" s="9" t="s">
        <v>3563</v>
      </c>
      <c r="AB147" s="9">
        <v>1</v>
      </c>
      <c r="AC147" s="32" t="s">
        <v>62</v>
      </c>
      <c r="AD147" s="9">
        <v>0</v>
      </c>
      <c r="AE147" s="9" t="s">
        <v>3564</v>
      </c>
      <c r="AF147" s="9" t="s">
        <v>43</v>
      </c>
      <c r="AG147" s="11"/>
      <c r="AH147" s="11" t="s">
        <v>267</v>
      </c>
      <c r="AI147" s="11">
        <v>1</v>
      </c>
      <c r="AJ147" s="11">
        <v>1</v>
      </c>
      <c r="AK147" s="11" t="s">
        <v>151</v>
      </c>
      <c r="AL147" s="11">
        <v>0.5</v>
      </c>
      <c r="AM147" s="11" t="s">
        <v>3565</v>
      </c>
      <c r="AN147" s="11" t="s">
        <v>36</v>
      </c>
      <c r="AO147" s="6"/>
      <c r="AP147" s="6" t="s">
        <v>450</v>
      </c>
      <c r="AQ147" s="6">
        <v>1</v>
      </c>
      <c r="AR147" s="6">
        <v>1</v>
      </c>
      <c r="AS147" s="6" t="s">
        <v>3566</v>
      </c>
      <c r="AT147" s="6" t="s">
        <v>126</v>
      </c>
      <c r="AU147" s="6">
        <v>3</v>
      </c>
      <c r="AV147" s="7">
        <v>0</v>
      </c>
      <c r="AW147" s="6" t="s">
        <v>62</v>
      </c>
      <c r="AX147" s="6">
        <v>0.5</v>
      </c>
      <c r="AY147" s="6" t="s">
        <v>3567</v>
      </c>
      <c r="AZ147" s="6" t="s">
        <v>43</v>
      </c>
      <c r="BA147" s="9"/>
      <c r="BB147" s="9" t="s">
        <v>3568</v>
      </c>
      <c r="BC147" s="9">
        <v>1</v>
      </c>
      <c r="BD147" s="9">
        <v>1</v>
      </c>
      <c r="BE147" s="9" t="s">
        <v>151</v>
      </c>
      <c r="BF147" s="9">
        <v>1</v>
      </c>
      <c r="BG147" s="9" t="s">
        <v>3569</v>
      </c>
      <c r="BH147" s="9" t="s">
        <v>64</v>
      </c>
      <c r="BI147" s="8"/>
      <c r="BJ147" s="8" t="s">
        <v>3570</v>
      </c>
      <c r="BK147" s="8">
        <v>1</v>
      </c>
      <c r="BL147" s="8">
        <v>1</v>
      </c>
      <c r="BM147" s="8" t="s">
        <v>206</v>
      </c>
      <c r="BN147" s="8">
        <v>0</v>
      </c>
      <c r="BO147" s="8" t="s">
        <v>3571</v>
      </c>
      <c r="BP147" s="8" t="s">
        <v>36</v>
      </c>
      <c r="BQ147" s="11"/>
      <c r="BR147" s="11" t="s">
        <v>250</v>
      </c>
      <c r="BS147" s="11">
        <v>1</v>
      </c>
      <c r="BT147" s="11">
        <v>1</v>
      </c>
      <c r="BU147" s="11" t="s">
        <v>145</v>
      </c>
      <c r="BV147" s="11" t="s">
        <v>126</v>
      </c>
      <c r="BW147" s="11">
        <v>0</v>
      </c>
      <c r="BX147" s="11" t="s">
        <v>111</v>
      </c>
      <c r="BY147" s="11">
        <v>0</v>
      </c>
      <c r="BZ147" s="11" t="s">
        <v>3572</v>
      </c>
      <c r="CA147" s="11" t="s">
        <v>64</v>
      </c>
      <c r="CB147" s="22"/>
    </row>
    <row r="148" spans="1:80" s="31" customFormat="1" ht="18" customHeight="1">
      <c r="A148">
        <v>10147</v>
      </c>
      <c r="B148" s="8"/>
      <c r="C148" s="8" t="s">
        <v>3573</v>
      </c>
      <c r="D148" s="5">
        <v>1</v>
      </c>
      <c r="E148" s="5">
        <v>1</v>
      </c>
      <c r="F148" s="8" t="s">
        <v>3574</v>
      </c>
      <c r="G148" s="8"/>
      <c r="H148" s="8">
        <v>0</v>
      </c>
      <c r="I148" s="8" t="s">
        <v>3575</v>
      </c>
      <c r="J148" s="8" t="s">
        <v>64</v>
      </c>
      <c r="K148" s="6"/>
      <c r="L148" s="6" t="s">
        <v>3576</v>
      </c>
      <c r="M148" s="6">
        <v>1</v>
      </c>
      <c r="N148" s="6">
        <v>1</v>
      </c>
      <c r="O148" s="6" t="s">
        <v>120</v>
      </c>
      <c r="P148" s="6" t="s">
        <v>3577</v>
      </c>
      <c r="Q148" s="7">
        <v>2</v>
      </c>
      <c r="R148" s="6" t="s">
        <v>3578</v>
      </c>
      <c r="S148" s="6">
        <v>1</v>
      </c>
      <c r="T148" s="6" t="s">
        <v>3579</v>
      </c>
      <c r="U148" s="6" t="s">
        <v>67</v>
      </c>
      <c r="V148" s="9"/>
      <c r="W148" s="9" t="s">
        <v>2567</v>
      </c>
      <c r="X148" s="9">
        <v>1</v>
      </c>
      <c r="Y148" s="9">
        <v>1</v>
      </c>
      <c r="Z148" s="9" t="s">
        <v>3580</v>
      </c>
      <c r="AA148" s="9" t="s">
        <v>3581</v>
      </c>
      <c r="AB148" s="9">
        <v>1</v>
      </c>
      <c r="AC148" s="32" t="s">
        <v>3582</v>
      </c>
      <c r="AD148" s="9">
        <v>0.5</v>
      </c>
      <c r="AE148" s="9" t="s">
        <v>3583</v>
      </c>
      <c r="AF148" s="9" t="s">
        <v>67</v>
      </c>
      <c r="AG148" s="11"/>
      <c r="AH148" s="11" t="s">
        <v>3584</v>
      </c>
      <c r="AI148" s="11">
        <v>1</v>
      </c>
      <c r="AJ148" s="11">
        <v>1</v>
      </c>
      <c r="AK148" s="11" t="s">
        <v>3585</v>
      </c>
      <c r="AL148" s="11">
        <v>0.5</v>
      </c>
      <c r="AM148" s="11" t="s">
        <v>3586</v>
      </c>
      <c r="AN148" s="11" t="s">
        <v>37</v>
      </c>
      <c r="AO148" s="6"/>
      <c r="AP148" s="6" t="s">
        <v>2108</v>
      </c>
      <c r="AQ148" s="6">
        <v>0.5</v>
      </c>
      <c r="AR148" s="6">
        <v>0.5</v>
      </c>
      <c r="AS148" s="6" t="s">
        <v>120</v>
      </c>
      <c r="AT148" s="6" t="s">
        <v>3587</v>
      </c>
      <c r="AU148" s="6">
        <v>2</v>
      </c>
      <c r="AV148" s="7">
        <v>2</v>
      </c>
      <c r="AW148" s="6" t="s">
        <v>3588</v>
      </c>
      <c r="AX148" s="6">
        <v>1</v>
      </c>
      <c r="AY148" s="6" t="s">
        <v>163</v>
      </c>
      <c r="AZ148" s="6" t="s">
        <v>67</v>
      </c>
      <c r="BA148" s="9"/>
      <c r="BB148" s="9" t="s">
        <v>3589</v>
      </c>
      <c r="BC148" s="9">
        <v>1</v>
      </c>
      <c r="BD148" s="9">
        <v>1</v>
      </c>
      <c r="BE148" s="9" t="s">
        <v>3590</v>
      </c>
      <c r="BF148" s="9">
        <v>0.5</v>
      </c>
      <c r="BG148" s="9" t="s">
        <v>3591</v>
      </c>
      <c r="BH148" s="9" t="s">
        <v>64</v>
      </c>
      <c r="BI148" s="8"/>
      <c r="BJ148" s="8" t="s">
        <v>3592</v>
      </c>
      <c r="BK148" s="8">
        <v>1</v>
      </c>
      <c r="BL148" s="8">
        <v>1</v>
      </c>
      <c r="BM148" s="8" t="s">
        <v>3593</v>
      </c>
      <c r="BN148" s="8">
        <v>0</v>
      </c>
      <c r="BO148" s="8" t="s">
        <v>3594</v>
      </c>
      <c r="BP148" s="8" t="s">
        <v>37</v>
      </c>
      <c r="BQ148" s="11"/>
      <c r="BR148" s="11" t="s">
        <v>3595</v>
      </c>
      <c r="BS148" s="11">
        <v>1</v>
      </c>
      <c r="BT148" s="11">
        <v>1</v>
      </c>
      <c r="BU148" s="11" t="s">
        <v>3192</v>
      </c>
      <c r="BV148" s="11" t="s">
        <v>3596</v>
      </c>
      <c r="BW148" s="11">
        <v>1</v>
      </c>
      <c r="BX148" s="11" t="s">
        <v>3597</v>
      </c>
      <c r="BY148" s="11">
        <v>0.5</v>
      </c>
      <c r="BZ148" s="11" t="s">
        <v>3598</v>
      </c>
      <c r="CA148" s="11" t="s">
        <v>64</v>
      </c>
      <c r="CB148" s="22"/>
    </row>
    <row r="149" spans="1:80" s="31" customFormat="1" ht="18" customHeight="1">
      <c r="A149">
        <v>10148</v>
      </c>
      <c r="B149" s="8"/>
      <c r="C149" s="8" t="s">
        <v>3599</v>
      </c>
      <c r="D149" s="5">
        <v>1</v>
      </c>
      <c r="E149" s="5">
        <v>1</v>
      </c>
      <c r="F149" s="8" t="s">
        <v>3600</v>
      </c>
      <c r="G149" s="8"/>
      <c r="H149" s="8">
        <v>3</v>
      </c>
      <c r="I149" s="8" t="s">
        <v>3601</v>
      </c>
      <c r="J149" s="8" t="s">
        <v>42</v>
      </c>
      <c r="K149" s="6"/>
      <c r="L149" s="6" t="s">
        <v>1124</v>
      </c>
      <c r="M149" s="6">
        <v>1</v>
      </c>
      <c r="N149" s="6">
        <v>1</v>
      </c>
      <c r="O149" s="6" t="s">
        <v>3602</v>
      </c>
      <c r="P149" s="6" t="s">
        <v>3603</v>
      </c>
      <c r="Q149" s="7">
        <v>3</v>
      </c>
      <c r="R149" s="6" t="s">
        <v>3604</v>
      </c>
      <c r="S149" s="6">
        <v>0.5</v>
      </c>
      <c r="T149" s="6" t="s">
        <v>3605</v>
      </c>
      <c r="U149" s="6" t="s">
        <v>43</v>
      </c>
      <c r="V149" s="9"/>
      <c r="W149" s="9" t="s">
        <v>839</v>
      </c>
      <c r="X149" s="9">
        <v>1</v>
      </c>
      <c r="Y149" s="9">
        <v>1</v>
      </c>
      <c r="Z149" s="9" t="s">
        <v>3606</v>
      </c>
      <c r="AA149" s="9" t="s">
        <v>3607</v>
      </c>
      <c r="AB149" s="9">
        <v>0</v>
      </c>
      <c r="AC149" s="32" t="s">
        <v>3608</v>
      </c>
      <c r="AD149" s="9">
        <v>0.5</v>
      </c>
      <c r="AE149" s="9" t="s">
        <v>83</v>
      </c>
      <c r="AF149" s="9" t="s">
        <v>64</v>
      </c>
      <c r="AG149" s="11"/>
      <c r="AH149" s="11" t="s">
        <v>3609</v>
      </c>
      <c r="AI149" s="11">
        <v>1</v>
      </c>
      <c r="AJ149" s="11">
        <v>1</v>
      </c>
      <c r="AK149" s="11" t="s">
        <v>3610</v>
      </c>
      <c r="AL149" s="11">
        <v>0.5</v>
      </c>
      <c r="AM149" s="11" t="s">
        <v>3611</v>
      </c>
      <c r="AN149" s="11" t="s">
        <v>67</v>
      </c>
      <c r="AO149" s="6"/>
      <c r="AP149" s="6" t="s">
        <v>1133</v>
      </c>
      <c r="AQ149" s="6">
        <v>1</v>
      </c>
      <c r="AR149" s="6">
        <v>1</v>
      </c>
      <c r="AS149" s="6" t="s">
        <v>3612</v>
      </c>
      <c r="AT149" s="6" t="s">
        <v>3613</v>
      </c>
      <c r="AU149" s="6">
        <v>3</v>
      </c>
      <c r="AV149" s="7">
        <v>3</v>
      </c>
      <c r="AW149" s="6" t="s">
        <v>3614</v>
      </c>
      <c r="AX149" s="6">
        <v>0.5</v>
      </c>
      <c r="AY149" s="6" t="s">
        <v>3615</v>
      </c>
      <c r="AZ149" s="6" t="s">
        <v>67</v>
      </c>
      <c r="BA149" s="9"/>
      <c r="BB149" s="9" t="s">
        <v>3616</v>
      </c>
      <c r="BC149" s="9">
        <v>1</v>
      </c>
      <c r="BD149" s="9">
        <v>1</v>
      </c>
      <c r="BE149" s="9" t="s">
        <v>208</v>
      </c>
      <c r="BF149" s="9">
        <v>0.5</v>
      </c>
      <c r="BG149" s="9" t="s">
        <v>3617</v>
      </c>
      <c r="BH149" s="9" t="s">
        <v>42</v>
      </c>
      <c r="BI149" s="8"/>
      <c r="BJ149" s="8" t="s">
        <v>844</v>
      </c>
      <c r="BK149" s="8">
        <v>1</v>
      </c>
      <c r="BL149" s="8">
        <v>1</v>
      </c>
      <c r="BM149" s="8" t="s">
        <v>3216</v>
      </c>
      <c r="BN149" s="8">
        <v>0.5</v>
      </c>
      <c r="BO149" s="8" t="s">
        <v>209</v>
      </c>
      <c r="BP149" s="8" t="s">
        <v>42</v>
      </c>
      <c r="BQ149" s="11"/>
      <c r="BR149" s="11" t="s">
        <v>3618</v>
      </c>
      <c r="BS149" s="11">
        <v>1</v>
      </c>
      <c r="BT149" s="11">
        <v>1</v>
      </c>
      <c r="BU149" s="11" t="s">
        <v>3619</v>
      </c>
      <c r="BV149" s="11" t="s">
        <v>3002</v>
      </c>
      <c r="BW149" s="11">
        <v>1</v>
      </c>
      <c r="BX149" s="11" t="s">
        <v>3620</v>
      </c>
      <c r="BY149" s="11">
        <v>0.5</v>
      </c>
      <c r="BZ149" s="11" t="s">
        <v>209</v>
      </c>
      <c r="CA149" s="11" t="s">
        <v>42</v>
      </c>
      <c r="CB149" s="22"/>
    </row>
    <row r="150" spans="1:80" s="31" customFormat="1" ht="18" customHeight="1">
      <c r="A150">
        <v>10149</v>
      </c>
      <c r="B150" s="8"/>
      <c r="C150" s="8" t="s">
        <v>3621</v>
      </c>
      <c r="D150" s="5">
        <v>1</v>
      </c>
      <c r="E150" s="5">
        <v>1</v>
      </c>
      <c r="F150" s="8" t="s">
        <v>3622</v>
      </c>
      <c r="G150" s="8"/>
      <c r="H150" s="8">
        <v>0</v>
      </c>
      <c r="I150" s="8" t="s">
        <v>3623</v>
      </c>
      <c r="J150" s="8" t="s">
        <v>64</v>
      </c>
      <c r="K150" s="6"/>
      <c r="L150" s="6" t="s">
        <v>3624</v>
      </c>
      <c r="M150" s="6">
        <v>1</v>
      </c>
      <c r="N150" s="6">
        <v>1</v>
      </c>
      <c r="O150" s="6" t="s">
        <v>3625</v>
      </c>
      <c r="P150" s="6" t="s">
        <v>3626</v>
      </c>
      <c r="Q150" s="7">
        <v>1</v>
      </c>
      <c r="R150" s="6" t="s">
        <v>1229</v>
      </c>
      <c r="S150" s="6">
        <v>0.5</v>
      </c>
      <c r="T150" s="6" t="s">
        <v>3627</v>
      </c>
      <c r="U150" s="6" t="s">
        <v>43</v>
      </c>
      <c r="V150" s="9"/>
      <c r="W150" s="9" t="s">
        <v>3628</v>
      </c>
      <c r="X150" s="9">
        <v>1</v>
      </c>
      <c r="Y150" s="9">
        <v>1</v>
      </c>
      <c r="Z150" s="9" t="s">
        <v>3629</v>
      </c>
      <c r="AA150" s="9" t="s">
        <v>3630</v>
      </c>
      <c r="AB150" s="9">
        <v>0</v>
      </c>
      <c r="AC150" s="32" t="s">
        <v>3631</v>
      </c>
      <c r="AD150" s="9">
        <v>1</v>
      </c>
      <c r="AE150" s="9" t="s">
        <v>3632</v>
      </c>
      <c r="AF150" s="9" t="s">
        <v>67</v>
      </c>
      <c r="AG150" s="11"/>
      <c r="AH150" s="11" t="s">
        <v>3633</v>
      </c>
      <c r="AI150" s="11">
        <v>1</v>
      </c>
      <c r="AJ150" s="11">
        <v>1</v>
      </c>
      <c r="AK150" s="11" t="s">
        <v>3634</v>
      </c>
      <c r="AL150" s="11">
        <v>0.5</v>
      </c>
      <c r="AM150" s="11" t="s">
        <v>3635</v>
      </c>
      <c r="AN150" s="11" t="s">
        <v>67</v>
      </c>
      <c r="AO150" s="6"/>
      <c r="AP150" s="6" t="s">
        <v>3636</v>
      </c>
      <c r="AQ150" s="6">
        <v>1</v>
      </c>
      <c r="AR150" s="6">
        <v>1</v>
      </c>
      <c r="AS150" s="6" t="s">
        <v>3637</v>
      </c>
      <c r="AT150" s="6" t="s">
        <v>3638</v>
      </c>
      <c r="AU150" s="6">
        <v>0</v>
      </c>
      <c r="AV150" s="7">
        <v>0</v>
      </c>
      <c r="AW150" s="6" t="s">
        <v>125</v>
      </c>
      <c r="AX150" s="6">
        <v>0.5</v>
      </c>
      <c r="AY150" s="6" t="s">
        <v>3639</v>
      </c>
      <c r="AZ150" s="6" t="s">
        <v>67</v>
      </c>
      <c r="BA150" s="9"/>
      <c r="BB150" s="9" t="s">
        <v>3640</v>
      </c>
      <c r="BC150" s="9">
        <v>1</v>
      </c>
      <c r="BD150" s="9">
        <v>1</v>
      </c>
      <c r="BE150" s="9" t="s">
        <v>3641</v>
      </c>
      <c r="BF150" s="9">
        <v>1</v>
      </c>
      <c r="BG150" s="9" t="s">
        <v>3642</v>
      </c>
      <c r="BH150" s="9" t="s">
        <v>67</v>
      </c>
      <c r="BI150" s="8"/>
      <c r="BJ150" s="8" t="s">
        <v>3643</v>
      </c>
      <c r="BK150" s="8">
        <v>1</v>
      </c>
      <c r="BL150" s="8">
        <v>0.5</v>
      </c>
      <c r="BM150" s="8" t="s">
        <v>148</v>
      </c>
      <c r="BN150" s="8">
        <v>0</v>
      </c>
      <c r="BO150" s="8" t="s">
        <v>3644</v>
      </c>
      <c r="BP150" s="8" t="s">
        <v>67</v>
      </c>
      <c r="BQ150" s="11"/>
      <c r="BR150" s="11" t="s">
        <v>3645</v>
      </c>
      <c r="BS150" s="11">
        <v>1</v>
      </c>
      <c r="BT150" s="11">
        <v>0.5</v>
      </c>
      <c r="BU150" s="11" t="s">
        <v>3646</v>
      </c>
      <c r="BV150" s="11" t="s">
        <v>3647</v>
      </c>
      <c r="BW150" s="11">
        <v>1</v>
      </c>
      <c r="BX150" s="11" t="s">
        <v>3648</v>
      </c>
      <c r="BY150" s="11">
        <v>0.5</v>
      </c>
      <c r="BZ150" s="11" t="s">
        <v>3649</v>
      </c>
      <c r="CA150" s="11" t="s">
        <v>42</v>
      </c>
      <c r="CB150" s="22"/>
    </row>
    <row r="151" spans="1:80" s="31" customFormat="1" ht="18" customHeight="1">
      <c r="A151">
        <v>10150</v>
      </c>
      <c r="B151" s="8"/>
      <c r="C151" s="8" t="s">
        <v>3650</v>
      </c>
      <c r="D151" s="5">
        <v>1</v>
      </c>
      <c r="E151" s="5">
        <v>0</v>
      </c>
      <c r="F151" s="8" t="s">
        <v>3651</v>
      </c>
      <c r="G151" s="8"/>
      <c r="H151" s="8">
        <v>1</v>
      </c>
      <c r="I151" s="8" t="s">
        <v>3652</v>
      </c>
      <c r="J151" s="8" t="s">
        <v>42</v>
      </c>
      <c r="K151" s="6"/>
      <c r="L151" s="6" t="s">
        <v>3653</v>
      </c>
      <c r="M151" s="6">
        <v>1</v>
      </c>
      <c r="N151" s="6">
        <v>0</v>
      </c>
      <c r="O151" s="6" t="s">
        <v>3654</v>
      </c>
      <c r="P151" s="6" t="s">
        <v>3654</v>
      </c>
      <c r="Q151" s="7">
        <v>3</v>
      </c>
      <c r="R151" s="6" t="s">
        <v>90</v>
      </c>
      <c r="S151" s="6">
        <v>0</v>
      </c>
      <c r="T151" s="6" t="s">
        <v>3655</v>
      </c>
      <c r="U151" s="6" t="s">
        <v>42</v>
      </c>
      <c r="V151" s="9"/>
      <c r="W151" s="9" t="s">
        <v>3656</v>
      </c>
      <c r="X151" s="9">
        <v>1</v>
      </c>
      <c r="Y151" s="9">
        <v>1</v>
      </c>
      <c r="Z151" s="9" t="s">
        <v>3657</v>
      </c>
      <c r="AA151" s="9" t="s">
        <v>3658</v>
      </c>
      <c r="AB151" s="9">
        <v>0</v>
      </c>
      <c r="AC151" s="32" t="s">
        <v>89</v>
      </c>
      <c r="AD151" s="9">
        <v>0</v>
      </c>
      <c r="AE151" s="9" t="s">
        <v>3659</v>
      </c>
      <c r="AF151" s="9" t="s">
        <v>35</v>
      </c>
      <c r="AG151" s="11"/>
      <c r="AH151" s="11" t="s">
        <v>3660</v>
      </c>
      <c r="AI151" s="11">
        <v>1</v>
      </c>
      <c r="AJ151" s="11">
        <v>1</v>
      </c>
      <c r="AK151" s="11" t="s">
        <v>210</v>
      </c>
      <c r="AL151" s="11">
        <v>0</v>
      </c>
      <c r="AM151" s="11" t="s">
        <v>3661</v>
      </c>
      <c r="AN151" s="11" t="s">
        <v>67</v>
      </c>
      <c r="AO151" s="6"/>
      <c r="AP151" s="6" t="s">
        <v>3662</v>
      </c>
      <c r="AQ151" s="6">
        <v>0.5</v>
      </c>
      <c r="AR151" s="6">
        <v>0.5</v>
      </c>
      <c r="AS151" s="6" t="s">
        <v>3657</v>
      </c>
      <c r="AT151" s="6" t="s">
        <v>57</v>
      </c>
      <c r="AU151" s="6">
        <v>0</v>
      </c>
      <c r="AV151" s="7">
        <v>0</v>
      </c>
      <c r="AW151" s="6" t="s">
        <v>90</v>
      </c>
      <c r="AX151" s="6">
        <v>0</v>
      </c>
      <c r="AY151" s="6" t="s">
        <v>3663</v>
      </c>
      <c r="AZ151" s="6" t="s">
        <v>43</v>
      </c>
      <c r="BA151" s="9"/>
      <c r="BB151" s="9" t="s">
        <v>3664</v>
      </c>
      <c r="BC151" s="9">
        <v>1</v>
      </c>
      <c r="BD151" s="9">
        <v>0.5</v>
      </c>
      <c r="BE151" s="9" t="s">
        <v>210</v>
      </c>
      <c r="BF151" s="9">
        <v>0</v>
      </c>
      <c r="BG151" s="9" t="s">
        <v>3665</v>
      </c>
      <c r="BH151" s="9" t="s">
        <v>43</v>
      </c>
      <c r="BI151" s="8"/>
      <c r="BJ151" s="8" t="s">
        <v>3666</v>
      </c>
      <c r="BK151" s="8">
        <v>1</v>
      </c>
      <c r="BL151" s="8">
        <v>0</v>
      </c>
      <c r="BM151" s="8" t="s">
        <v>89</v>
      </c>
      <c r="BN151" s="8">
        <v>0</v>
      </c>
      <c r="BO151" s="8" t="s">
        <v>3667</v>
      </c>
      <c r="BP151" s="8"/>
      <c r="BQ151" s="11"/>
      <c r="BR151" s="11" t="s">
        <v>3668</v>
      </c>
      <c r="BS151" s="11">
        <v>1</v>
      </c>
      <c r="BT151" s="11">
        <v>0.5</v>
      </c>
      <c r="BU151" s="11" t="s">
        <v>145</v>
      </c>
      <c r="BV151" s="11" t="s">
        <v>57</v>
      </c>
      <c r="BW151" s="11">
        <v>0</v>
      </c>
      <c r="BX151" s="11" t="s">
        <v>90</v>
      </c>
      <c r="BY151" s="11">
        <v>0</v>
      </c>
      <c r="BZ151" s="11" t="s">
        <v>3669</v>
      </c>
      <c r="CA151" s="11" t="s">
        <v>42</v>
      </c>
      <c r="CB151" s="22"/>
    </row>
    <row r="152" spans="1:80" s="31" customFormat="1" ht="18" customHeight="1">
      <c r="A152">
        <v>10151</v>
      </c>
      <c r="B152" s="8"/>
      <c r="C152" s="8" t="s">
        <v>3670</v>
      </c>
      <c r="D152" s="5">
        <v>1</v>
      </c>
      <c r="E152" s="5">
        <v>1</v>
      </c>
      <c r="F152" s="8" t="s">
        <v>3671</v>
      </c>
      <c r="G152" s="8"/>
      <c r="H152" s="8">
        <v>0</v>
      </c>
      <c r="I152" s="8" t="s">
        <v>3672</v>
      </c>
      <c r="J152" s="8" t="s">
        <v>42</v>
      </c>
      <c r="K152" s="6"/>
      <c r="L152" s="6" t="s">
        <v>1968</v>
      </c>
      <c r="M152" s="6">
        <v>1</v>
      </c>
      <c r="N152" s="6">
        <v>1</v>
      </c>
      <c r="O152" s="6" t="s">
        <v>3673</v>
      </c>
      <c r="P152" s="6" t="s">
        <v>3674</v>
      </c>
      <c r="Q152" s="7">
        <v>0</v>
      </c>
      <c r="R152" s="6" t="s">
        <v>1219</v>
      </c>
      <c r="S152" s="6">
        <v>0.5</v>
      </c>
      <c r="T152" s="6" t="s">
        <v>3675</v>
      </c>
      <c r="U152" s="6" t="s">
        <v>36</v>
      </c>
      <c r="V152" s="9"/>
      <c r="W152" s="9" t="s">
        <v>3676</v>
      </c>
      <c r="X152" s="9">
        <v>1</v>
      </c>
      <c r="Y152" s="9">
        <v>1</v>
      </c>
      <c r="Z152" s="9" t="s">
        <v>3677</v>
      </c>
      <c r="AA152" s="9" t="s">
        <v>2914</v>
      </c>
      <c r="AB152" s="9">
        <v>0</v>
      </c>
      <c r="AC152" s="32" t="s">
        <v>2420</v>
      </c>
      <c r="AD152" s="9">
        <v>0.5</v>
      </c>
      <c r="AE152" s="9" t="s">
        <v>3678</v>
      </c>
      <c r="AF152" s="9" t="s">
        <v>64</v>
      </c>
      <c r="AG152" s="11"/>
      <c r="AH152" s="11" t="s">
        <v>3679</v>
      </c>
      <c r="AI152" s="11">
        <v>1</v>
      </c>
      <c r="AJ152" s="11">
        <v>1</v>
      </c>
      <c r="AK152" s="11" t="s">
        <v>1058</v>
      </c>
      <c r="AL152" s="11">
        <v>0.5</v>
      </c>
      <c r="AM152" s="11" t="s">
        <v>3680</v>
      </c>
      <c r="AN152" s="11" t="s">
        <v>36</v>
      </c>
      <c r="AO152" s="6"/>
      <c r="AP152" s="6" t="s">
        <v>3681</v>
      </c>
      <c r="AQ152" s="6">
        <v>1</v>
      </c>
      <c r="AR152" s="6">
        <v>1</v>
      </c>
      <c r="AS152" s="6" t="s">
        <v>3682</v>
      </c>
      <c r="AT152" s="6" t="s">
        <v>3683</v>
      </c>
      <c r="AU152" s="6">
        <v>0</v>
      </c>
      <c r="AV152" s="7">
        <v>2</v>
      </c>
      <c r="AW152" s="6" t="s">
        <v>3684</v>
      </c>
      <c r="AX152" s="6">
        <v>0.5</v>
      </c>
      <c r="AY152" s="6" t="s">
        <v>3685</v>
      </c>
      <c r="AZ152" s="6" t="s">
        <v>43</v>
      </c>
      <c r="BA152" s="9"/>
      <c r="BB152" s="9" t="s">
        <v>3686</v>
      </c>
      <c r="BC152" s="9">
        <v>1</v>
      </c>
      <c r="BD152" s="9">
        <v>1</v>
      </c>
      <c r="BE152" s="9" t="s">
        <v>61</v>
      </c>
      <c r="BF152" s="9">
        <v>0.5</v>
      </c>
      <c r="BG152" s="9" t="s">
        <v>3687</v>
      </c>
      <c r="BH152" s="9" t="s">
        <v>64</v>
      </c>
      <c r="BI152" s="8"/>
      <c r="BJ152" s="8" t="s">
        <v>3688</v>
      </c>
      <c r="BK152" s="8">
        <v>1</v>
      </c>
      <c r="BL152" s="8">
        <v>1</v>
      </c>
      <c r="BM152" s="8" t="s">
        <v>3689</v>
      </c>
      <c r="BN152" s="8">
        <v>0.5</v>
      </c>
      <c r="BO152" s="8" t="s">
        <v>3690</v>
      </c>
      <c r="BP152" s="8" t="s">
        <v>67</v>
      </c>
      <c r="BQ152" s="11"/>
      <c r="BR152" s="11" t="s">
        <v>3691</v>
      </c>
      <c r="BS152" s="11">
        <v>1</v>
      </c>
      <c r="BT152" s="11">
        <v>0.5</v>
      </c>
      <c r="BU152" s="11" t="s">
        <v>3692</v>
      </c>
      <c r="BV152" s="11" t="s">
        <v>3693</v>
      </c>
      <c r="BW152" s="11">
        <v>1</v>
      </c>
      <c r="BX152" s="11" t="s">
        <v>3694</v>
      </c>
      <c r="BY152" s="11">
        <v>0</v>
      </c>
      <c r="BZ152" s="11" t="s">
        <v>174</v>
      </c>
      <c r="CA152" s="11" t="s">
        <v>37</v>
      </c>
      <c r="CB152" s="22"/>
    </row>
  </sheetData>
  <sortState xmlns:xlrd2="http://schemas.microsoft.com/office/spreadsheetml/2017/richdata2" ref="A2:CA152">
    <sortCondition ref="A2"/>
  </sortState>
  <phoneticPr fontId="5"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Z152"/>
  <sheetViews>
    <sheetView workbookViewId="0">
      <pane ySplit="1" topLeftCell="A2" activePane="bottomLeft" state="frozen"/>
      <selection pane="bottomLeft" activeCell="A82" sqref="A82:XFD82"/>
    </sheetView>
  </sheetViews>
  <sheetFormatPr baseColWidth="10" defaultColWidth="9.1640625" defaultRowHeight="15"/>
  <sheetData>
    <row r="1" spans="1:78">
      <c r="A1" s="4" t="s">
        <v>0</v>
      </c>
      <c r="B1" s="12" t="s">
        <v>211</v>
      </c>
      <c r="C1" s="12" t="s">
        <v>212</v>
      </c>
      <c r="D1" s="13" t="s">
        <v>1</v>
      </c>
      <c r="E1" s="13" t="s">
        <v>2</v>
      </c>
      <c r="F1" s="12" t="s">
        <v>213</v>
      </c>
      <c r="G1" s="13" t="s">
        <v>215</v>
      </c>
      <c r="H1" s="12" t="s">
        <v>216</v>
      </c>
      <c r="I1" s="12" t="s">
        <v>3</v>
      </c>
      <c r="J1" s="15" t="s">
        <v>217</v>
      </c>
      <c r="K1" s="15" t="s">
        <v>212</v>
      </c>
      <c r="L1" s="15" t="s">
        <v>4</v>
      </c>
      <c r="M1" s="15" t="s">
        <v>5</v>
      </c>
      <c r="N1" s="15" t="s">
        <v>213</v>
      </c>
      <c r="O1" s="15" t="s">
        <v>214</v>
      </c>
      <c r="P1" s="17" t="s">
        <v>218</v>
      </c>
      <c r="Q1" s="15" t="s">
        <v>219</v>
      </c>
      <c r="R1" s="15" t="s">
        <v>6</v>
      </c>
      <c r="S1" s="15" t="s">
        <v>216</v>
      </c>
      <c r="T1" s="15" t="s">
        <v>7</v>
      </c>
      <c r="U1" s="18" t="s">
        <v>220</v>
      </c>
      <c r="V1" s="18" t="s">
        <v>221</v>
      </c>
      <c r="W1" s="18" t="s">
        <v>8</v>
      </c>
      <c r="X1" s="18" t="s">
        <v>9</v>
      </c>
      <c r="Y1" s="18" t="s">
        <v>213</v>
      </c>
      <c r="Z1" s="18" t="s">
        <v>214</v>
      </c>
      <c r="AA1" s="18" t="s">
        <v>222</v>
      </c>
      <c r="AB1" s="29" t="s">
        <v>219</v>
      </c>
      <c r="AC1" s="18" t="s">
        <v>10</v>
      </c>
      <c r="AD1" s="18" t="s">
        <v>216</v>
      </c>
      <c r="AE1" s="18" t="s">
        <v>11</v>
      </c>
      <c r="AF1" s="20" t="s">
        <v>223</v>
      </c>
      <c r="AG1" s="20" t="s">
        <v>221</v>
      </c>
      <c r="AH1" s="20" t="s">
        <v>12</v>
      </c>
      <c r="AI1" s="20" t="s">
        <v>3695</v>
      </c>
      <c r="AJ1" s="20" t="s">
        <v>219</v>
      </c>
      <c r="AK1" s="20" t="s">
        <v>14</v>
      </c>
      <c r="AL1" s="20" t="s">
        <v>216</v>
      </c>
      <c r="AM1" s="20" t="s">
        <v>15</v>
      </c>
      <c r="AN1" s="15" t="s">
        <v>224</v>
      </c>
      <c r="AO1" s="15" t="s">
        <v>212</v>
      </c>
      <c r="AP1" s="15" t="s">
        <v>16</v>
      </c>
      <c r="AQ1" s="15" t="s">
        <v>17</v>
      </c>
      <c r="AR1" s="15" t="s">
        <v>213</v>
      </c>
      <c r="AS1" s="15" t="s">
        <v>214</v>
      </c>
      <c r="AT1" s="15" t="s">
        <v>18</v>
      </c>
      <c r="AU1" s="17" t="s">
        <v>19</v>
      </c>
      <c r="AV1" s="15" t="s">
        <v>219</v>
      </c>
      <c r="AW1" s="15" t="s">
        <v>20</v>
      </c>
      <c r="AX1" s="15" t="s">
        <v>216</v>
      </c>
      <c r="AY1" s="15" t="s">
        <v>21</v>
      </c>
      <c r="AZ1" s="18" t="s">
        <v>225</v>
      </c>
      <c r="BA1" s="18" t="s">
        <v>212</v>
      </c>
      <c r="BB1" s="18" t="s">
        <v>22</v>
      </c>
      <c r="BC1" s="18" t="s">
        <v>23</v>
      </c>
      <c r="BD1" s="18" t="s">
        <v>219</v>
      </c>
      <c r="BE1" s="18" t="s">
        <v>24</v>
      </c>
      <c r="BF1" s="18" t="s">
        <v>216</v>
      </c>
      <c r="BG1" s="18" t="s">
        <v>25</v>
      </c>
      <c r="BH1" s="12" t="s">
        <v>226</v>
      </c>
      <c r="BI1" s="12" t="s">
        <v>212</v>
      </c>
      <c r="BJ1" s="12" t="s">
        <v>26</v>
      </c>
      <c r="BK1" s="12" t="s">
        <v>27</v>
      </c>
      <c r="BL1" s="12" t="s">
        <v>219</v>
      </c>
      <c r="BM1" s="12" t="s">
        <v>29</v>
      </c>
      <c r="BN1" s="12" t="s">
        <v>216</v>
      </c>
      <c r="BO1" s="12" t="s">
        <v>30</v>
      </c>
      <c r="BP1" s="20" t="s">
        <v>227</v>
      </c>
      <c r="BQ1" s="20" t="s">
        <v>212</v>
      </c>
      <c r="BR1" s="20" t="s">
        <v>31</v>
      </c>
      <c r="BS1" s="20" t="s">
        <v>32</v>
      </c>
      <c r="BT1" s="20" t="s">
        <v>213</v>
      </c>
      <c r="BU1" s="20" t="s">
        <v>214</v>
      </c>
      <c r="BV1" s="20" t="s">
        <v>3696</v>
      </c>
      <c r="BW1" s="20" t="s">
        <v>219</v>
      </c>
      <c r="BX1" s="20" t="s">
        <v>33</v>
      </c>
      <c r="BY1" s="20" t="s">
        <v>216</v>
      </c>
      <c r="BZ1" s="20" t="s">
        <v>34</v>
      </c>
    </row>
    <row r="2" spans="1:78">
      <c r="A2">
        <v>10001</v>
      </c>
      <c r="B2" s="12"/>
      <c r="C2" s="12" t="s">
        <v>228</v>
      </c>
      <c r="D2" s="13">
        <v>1</v>
      </c>
      <c r="E2" s="13">
        <v>1</v>
      </c>
      <c r="F2" s="12" t="s">
        <v>229</v>
      </c>
      <c r="G2" s="13">
        <v>3</v>
      </c>
      <c r="H2" s="12" t="s">
        <v>108</v>
      </c>
      <c r="I2" s="12" t="s">
        <v>35</v>
      </c>
      <c r="J2" s="15"/>
      <c r="K2" s="15" t="s">
        <v>230</v>
      </c>
      <c r="L2" s="16">
        <v>1</v>
      </c>
      <c r="M2" s="16">
        <v>1</v>
      </c>
      <c r="N2" s="15" t="s">
        <v>231</v>
      </c>
      <c r="O2" s="15" t="s">
        <v>232</v>
      </c>
      <c r="P2" s="17">
        <v>0</v>
      </c>
      <c r="Q2" s="15" t="s">
        <v>233</v>
      </c>
      <c r="R2" s="15">
        <v>0.5</v>
      </c>
      <c r="S2" s="15" t="s">
        <v>39</v>
      </c>
      <c r="T2" s="15" t="s">
        <v>37</v>
      </c>
      <c r="U2" s="18"/>
      <c r="V2" s="18" t="s">
        <v>234</v>
      </c>
      <c r="W2" s="18">
        <v>1</v>
      </c>
      <c r="X2" s="18">
        <v>1</v>
      </c>
      <c r="Y2" s="18" t="s">
        <v>235</v>
      </c>
      <c r="Z2" s="18" t="s">
        <v>236</v>
      </c>
      <c r="AA2" s="18">
        <v>3</v>
      </c>
      <c r="AB2" s="29" t="s">
        <v>237</v>
      </c>
      <c r="AC2" s="18">
        <v>0.5</v>
      </c>
      <c r="AD2" s="18" t="s">
        <v>39</v>
      </c>
      <c r="AE2" s="18" t="s">
        <v>35</v>
      </c>
      <c r="AF2" s="20"/>
      <c r="AG2" s="20" t="s">
        <v>238</v>
      </c>
      <c r="AH2" s="21">
        <v>1</v>
      </c>
      <c r="AI2" s="21">
        <v>1</v>
      </c>
      <c r="AJ2" s="20" t="s">
        <v>239</v>
      </c>
      <c r="AK2" s="20">
        <v>0</v>
      </c>
      <c r="AL2" s="20" t="s">
        <v>240</v>
      </c>
      <c r="AM2" s="20" t="s">
        <v>37</v>
      </c>
      <c r="AN2" s="15"/>
      <c r="AO2" s="15" t="s">
        <v>241</v>
      </c>
      <c r="AP2" s="16">
        <v>1</v>
      </c>
      <c r="AQ2" s="16">
        <v>1</v>
      </c>
      <c r="AR2" s="15" t="s">
        <v>242</v>
      </c>
      <c r="AS2" s="15" t="s">
        <v>243</v>
      </c>
      <c r="AT2" s="15">
        <v>2</v>
      </c>
      <c r="AU2" s="17">
        <v>0</v>
      </c>
      <c r="AV2" s="15" t="s">
        <v>244</v>
      </c>
      <c r="AW2" s="15">
        <v>0</v>
      </c>
      <c r="AX2" s="15" t="s">
        <v>245</v>
      </c>
      <c r="AY2" s="15" t="s">
        <v>37</v>
      </c>
      <c r="AZ2" s="18"/>
      <c r="BA2" s="18" t="s">
        <v>246</v>
      </c>
      <c r="BB2" s="19">
        <v>1</v>
      </c>
      <c r="BC2" s="19">
        <v>1</v>
      </c>
      <c r="BD2" s="18" t="s">
        <v>40</v>
      </c>
      <c r="BE2" s="18">
        <v>0</v>
      </c>
      <c r="BF2" s="18" t="s">
        <v>247</v>
      </c>
      <c r="BG2" s="18" t="s">
        <v>37</v>
      </c>
      <c r="BH2" s="12"/>
      <c r="BI2" s="12" t="s">
        <v>483</v>
      </c>
      <c r="BJ2" s="12">
        <v>1</v>
      </c>
      <c r="BK2" s="12">
        <v>1</v>
      </c>
      <c r="BL2" s="12" t="s">
        <v>3697</v>
      </c>
      <c r="BM2" s="12">
        <v>0.5</v>
      </c>
      <c r="BN2" s="12" t="s">
        <v>249</v>
      </c>
      <c r="BO2" s="12" t="s">
        <v>43</v>
      </c>
      <c r="BP2" s="20"/>
      <c r="BQ2" s="20" t="s">
        <v>756</v>
      </c>
      <c r="BR2" s="20">
        <v>1</v>
      </c>
      <c r="BS2" s="20">
        <v>1</v>
      </c>
      <c r="BT2" s="20" t="s">
        <v>757</v>
      </c>
      <c r="BU2" s="20" t="s">
        <v>758</v>
      </c>
      <c r="BV2" s="20">
        <v>0</v>
      </c>
      <c r="BW2" s="20" t="s">
        <v>253</v>
      </c>
      <c r="BX2" s="20">
        <v>0</v>
      </c>
      <c r="BY2" s="20" t="s">
        <v>254</v>
      </c>
      <c r="BZ2" s="20" t="s">
        <v>37</v>
      </c>
    </row>
    <row r="3" spans="1:78">
      <c r="A3">
        <v>10002</v>
      </c>
      <c r="B3" s="12"/>
      <c r="C3" s="12" t="s">
        <v>255</v>
      </c>
      <c r="D3" s="13">
        <v>1</v>
      </c>
      <c r="E3" s="13">
        <v>1</v>
      </c>
      <c r="F3" s="12" t="s">
        <v>256</v>
      </c>
      <c r="G3" s="13">
        <v>1</v>
      </c>
      <c r="H3" s="12" t="s">
        <v>257</v>
      </c>
      <c r="I3" s="12" t="s">
        <v>37</v>
      </c>
      <c r="J3" s="15"/>
      <c r="K3" s="15" t="s">
        <v>258</v>
      </c>
      <c r="L3" s="16">
        <v>1</v>
      </c>
      <c r="M3" s="16">
        <v>1</v>
      </c>
      <c r="N3" s="15" t="s">
        <v>259</v>
      </c>
      <c r="O3" s="15" t="s">
        <v>260</v>
      </c>
      <c r="P3" s="17">
        <v>3</v>
      </c>
      <c r="Q3" s="15" t="s">
        <v>261</v>
      </c>
      <c r="R3" s="15">
        <v>1</v>
      </c>
      <c r="S3" s="15" t="s">
        <v>262</v>
      </c>
      <c r="T3" s="15" t="s">
        <v>37</v>
      </c>
      <c r="U3" s="18"/>
      <c r="V3" s="18" t="s">
        <v>263</v>
      </c>
      <c r="W3" s="19">
        <v>1</v>
      </c>
      <c r="X3" s="19">
        <v>1</v>
      </c>
      <c r="Y3" s="18" t="s">
        <v>264</v>
      </c>
      <c r="Z3" s="18" t="s">
        <v>265</v>
      </c>
      <c r="AA3" s="18">
        <v>0</v>
      </c>
      <c r="AB3" s="29" t="s">
        <v>44</v>
      </c>
      <c r="AC3" s="18">
        <v>0</v>
      </c>
      <c r="AD3" s="18" t="s">
        <v>266</v>
      </c>
      <c r="AE3" s="18" t="s">
        <v>37</v>
      </c>
      <c r="AF3" s="20"/>
      <c r="AG3" s="20" t="s">
        <v>267</v>
      </c>
      <c r="AH3" s="21">
        <v>1</v>
      </c>
      <c r="AI3" s="21">
        <v>1</v>
      </c>
      <c r="AJ3" s="20" t="s">
        <v>268</v>
      </c>
      <c r="AK3" s="20">
        <v>1</v>
      </c>
      <c r="AL3" s="20" t="s">
        <v>269</v>
      </c>
      <c r="AM3" s="20" t="s">
        <v>42</v>
      </c>
      <c r="AN3" s="15"/>
      <c r="AO3" s="15" t="s">
        <v>241</v>
      </c>
      <c r="AP3" s="16">
        <v>1</v>
      </c>
      <c r="AQ3" s="16">
        <v>1</v>
      </c>
      <c r="AR3" s="15" t="s">
        <v>270</v>
      </c>
      <c r="AS3" s="15" t="s">
        <v>271</v>
      </c>
      <c r="AT3" s="15">
        <v>2</v>
      </c>
      <c r="AU3" s="17">
        <v>0</v>
      </c>
      <c r="AV3" s="15" t="s">
        <v>41</v>
      </c>
      <c r="AW3" s="15">
        <v>1</v>
      </c>
      <c r="AX3" s="15" t="s">
        <v>272</v>
      </c>
      <c r="AY3" s="15" t="s">
        <v>42</v>
      </c>
      <c r="AZ3" s="18"/>
      <c r="BA3" s="18" t="s">
        <v>273</v>
      </c>
      <c r="BB3" s="19">
        <v>1</v>
      </c>
      <c r="BC3" s="19">
        <v>1</v>
      </c>
      <c r="BD3" s="18" t="s">
        <v>274</v>
      </c>
      <c r="BE3" s="18">
        <v>0</v>
      </c>
      <c r="BF3" s="18" t="s">
        <v>275</v>
      </c>
      <c r="BG3" s="18" t="s">
        <v>42</v>
      </c>
      <c r="BH3" s="12"/>
      <c r="BI3" s="12" t="s">
        <v>3698</v>
      </c>
      <c r="BJ3" s="12">
        <v>1</v>
      </c>
      <c r="BK3" s="12">
        <v>1</v>
      </c>
      <c r="BL3" s="12" t="s">
        <v>3699</v>
      </c>
      <c r="BM3" s="12">
        <v>0.5</v>
      </c>
      <c r="BN3" s="12" t="s">
        <v>278</v>
      </c>
      <c r="BO3" s="12" t="s">
        <v>37</v>
      </c>
      <c r="BP3" s="20"/>
      <c r="BQ3" s="20" t="s">
        <v>1533</v>
      </c>
      <c r="BR3" s="20">
        <v>1</v>
      </c>
      <c r="BS3" s="20">
        <v>1</v>
      </c>
      <c r="BT3" s="20" t="s">
        <v>1534</v>
      </c>
      <c r="BU3" s="20" t="s">
        <v>1535</v>
      </c>
      <c r="BV3" s="20">
        <v>0</v>
      </c>
      <c r="BW3" s="20" t="s">
        <v>162</v>
      </c>
      <c r="BX3" s="20">
        <v>0</v>
      </c>
      <c r="BY3" s="20" t="s">
        <v>282</v>
      </c>
      <c r="BZ3" s="20" t="s">
        <v>37</v>
      </c>
    </row>
    <row r="4" spans="1:78">
      <c r="A4">
        <v>10003</v>
      </c>
      <c r="B4" s="12"/>
      <c r="C4" s="12" t="s">
        <v>283</v>
      </c>
      <c r="D4" s="13">
        <v>0</v>
      </c>
      <c r="E4" s="13">
        <v>1</v>
      </c>
      <c r="F4" s="12" t="s">
        <v>284</v>
      </c>
      <c r="G4" s="13">
        <v>1</v>
      </c>
      <c r="H4" s="12" t="s">
        <v>285</v>
      </c>
      <c r="I4" s="12" t="s">
        <v>35</v>
      </c>
      <c r="J4" s="15"/>
      <c r="K4" s="15" t="s">
        <v>286</v>
      </c>
      <c r="L4" s="16">
        <v>1</v>
      </c>
      <c r="M4" s="16">
        <v>1</v>
      </c>
      <c r="N4" s="15" t="s">
        <v>287</v>
      </c>
      <c r="O4" s="15" t="s">
        <v>175</v>
      </c>
      <c r="P4" s="17">
        <v>0</v>
      </c>
      <c r="Q4" s="15" t="s">
        <v>288</v>
      </c>
      <c r="R4" s="15">
        <v>0.5</v>
      </c>
      <c r="S4" s="15" t="s">
        <v>289</v>
      </c>
      <c r="T4" s="15" t="s">
        <v>37</v>
      </c>
      <c r="U4" s="18"/>
      <c r="V4" s="18" t="s">
        <v>290</v>
      </c>
      <c r="W4" s="18">
        <v>1</v>
      </c>
      <c r="X4" s="18">
        <v>1</v>
      </c>
      <c r="Y4" s="18" t="s">
        <v>291</v>
      </c>
      <c r="Z4" s="18" t="s">
        <v>292</v>
      </c>
      <c r="AA4" s="18">
        <v>2</v>
      </c>
      <c r="AB4" s="29" t="s">
        <v>293</v>
      </c>
      <c r="AC4" s="18">
        <v>0.5</v>
      </c>
      <c r="AD4" s="18" t="s">
        <v>294</v>
      </c>
      <c r="AE4" s="18" t="s">
        <v>37</v>
      </c>
      <c r="AF4" s="20"/>
      <c r="AG4" s="20" t="s">
        <v>295</v>
      </c>
      <c r="AH4" s="21">
        <v>1</v>
      </c>
      <c r="AI4" s="21">
        <v>1</v>
      </c>
      <c r="AJ4" s="20" t="s">
        <v>296</v>
      </c>
      <c r="AK4" s="20">
        <v>0</v>
      </c>
      <c r="AL4" s="20" t="s">
        <v>285</v>
      </c>
      <c r="AM4" s="20" t="s">
        <v>35</v>
      </c>
      <c r="AN4" s="15"/>
      <c r="AO4" s="15" t="s">
        <v>297</v>
      </c>
      <c r="AP4" s="16">
        <v>1</v>
      </c>
      <c r="AQ4" s="16">
        <v>1</v>
      </c>
      <c r="AR4" s="15" t="s">
        <v>298</v>
      </c>
      <c r="AS4" s="15" t="s">
        <v>298</v>
      </c>
      <c r="AT4" s="15">
        <v>2</v>
      </c>
      <c r="AU4" s="17">
        <v>0</v>
      </c>
      <c r="AV4" s="15" t="s">
        <v>299</v>
      </c>
      <c r="AW4" s="15">
        <v>0</v>
      </c>
      <c r="AX4" s="15" t="s">
        <v>285</v>
      </c>
      <c r="AY4" s="15" t="s">
        <v>35</v>
      </c>
      <c r="AZ4" s="18"/>
      <c r="BA4" s="18" t="s">
        <v>300</v>
      </c>
      <c r="BB4" s="19">
        <v>1</v>
      </c>
      <c r="BC4" s="19">
        <v>1</v>
      </c>
      <c r="BD4" s="18" t="s">
        <v>40</v>
      </c>
      <c r="BE4" s="18">
        <v>0</v>
      </c>
      <c r="BF4" s="18" t="s">
        <v>301</v>
      </c>
      <c r="BG4" s="18" t="s">
        <v>37</v>
      </c>
      <c r="BH4" s="12"/>
      <c r="BI4" s="12" t="s">
        <v>483</v>
      </c>
      <c r="BJ4" s="12">
        <v>1</v>
      </c>
      <c r="BK4" s="12">
        <v>1</v>
      </c>
      <c r="BL4" s="12" t="s">
        <v>619</v>
      </c>
      <c r="BM4" s="12">
        <v>0</v>
      </c>
      <c r="BN4" s="12" t="s">
        <v>301</v>
      </c>
      <c r="BO4" s="12" t="s">
        <v>37</v>
      </c>
      <c r="BP4" s="20"/>
      <c r="BQ4" s="20" t="s">
        <v>1752</v>
      </c>
      <c r="BR4" s="20">
        <v>0</v>
      </c>
      <c r="BS4" s="20">
        <v>1</v>
      </c>
      <c r="BT4" s="20" t="s">
        <v>1753</v>
      </c>
      <c r="BU4" s="20" t="s">
        <v>57</v>
      </c>
      <c r="BV4" s="20">
        <v>0</v>
      </c>
      <c r="BW4" s="20" t="s">
        <v>49</v>
      </c>
      <c r="BX4" s="20">
        <v>0</v>
      </c>
      <c r="BY4" s="20" t="s">
        <v>306</v>
      </c>
      <c r="BZ4" s="20" t="s">
        <v>35</v>
      </c>
    </row>
    <row r="5" spans="1:78">
      <c r="A5">
        <v>10004</v>
      </c>
      <c r="B5" s="12"/>
      <c r="C5" s="12" t="s">
        <v>228</v>
      </c>
      <c r="D5" s="13">
        <v>1</v>
      </c>
      <c r="E5" s="13">
        <v>1</v>
      </c>
      <c r="F5" s="12" t="s">
        <v>307</v>
      </c>
      <c r="G5" s="13">
        <v>2</v>
      </c>
      <c r="H5" s="12" t="s">
        <v>308</v>
      </c>
      <c r="I5" s="12" t="s">
        <v>37</v>
      </c>
      <c r="J5" s="15"/>
      <c r="K5" s="15" t="s">
        <v>230</v>
      </c>
      <c r="L5" s="16">
        <v>1</v>
      </c>
      <c r="M5" s="16">
        <v>1</v>
      </c>
      <c r="N5" s="15" t="s">
        <v>309</v>
      </c>
      <c r="O5" s="15" t="s">
        <v>310</v>
      </c>
      <c r="P5" s="17">
        <v>0</v>
      </c>
      <c r="Q5" s="15" t="s">
        <v>311</v>
      </c>
      <c r="R5" s="15">
        <v>1</v>
      </c>
      <c r="S5" s="15" t="s">
        <v>312</v>
      </c>
      <c r="T5" s="15" t="s">
        <v>43</v>
      </c>
      <c r="U5" s="18"/>
      <c r="V5" s="18" t="s">
        <v>313</v>
      </c>
      <c r="W5" s="19">
        <v>1</v>
      </c>
      <c r="X5" s="19">
        <v>1</v>
      </c>
      <c r="Y5" s="18" t="s">
        <v>314</v>
      </c>
      <c r="Z5" s="18" t="s">
        <v>315</v>
      </c>
      <c r="AA5" s="18">
        <v>1</v>
      </c>
      <c r="AB5" s="29" t="s">
        <v>316</v>
      </c>
      <c r="AC5" s="18">
        <v>1</v>
      </c>
      <c r="AD5" s="18" t="s">
        <v>317</v>
      </c>
      <c r="AE5" s="18" t="s">
        <v>43</v>
      </c>
      <c r="AF5" s="20"/>
      <c r="AG5" s="20" t="s">
        <v>238</v>
      </c>
      <c r="AH5" s="21">
        <v>1</v>
      </c>
      <c r="AI5" s="21">
        <v>1</v>
      </c>
      <c r="AJ5" s="20" t="s">
        <v>318</v>
      </c>
      <c r="AK5" s="20">
        <v>0</v>
      </c>
      <c r="AL5" s="20" t="s">
        <v>319</v>
      </c>
      <c r="AM5" s="20" t="s">
        <v>35</v>
      </c>
      <c r="AN5" s="15"/>
      <c r="AO5" s="15" t="s">
        <v>320</v>
      </c>
      <c r="AP5" s="16">
        <v>1</v>
      </c>
      <c r="AQ5" s="16">
        <v>1</v>
      </c>
      <c r="AR5" s="15" t="s">
        <v>321</v>
      </c>
      <c r="AS5" s="15" t="s">
        <v>322</v>
      </c>
      <c r="AT5" s="15">
        <v>3</v>
      </c>
      <c r="AU5" s="17">
        <v>2</v>
      </c>
      <c r="AV5" s="15" t="s">
        <v>323</v>
      </c>
      <c r="AW5" s="15">
        <v>0</v>
      </c>
      <c r="AX5" s="15" t="s">
        <v>324</v>
      </c>
      <c r="AY5" s="15" t="s">
        <v>43</v>
      </c>
      <c r="AZ5" s="18"/>
      <c r="BA5" s="18" t="s">
        <v>325</v>
      </c>
      <c r="BB5" s="19">
        <v>1</v>
      </c>
      <c r="BC5" s="19">
        <v>1</v>
      </c>
      <c r="BD5" s="18" t="s">
        <v>326</v>
      </c>
      <c r="BE5" s="18">
        <v>0</v>
      </c>
      <c r="BF5" s="18" t="s">
        <v>327</v>
      </c>
      <c r="BG5" s="18" t="s">
        <v>37</v>
      </c>
      <c r="BH5" s="12"/>
      <c r="BI5" s="12" t="s">
        <v>248</v>
      </c>
      <c r="BJ5" s="12">
        <v>1</v>
      </c>
      <c r="BK5" s="12">
        <v>1</v>
      </c>
      <c r="BL5" s="12" t="s">
        <v>2784</v>
      </c>
      <c r="BM5" s="12">
        <v>0.5</v>
      </c>
      <c r="BN5" s="12" t="s">
        <v>330</v>
      </c>
      <c r="BO5" s="12" t="s">
        <v>37</v>
      </c>
      <c r="BP5" s="20"/>
      <c r="BQ5" s="20" t="s">
        <v>1865</v>
      </c>
      <c r="BR5" s="20">
        <v>1</v>
      </c>
      <c r="BS5" s="20">
        <v>1</v>
      </c>
      <c r="BT5" s="20" t="s">
        <v>1866</v>
      </c>
      <c r="BU5" s="20" t="s">
        <v>1867</v>
      </c>
      <c r="BV5" s="20">
        <v>1</v>
      </c>
      <c r="BW5" s="20" t="s">
        <v>334</v>
      </c>
      <c r="BX5" s="20">
        <v>1</v>
      </c>
      <c r="BY5" s="20" t="s">
        <v>335</v>
      </c>
      <c r="BZ5" s="20" t="s">
        <v>37</v>
      </c>
    </row>
    <row r="6" spans="1:78">
      <c r="A6">
        <v>10005</v>
      </c>
      <c r="B6" s="12"/>
      <c r="C6" s="12" t="s">
        <v>336</v>
      </c>
      <c r="D6" s="14">
        <v>1</v>
      </c>
      <c r="E6" s="14">
        <v>1</v>
      </c>
      <c r="F6" s="12" t="s">
        <v>337</v>
      </c>
      <c r="G6" s="13">
        <v>3</v>
      </c>
      <c r="H6" s="12" t="s">
        <v>338</v>
      </c>
      <c r="I6" s="12" t="s">
        <v>43</v>
      </c>
      <c r="J6" s="15"/>
      <c r="K6" s="15" t="s">
        <v>339</v>
      </c>
      <c r="L6" s="16">
        <v>1</v>
      </c>
      <c r="M6" s="16">
        <v>0</v>
      </c>
      <c r="N6" s="15" t="s">
        <v>340</v>
      </c>
      <c r="O6" s="15" t="s">
        <v>341</v>
      </c>
      <c r="P6" s="17">
        <v>1</v>
      </c>
      <c r="Q6" s="15" t="s">
        <v>342</v>
      </c>
      <c r="R6" s="15">
        <v>1</v>
      </c>
      <c r="S6" s="15" t="s">
        <v>343</v>
      </c>
      <c r="T6" s="15" t="s">
        <v>42</v>
      </c>
      <c r="U6" s="18"/>
      <c r="V6" s="18" t="s">
        <v>344</v>
      </c>
      <c r="W6" s="19">
        <v>1</v>
      </c>
      <c r="X6" s="19">
        <v>1</v>
      </c>
      <c r="Y6" s="18" t="s">
        <v>345</v>
      </c>
      <c r="Z6" s="18" t="s">
        <v>346</v>
      </c>
      <c r="AA6" s="18">
        <v>2</v>
      </c>
      <c r="AB6" s="29" t="s">
        <v>347</v>
      </c>
      <c r="AC6" s="18">
        <v>0.5</v>
      </c>
      <c r="AD6" s="18" t="s">
        <v>348</v>
      </c>
      <c r="AE6" s="18" t="s">
        <v>43</v>
      </c>
      <c r="AF6" s="20"/>
      <c r="AG6" s="20" t="s">
        <v>349</v>
      </c>
      <c r="AH6" s="21">
        <v>1</v>
      </c>
      <c r="AI6" s="21">
        <v>0.5</v>
      </c>
      <c r="AJ6" s="20" t="s">
        <v>350</v>
      </c>
      <c r="AK6" s="20">
        <v>0</v>
      </c>
      <c r="AL6" s="20" t="s">
        <v>351</v>
      </c>
      <c r="AM6" s="20" t="s">
        <v>42</v>
      </c>
      <c r="AN6" s="15"/>
      <c r="AO6" s="15" t="s">
        <v>352</v>
      </c>
      <c r="AP6" s="16">
        <v>1</v>
      </c>
      <c r="AQ6" s="16">
        <v>1</v>
      </c>
      <c r="AR6" s="15" t="s">
        <v>353</v>
      </c>
      <c r="AS6" s="15" t="s">
        <v>354</v>
      </c>
      <c r="AT6" s="15">
        <v>2</v>
      </c>
      <c r="AU6" s="17">
        <v>0</v>
      </c>
      <c r="AV6" s="15" t="s">
        <v>355</v>
      </c>
      <c r="AW6" s="15">
        <v>0</v>
      </c>
      <c r="AX6" s="15" t="s">
        <v>356</v>
      </c>
      <c r="AY6" s="15" t="s">
        <v>42</v>
      </c>
      <c r="AZ6" s="18"/>
      <c r="BA6" s="18" t="s">
        <v>357</v>
      </c>
      <c r="BB6" s="19">
        <v>0</v>
      </c>
      <c r="BC6" s="19">
        <v>0</v>
      </c>
      <c r="BD6" s="18" t="s">
        <v>358</v>
      </c>
      <c r="BE6" s="18">
        <v>0</v>
      </c>
      <c r="BF6" s="18" t="s">
        <v>359</v>
      </c>
      <c r="BG6" s="18" t="s">
        <v>37</v>
      </c>
      <c r="BH6" s="12"/>
      <c r="BI6" s="12" t="s">
        <v>796</v>
      </c>
      <c r="BJ6" s="12">
        <v>0</v>
      </c>
      <c r="BK6" s="12">
        <v>0</v>
      </c>
      <c r="BL6" s="12" t="s">
        <v>89</v>
      </c>
      <c r="BM6" s="12">
        <v>0</v>
      </c>
      <c r="BN6" s="12" t="s">
        <v>362</v>
      </c>
      <c r="BO6" s="12" t="s">
        <v>42</v>
      </c>
      <c r="BP6" s="20"/>
      <c r="BQ6" s="20" t="s">
        <v>3130</v>
      </c>
      <c r="BR6" s="20">
        <v>0</v>
      </c>
      <c r="BS6" s="20">
        <v>0</v>
      </c>
      <c r="BT6" s="20" t="s">
        <v>3131</v>
      </c>
      <c r="BU6" s="20" t="s">
        <v>3132</v>
      </c>
      <c r="BV6" s="20">
        <v>0</v>
      </c>
      <c r="BW6" s="20" t="s">
        <v>366</v>
      </c>
      <c r="BX6" s="20">
        <v>0</v>
      </c>
      <c r="BY6" s="20" t="s">
        <v>367</v>
      </c>
      <c r="BZ6" s="20" t="s">
        <v>37</v>
      </c>
    </row>
    <row r="7" spans="1:78">
      <c r="A7">
        <v>10006</v>
      </c>
      <c r="B7" s="12"/>
      <c r="C7" s="12" t="s">
        <v>228</v>
      </c>
      <c r="D7" s="14">
        <v>1</v>
      </c>
      <c r="E7" s="14">
        <v>1</v>
      </c>
      <c r="F7" s="12" t="s">
        <v>368</v>
      </c>
      <c r="G7" s="13">
        <v>3</v>
      </c>
      <c r="H7" s="12" t="s">
        <v>369</v>
      </c>
      <c r="I7" s="12" t="s">
        <v>42</v>
      </c>
      <c r="J7" s="15"/>
      <c r="K7" s="15" t="s">
        <v>230</v>
      </c>
      <c r="L7" s="16">
        <v>1</v>
      </c>
      <c r="M7" s="16">
        <v>1</v>
      </c>
      <c r="N7" s="15" t="s">
        <v>370</v>
      </c>
      <c r="O7" s="15" t="s">
        <v>371</v>
      </c>
      <c r="P7" s="17">
        <v>1</v>
      </c>
      <c r="Q7" s="15" t="s">
        <v>372</v>
      </c>
      <c r="R7" s="15">
        <v>0.5</v>
      </c>
      <c r="S7" s="15" t="s">
        <v>93</v>
      </c>
      <c r="T7" s="15" t="s">
        <v>37</v>
      </c>
      <c r="U7" s="18"/>
      <c r="V7" s="18" t="s">
        <v>263</v>
      </c>
      <c r="W7" s="18">
        <v>1</v>
      </c>
      <c r="X7" s="18">
        <v>1</v>
      </c>
      <c r="Y7" s="18" t="s">
        <v>373</v>
      </c>
      <c r="Z7" s="18" t="s">
        <v>374</v>
      </c>
      <c r="AA7" s="18">
        <v>2</v>
      </c>
      <c r="AB7" s="29" t="s">
        <v>375</v>
      </c>
      <c r="AC7" s="18">
        <v>0.5</v>
      </c>
      <c r="AD7" s="18" t="s">
        <v>93</v>
      </c>
      <c r="AE7" s="18" t="s">
        <v>37</v>
      </c>
      <c r="AF7" s="20"/>
      <c r="AG7" s="20" t="s">
        <v>238</v>
      </c>
      <c r="AH7" s="21">
        <v>1</v>
      </c>
      <c r="AI7" s="21">
        <v>1</v>
      </c>
      <c r="AJ7" s="20" t="s">
        <v>376</v>
      </c>
      <c r="AK7" s="20">
        <v>0</v>
      </c>
      <c r="AL7" s="20" t="s">
        <v>377</v>
      </c>
      <c r="AM7" s="20" t="s">
        <v>43</v>
      </c>
      <c r="AN7" s="15"/>
      <c r="AO7" s="15" t="s">
        <v>352</v>
      </c>
      <c r="AP7" s="16">
        <v>1</v>
      </c>
      <c r="AQ7" s="16">
        <v>1</v>
      </c>
      <c r="AR7" s="15" t="s">
        <v>378</v>
      </c>
      <c r="AS7" s="15" t="s">
        <v>371</v>
      </c>
      <c r="AT7" s="15">
        <v>2</v>
      </c>
      <c r="AU7" s="17">
        <v>0</v>
      </c>
      <c r="AV7" s="15" t="s">
        <v>54</v>
      </c>
      <c r="AW7" s="15">
        <v>1</v>
      </c>
      <c r="AX7" s="15" t="s">
        <v>93</v>
      </c>
      <c r="AY7" s="15" t="s">
        <v>37</v>
      </c>
      <c r="AZ7" s="18"/>
      <c r="BA7" s="18" t="s">
        <v>379</v>
      </c>
      <c r="BB7" s="19">
        <v>1</v>
      </c>
      <c r="BC7" s="19">
        <v>1</v>
      </c>
      <c r="BD7" s="18" t="s">
        <v>380</v>
      </c>
      <c r="BE7" s="18">
        <v>0</v>
      </c>
      <c r="BF7" s="18" t="s">
        <v>93</v>
      </c>
      <c r="BG7" s="18" t="s">
        <v>37</v>
      </c>
      <c r="BH7" s="12"/>
      <c r="BI7" s="12" t="s">
        <v>3700</v>
      </c>
      <c r="BJ7" s="12">
        <v>1</v>
      </c>
      <c r="BK7" s="12">
        <v>1</v>
      </c>
      <c r="BL7" s="12" t="s">
        <v>3701</v>
      </c>
      <c r="BM7" s="12">
        <v>0</v>
      </c>
      <c r="BN7" s="12" t="s">
        <v>382</v>
      </c>
      <c r="BO7" s="12" t="s">
        <v>37</v>
      </c>
      <c r="BP7" s="20"/>
      <c r="BQ7" s="20" t="s">
        <v>655</v>
      </c>
      <c r="BR7" s="20">
        <v>1</v>
      </c>
      <c r="BS7" s="20">
        <v>1</v>
      </c>
      <c r="BT7" s="20" t="s">
        <v>3165</v>
      </c>
      <c r="BU7" s="20" t="s">
        <v>3166</v>
      </c>
      <c r="BV7" s="20">
        <v>0</v>
      </c>
      <c r="BW7" s="20" t="s">
        <v>386</v>
      </c>
      <c r="BX7" s="20">
        <v>0</v>
      </c>
      <c r="BY7" s="20" t="s">
        <v>93</v>
      </c>
      <c r="BZ7" s="20" t="s">
        <v>37</v>
      </c>
    </row>
    <row r="8" spans="1:78">
      <c r="A8">
        <v>10007</v>
      </c>
      <c r="B8" s="12"/>
      <c r="C8" s="12" t="s">
        <v>387</v>
      </c>
      <c r="D8" s="14">
        <v>1</v>
      </c>
      <c r="E8" s="14">
        <v>1</v>
      </c>
      <c r="F8" s="12" t="s">
        <v>388</v>
      </c>
      <c r="G8" s="13">
        <v>0</v>
      </c>
      <c r="H8" s="12" t="s">
        <v>389</v>
      </c>
      <c r="I8" s="12" t="s">
        <v>42</v>
      </c>
      <c r="J8" s="15"/>
      <c r="K8" s="15" t="s">
        <v>390</v>
      </c>
      <c r="L8" s="16">
        <v>1</v>
      </c>
      <c r="M8" s="16">
        <v>1</v>
      </c>
      <c r="N8" s="15" t="s">
        <v>391</v>
      </c>
      <c r="O8" s="15" t="s">
        <v>392</v>
      </c>
      <c r="P8" s="17">
        <v>1</v>
      </c>
      <c r="Q8" s="15" t="s">
        <v>393</v>
      </c>
      <c r="R8" s="15">
        <v>0</v>
      </c>
      <c r="S8" s="15" t="s">
        <v>394</v>
      </c>
      <c r="T8" s="15" t="s">
        <v>35</v>
      </c>
      <c r="U8" s="18"/>
      <c r="V8" s="18" t="s">
        <v>395</v>
      </c>
      <c r="W8" s="19">
        <v>1</v>
      </c>
      <c r="X8" s="19">
        <v>1</v>
      </c>
      <c r="Y8" s="18" t="s">
        <v>396</v>
      </c>
      <c r="Z8" s="18" t="s">
        <v>397</v>
      </c>
      <c r="AA8" s="18">
        <v>3</v>
      </c>
      <c r="AB8" s="29" t="s">
        <v>398</v>
      </c>
      <c r="AC8" s="18">
        <v>0.5</v>
      </c>
      <c r="AD8" s="18" t="s">
        <v>399</v>
      </c>
      <c r="AE8" s="18" t="s">
        <v>37</v>
      </c>
      <c r="AF8" s="20"/>
      <c r="AG8" s="20" t="s">
        <v>400</v>
      </c>
      <c r="AH8" s="21">
        <v>1</v>
      </c>
      <c r="AI8" s="21">
        <v>1</v>
      </c>
      <c r="AJ8" s="20" t="s">
        <v>401</v>
      </c>
      <c r="AK8" s="20">
        <v>0</v>
      </c>
      <c r="AL8" s="20" t="s">
        <v>402</v>
      </c>
      <c r="AM8" s="20" t="s">
        <v>37</v>
      </c>
      <c r="AN8" s="15"/>
      <c r="AO8" s="15" t="s">
        <v>403</v>
      </c>
      <c r="AP8" s="16">
        <v>1</v>
      </c>
      <c r="AQ8" s="16">
        <v>1</v>
      </c>
      <c r="AR8" s="15" t="s">
        <v>404</v>
      </c>
      <c r="AS8" s="15" t="s">
        <v>405</v>
      </c>
      <c r="AT8" s="15">
        <v>2</v>
      </c>
      <c r="AU8" s="17">
        <v>0</v>
      </c>
      <c r="AV8" s="15" t="s">
        <v>406</v>
      </c>
      <c r="AW8" s="15">
        <v>1</v>
      </c>
      <c r="AX8" s="15" t="s">
        <v>407</v>
      </c>
      <c r="AY8" s="15" t="s">
        <v>67</v>
      </c>
      <c r="AZ8" s="18"/>
      <c r="BA8" s="18" t="s">
        <v>408</v>
      </c>
      <c r="BB8" s="19">
        <v>0</v>
      </c>
      <c r="BC8" s="19">
        <v>0</v>
      </c>
      <c r="BD8" s="18" t="s">
        <v>409</v>
      </c>
      <c r="BE8" s="18">
        <v>0</v>
      </c>
      <c r="BF8" s="18" t="s">
        <v>410</v>
      </c>
      <c r="BG8" s="18" t="s">
        <v>37</v>
      </c>
      <c r="BH8" s="12"/>
      <c r="BI8" s="12" t="s">
        <v>652</v>
      </c>
      <c r="BJ8" s="12">
        <v>1</v>
      </c>
      <c r="BK8" s="12">
        <v>1</v>
      </c>
      <c r="BL8" s="12" t="s">
        <v>653</v>
      </c>
      <c r="BM8" s="12">
        <v>0.5</v>
      </c>
      <c r="BN8" s="12" t="s">
        <v>413</v>
      </c>
      <c r="BO8" s="12" t="s">
        <v>37</v>
      </c>
      <c r="BP8" s="20"/>
      <c r="BQ8" s="20" t="s">
        <v>2137</v>
      </c>
      <c r="BR8" s="20">
        <v>1</v>
      </c>
      <c r="BS8" s="20">
        <v>1</v>
      </c>
      <c r="BT8" s="20" t="s">
        <v>2138</v>
      </c>
      <c r="BU8" s="20" t="s">
        <v>2139</v>
      </c>
      <c r="BV8" s="20">
        <v>1</v>
      </c>
      <c r="BW8" s="20" t="s">
        <v>417</v>
      </c>
      <c r="BX8" s="20">
        <v>0</v>
      </c>
      <c r="BY8" s="20" t="s">
        <v>418</v>
      </c>
      <c r="BZ8" s="20" t="s">
        <v>35</v>
      </c>
    </row>
    <row r="9" spans="1:78">
      <c r="A9">
        <v>10008</v>
      </c>
      <c r="B9" s="12"/>
      <c r="C9" s="12" t="s">
        <v>419</v>
      </c>
      <c r="D9" s="14">
        <v>0</v>
      </c>
      <c r="E9" s="14">
        <v>1</v>
      </c>
      <c r="F9" s="12" t="s">
        <v>420</v>
      </c>
      <c r="G9" s="13">
        <v>3</v>
      </c>
      <c r="H9" s="12" t="s">
        <v>421</v>
      </c>
      <c r="I9" s="12" t="s">
        <v>37</v>
      </c>
      <c r="J9" s="15"/>
      <c r="K9" s="15" t="s">
        <v>422</v>
      </c>
      <c r="L9" s="16">
        <v>0</v>
      </c>
      <c r="M9" s="16">
        <v>0</v>
      </c>
      <c r="N9" s="15" t="s">
        <v>423</v>
      </c>
      <c r="O9" s="15" t="s">
        <v>424</v>
      </c>
      <c r="P9" s="17">
        <v>2</v>
      </c>
      <c r="Q9" s="15" t="s">
        <v>47</v>
      </c>
      <c r="R9" s="15">
        <v>0.5</v>
      </c>
      <c r="S9" s="15" t="s">
        <v>72</v>
      </c>
      <c r="T9" s="15" t="s">
        <v>35</v>
      </c>
      <c r="U9" s="18"/>
      <c r="V9" s="18" t="s">
        <v>425</v>
      </c>
      <c r="W9" s="18">
        <v>1</v>
      </c>
      <c r="X9" s="18">
        <v>0</v>
      </c>
      <c r="Y9" s="18" t="s">
        <v>426</v>
      </c>
      <c r="Z9" s="18" t="s">
        <v>77</v>
      </c>
      <c r="AA9" s="18">
        <v>1</v>
      </c>
      <c r="AB9" s="29" t="s">
        <v>427</v>
      </c>
      <c r="AC9" s="18">
        <v>0.5</v>
      </c>
      <c r="AD9" s="18" t="s">
        <v>147</v>
      </c>
      <c r="AE9" s="18" t="s">
        <v>43</v>
      </c>
      <c r="AF9" s="20"/>
      <c r="AG9" s="20" t="s">
        <v>428</v>
      </c>
      <c r="AH9" s="21">
        <v>1</v>
      </c>
      <c r="AI9" s="21">
        <v>0.5</v>
      </c>
      <c r="AJ9" s="20" t="s">
        <v>104</v>
      </c>
      <c r="AK9" s="20">
        <v>0</v>
      </c>
      <c r="AL9" s="20" t="s">
        <v>429</v>
      </c>
      <c r="AM9" s="20" t="s">
        <v>37</v>
      </c>
      <c r="AN9" s="15"/>
      <c r="AO9" s="15" t="s">
        <v>430</v>
      </c>
      <c r="AP9" s="16">
        <v>0</v>
      </c>
      <c r="AQ9" s="16">
        <v>1</v>
      </c>
      <c r="AR9" s="15" t="s">
        <v>431</v>
      </c>
      <c r="AS9" s="15" t="s">
        <v>432</v>
      </c>
      <c r="AT9" s="15">
        <v>3</v>
      </c>
      <c r="AU9" s="17">
        <v>2</v>
      </c>
      <c r="AV9" s="15" t="s">
        <v>105</v>
      </c>
      <c r="AW9" s="15">
        <v>1</v>
      </c>
      <c r="AX9" s="15" t="s">
        <v>433</v>
      </c>
      <c r="AY9" s="15" t="s">
        <v>35</v>
      </c>
      <c r="AZ9" s="18"/>
      <c r="BA9" s="18" t="s">
        <v>434</v>
      </c>
      <c r="BB9" s="19">
        <v>0</v>
      </c>
      <c r="BC9" s="19">
        <v>0</v>
      </c>
      <c r="BD9" s="18" t="s">
        <v>78</v>
      </c>
      <c r="BE9" s="18">
        <v>0</v>
      </c>
      <c r="BF9" s="18" t="s">
        <v>435</v>
      </c>
      <c r="BG9" s="18" t="s">
        <v>35</v>
      </c>
      <c r="BH9" s="12"/>
      <c r="BI9" s="12" t="s">
        <v>248</v>
      </c>
      <c r="BJ9" s="12">
        <v>1</v>
      </c>
      <c r="BK9" s="12">
        <v>1</v>
      </c>
      <c r="BL9" s="12" t="s">
        <v>3702</v>
      </c>
      <c r="BM9" s="12">
        <v>0.5</v>
      </c>
      <c r="BN9" s="12" t="s">
        <v>72</v>
      </c>
      <c r="BO9" s="12" t="s">
        <v>35</v>
      </c>
      <c r="BP9" s="20"/>
      <c r="BQ9" s="20" t="s">
        <v>3191</v>
      </c>
      <c r="BR9" s="20">
        <v>0</v>
      </c>
      <c r="BS9" s="20">
        <v>1</v>
      </c>
      <c r="BT9" s="20" t="s">
        <v>3192</v>
      </c>
      <c r="BU9" s="20" t="s">
        <v>3193</v>
      </c>
      <c r="BV9" s="20">
        <v>0</v>
      </c>
      <c r="BW9" s="20" t="s">
        <v>440</v>
      </c>
      <c r="BX9" s="20">
        <v>0</v>
      </c>
      <c r="BY9" s="20" t="s">
        <v>58</v>
      </c>
      <c r="BZ9" s="20" t="s">
        <v>35</v>
      </c>
    </row>
    <row r="10" spans="1:78">
      <c r="A10">
        <v>10009</v>
      </c>
      <c r="B10" s="12"/>
      <c r="C10" s="12" t="s">
        <v>228</v>
      </c>
      <c r="D10" s="14">
        <v>1</v>
      </c>
      <c r="E10" s="14">
        <v>1</v>
      </c>
      <c r="F10" s="12" t="s">
        <v>441</v>
      </c>
      <c r="G10" s="13">
        <v>0</v>
      </c>
      <c r="H10" s="12" t="s">
        <v>442</v>
      </c>
      <c r="I10" s="12" t="s">
        <v>37</v>
      </c>
      <c r="J10" s="15"/>
      <c r="K10" s="15" t="s">
        <v>258</v>
      </c>
      <c r="L10" s="16">
        <v>1</v>
      </c>
      <c r="M10" s="16">
        <v>1</v>
      </c>
      <c r="N10" s="15" t="s">
        <v>443</v>
      </c>
      <c r="O10" s="15" t="s">
        <v>444</v>
      </c>
      <c r="P10" s="17">
        <v>0</v>
      </c>
      <c r="Q10" s="15" t="s">
        <v>52</v>
      </c>
      <c r="R10" s="15">
        <v>0.5</v>
      </c>
      <c r="S10" s="15" t="s">
        <v>445</v>
      </c>
      <c r="T10" s="15" t="s">
        <v>35</v>
      </c>
      <c r="U10" s="18"/>
      <c r="V10" s="18" t="s">
        <v>446</v>
      </c>
      <c r="W10" s="19">
        <v>1</v>
      </c>
      <c r="X10" s="19">
        <v>1</v>
      </c>
      <c r="Y10" s="18" t="s">
        <v>447</v>
      </c>
      <c r="Z10" s="18" t="s">
        <v>448</v>
      </c>
      <c r="AA10" s="18">
        <v>2</v>
      </c>
      <c r="AB10" s="29" t="s">
        <v>155</v>
      </c>
      <c r="AC10" s="18">
        <v>0.5</v>
      </c>
      <c r="AD10" s="18" t="s">
        <v>445</v>
      </c>
      <c r="AE10" s="18" t="s">
        <v>35</v>
      </c>
      <c r="AF10" s="20"/>
      <c r="AG10" s="20" t="s">
        <v>449</v>
      </c>
      <c r="AH10" s="21">
        <v>1</v>
      </c>
      <c r="AI10" s="21">
        <v>1</v>
      </c>
      <c r="AJ10" s="20" t="s">
        <v>79</v>
      </c>
      <c r="AK10" s="20">
        <v>0</v>
      </c>
      <c r="AL10" s="20" t="s">
        <v>445</v>
      </c>
      <c r="AM10" s="20" t="s">
        <v>35</v>
      </c>
      <c r="AN10" s="15"/>
      <c r="AO10" s="15" t="s">
        <v>450</v>
      </c>
      <c r="AP10" s="16">
        <v>1</v>
      </c>
      <c r="AQ10" s="16">
        <v>1</v>
      </c>
      <c r="AR10" s="15" t="s">
        <v>451</v>
      </c>
      <c r="AS10" s="15" t="s">
        <v>452</v>
      </c>
      <c r="AT10" s="15">
        <v>0</v>
      </c>
      <c r="AU10" s="17">
        <v>1</v>
      </c>
      <c r="AV10" s="15" t="s">
        <v>80</v>
      </c>
      <c r="AW10" s="15">
        <v>1</v>
      </c>
      <c r="AX10" s="15" t="s">
        <v>445</v>
      </c>
      <c r="AY10" s="15" t="s">
        <v>35</v>
      </c>
      <c r="AZ10" s="18"/>
      <c r="BA10" s="18" t="s">
        <v>453</v>
      </c>
      <c r="BB10" s="19">
        <v>1</v>
      </c>
      <c r="BC10" s="19">
        <v>1</v>
      </c>
      <c r="BD10" s="18" t="s">
        <v>81</v>
      </c>
      <c r="BE10" s="18">
        <v>0</v>
      </c>
      <c r="BF10" s="18" t="s">
        <v>454</v>
      </c>
      <c r="BG10" s="18" t="s">
        <v>35</v>
      </c>
      <c r="BH10" s="12"/>
      <c r="BI10" s="12" t="s">
        <v>248</v>
      </c>
      <c r="BJ10" s="12">
        <v>1</v>
      </c>
      <c r="BK10" s="12">
        <v>1</v>
      </c>
      <c r="BL10" s="12" t="s">
        <v>1034</v>
      </c>
      <c r="BM10" s="12">
        <v>0.5</v>
      </c>
      <c r="BN10" s="12" t="s">
        <v>457</v>
      </c>
      <c r="BO10" s="12" t="s">
        <v>35</v>
      </c>
      <c r="BP10" s="20"/>
      <c r="BQ10" s="20" t="s">
        <v>3018</v>
      </c>
      <c r="BR10" s="20">
        <v>1</v>
      </c>
      <c r="BS10" s="20">
        <v>1</v>
      </c>
      <c r="BT10" s="20" t="s">
        <v>135</v>
      </c>
      <c r="BU10" s="20" t="s">
        <v>132</v>
      </c>
      <c r="BV10" s="20">
        <v>0</v>
      </c>
      <c r="BW10" s="20" t="s">
        <v>461</v>
      </c>
      <c r="BX10" s="20">
        <v>0</v>
      </c>
      <c r="BY10" s="20" t="s">
        <v>445</v>
      </c>
      <c r="BZ10" s="20" t="s">
        <v>35</v>
      </c>
    </row>
    <row r="11" spans="1:78">
      <c r="A11">
        <v>10010</v>
      </c>
      <c r="B11" s="12"/>
      <c r="C11" s="12" t="s">
        <v>462</v>
      </c>
      <c r="D11" s="14">
        <v>1</v>
      </c>
      <c r="E11" s="14">
        <v>1</v>
      </c>
      <c r="F11" s="12" t="s">
        <v>463</v>
      </c>
      <c r="G11" s="13">
        <v>3</v>
      </c>
      <c r="H11" s="12" t="s">
        <v>464</v>
      </c>
      <c r="I11" s="12" t="s">
        <v>43</v>
      </c>
      <c r="J11" s="15"/>
      <c r="K11" s="15" t="s">
        <v>465</v>
      </c>
      <c r="L11" s="16">
        <v>1</v>
      </c>
      <c r="M11" s="16">
        <v>1</v>
      </c>
      <c r="N11" s="15" t="s">
        <v>466</v>
      </c>
      <c r="O11" s="15" t="s">
        <v>467</v>
      </c>
      <c r="P11" s="17">
        <v>0</v>
      </c>
      <c r="Q11" s="15" t="s">
        <v>468</v>
      </c>
      <c r="R11" s="15">
        <v>1</v>
      </c>
      <c r="S11" s="15" t="s">
        <v>469</v>
      </c>
      <c r="T11" s="15" t="s">
        <v>43</v>
      </c>
      <c r="U11" s="18"/>
      <c r="V11" s="18" t="s">
        <v>263</v>
      </c>
      <c r="W11" s="19">
        <v>1</v>
      </c>
      <c r="X11" s="19">
        <v>1</v>
      </c>
      <c r="Y11" s="18" t="s">
        <v>470</v>
      </c>
      <c r="Z11" s="18" t="s">
        <v>471</v>
      </c>
      <c r="AA11" s="18">
        <v>0</v>
      </c>
      <c r="AB11" s="29" t="s">
        <v>472</v>
      </c>
      <c r="AC11" s="18">
        <v>0.5</v>
      </c>
      <c r="AD11" s="18" t="s">
        <v>473</v>
      </c>
      <c r="AE11" s="18" t="s">
        <v>43</v>
      </c>
      <c r="AF11" s="20"/>
      <c r="AG11" s="20" t="s">
        <v>238</v>
      </c>
      <c r="AH11" s="21">
        <v>1</v>
      </c>
      <c r="AI11" s="21">
        <v>1</v>
      </c>
      <c r="AJ11" s="20" t="s">
        <v>474</v>
      </c>
      <c r="AK11" s="20">
        <v>1</v>
      </c>
      <c r="AL11" s="20" t="s">
        <v>475</v>
      </c>
      <c r="AM11" s="20" t="s">
        <v>43</v>
      </c>
      <c r="AN11" s="15"/>
      <c r="AO11" s="15" t="s">
        <v>241</v>
      </c>
      <c r="AP11" s="16">
        <v>1</v>
      </c>
      <c r="AQ11" s="16">
        <v>1</v>
      </c>
      <c r="AR11" s="15" t="s">
        <v>476</v>
      </c>
      <c r="AS11" s="15" t="s">
        <v>477</v>
      </c>
      <c r="AT11" s="15">
        <v>3</v>
      </c>
      <c r="AU11" s="17">
        <v>0</v>
      </c>
      <c r="AV11" s="15" t="s">
        <v>478</v>
      </c>
      <c r="AW11" s="15">
        <v>0</v>
      </c>
      <c r="AX11" s="15" t="s">
        <v>479</v>
      </c>
      <c r="AY11" s="15" t="s">
        <v>36</v>
      </c>
      <c r="AZ11" s="18"/>
      <c r="BA11" s="18" t="s">
        <v>480</v>
      </c>
      <c r="BB11" s="19">
        <v>1</v>
      </c>
      <c r="BC11" s="19">
        <v>1</v>
      </c>
      <c r="BD11" s="18" t="s">
        <v>481</v>
      </c>
      <c r="BE11" s="18">
        <v>1</v>
      </c>
      <c r="BF11" s="18" t="s">
        <v>482</v>
      </c>
      <c r="BG11" s="18" t="s">
        <v>37</v>
      </c>
      <c r="BH11" s="12"/>
      <c r="BI11" s="12" t="s">
        <v>844</v>
      </c>
      <c r="BJ11" s="12">
        <v>1</v>
      </c>
      <c r="BK11" s="12">
        <v>1</v>
      </c>
      <c r="BL11" s="12" t="s">
        <v>2581</v>
      </c>
      <c r="BM11" s="12">
        <v>0.5</v>
      </c>
      <c r="BN11" s="12" t="s">
        <v>485</v>
      </c>
      <c r="BO11" s="12" t="s">
        <v>37</v>
      </c>
      <c r="BP11" s="20"/>
      <c r="BQ11" s="20" t="s">
        <v>279</v>
      </c>
      <c r="BR11" s="20">
        <v>1</v>
      </c>
      <c r="BS11" s="20">
        <v>1</v>
      </c>
      <c r="BT11" s="20" t="s">
        <v>2685</v>
      </c>
      <c r="BU11" s="20" t="s">
        <v>2688</v>
      </c>
      <c r="BV11" s="20">
        <v>0</v>
      </c>
      <c r="BW11" s="20" t="s">
        <v>489</v>
      </c>
      <c r="BX11" s="20">
        <v>0</v>
      </c>
      <c r="BY11" s="20" t="s">
        <v>490</v>
      </c>
      <c r="BZ11" s="20" t="s">
        <v>37</v>
      </c>
    </row>
    <row r="12" spans="1:78">
      <c r="A12">
        <v>10011</v>
      </c>
      <c r="B12" s="12"/>
      <c r="C12" s="12" t="s">
        <v>228</v>
      </c>
      <c r="D12" s="14">
        <v>1</v>
      </c>
      <c r="E12" s="14">
        <v>1</v>
      </c>
      <c r="F12" s="12" t="s">
        <v>491</v>
      </c>
      <c r="G12" s="13">
        <v>0</v>
      </c>
      <c r="H12" s="12" t="s">
        <v>492</v>
      </c>
      <c r="I12" s="12" t="s">
        <v>42</v>
      </c>
      <c r="J12" s="15"/>
      <c r="K12" s="15" t="s">
        <v>493</v>
      </c>
      <c r="L12" s="16">
        <v>1</v>
      </c>
      <c r="M12" s="16">
        <v>1</v>
      </c>
      <c r="N12" s="15" t="s">
        <v>494</v>
      </c>
      <c r="O12" s="15" t="s">
        <v>495</v>
      </c>
      <c r="P12" s="17">
        <v>3</v>
      </c>
      <c r="Q12" s="15" t="s">
        <v>496</v>
      </c>
      <c r="R12" s="15">
        <v>1</v>
      </c>
      <c r="S12" s="15" t="s">
        <v>497</v>
      </c>
      <c r="T12" s="15" t="s">
        <v>43</v>
      </c>
      <c r="U12" s="18"/>
      <c r="V12" s="18" t="s">
        <v>263</v>
      </c>
      <c r="W12" s="19">
        <v>1</v>
      </c>
      <c r="X12" s="19">
        <v>1</v>
      </c>
      <c r="Y12" s="18" t="s">
        <v>498</v>
      </c>
      <c r="Z12" s="18" t="s">
        <v>499</v>
      </c>
      <c r="AA12" s="18">
        <v>2</v>
      </c>
      <c r="AB12" s="29" t="s">
        <v>500</v>
      </c>
      <c r="AC12" s="18">
        <v>1</v>
      </c>
      <c r="AD12" s="18" t="s">
        <v>501</v>
      </c>
      <c r="AE12" s="18" t="s">
        <v>43</v>
      </c>
      <c r="AF12" s="20"/>
      <c r="AG12" s="20" t="s">
        <v>238</v>
      </c>
      <c r="AH12" s="21">
        <v>1</v>
      </c>
      <c r="AI12" s="21">
        <v>1</v>
      </c>
      <c r="AJ12" s="20" t="s">
        <v>502</v>
      </c>
      <c r="AK12" s="20">
        <v>1</v>
      </c>
      <c r="AL12" s="20" t="s">
        <v>503</v>
      </c>
      <c r="AM12" s="20" t="s">
        <v>43</v>
      </c>
      <c r="AN12" s="15"/>
      <c r="AO12" s="15" t="s">
        <v>241</v>
      </c>
      <c r="AP12" s="16">
        <v>1</v>
      </c>
      <c r="AQ12" s="16">
        <v>1</v>
      </c>
      <c r="AR12" s="15" t="s">
        <v>504</v>
      </c>
      <c r="AS12" s="15" t="s">
        <v>505</v>
      </c>
      <c r="AT12" s="15">
        <v>3</v>
      </c>
      <c r="AU12" s="17">
        <v>0</v>
      </c>
      <c r="AV12" s="15" t="s">
        <v>125</v>
      </c>
      <c r="AW12" s="15">
        <v>1</v>
      </c>
      <c r="AX12" s="15" t="s">
        <v>506</v>
      </c>
      <c r="AY12" s="15" t="s">
        <v>43</v>
      </c>
      <c r="AZ12" s="18"/>
      <c r="BA12" s="18" t="s">
        <v>507</v>
      </c>
      <c r="BB12" s="19">
        <v>1</v>
      </c>
      <c r="BC12" s="19">
        <v>1</v>
      </c>
      <c r="BD12" s="18" t="s">
        <v>508</v>
      </c>
      <c r="BE12" s="18">
        <v>0</v>
      </c>
      <c r="BF12" s="18" t="s">
        <v>509</v>
      </c>
      <c r="BG12" s="18" t="s">
        <v>37</v>
      </c>
      <c r="BH12" s="12"/>
      <c r="BI12" s="12" t="s">
        <v>2763</v>
      </c>
      <c r="BJ12" s="12">
        <v>1</v>
      </c>
      <c r="BK12" s="12">
        <v>1</v>
      </c>
      <c r="BL12" s="12" t="s">
        <v>2764</v>
      </c>
      <c r="BM12" s="12">
        <v>0.5</v>
      </c>
      <c r="BN12" s="12" t="s">
        <v>511</v>
      </c>
      <c r="BO12" s="12" t="s">
        <v>37</v>
      </c>
      <c r="BP12" s="20"/>
      <c r="BQ12" s="20" t="s">
        <v>1248</v>
      </c>
      <c r="BR12" s="20">
        <v>1</v>
      </c>
      <c r="BS12" s="20">
        <v>1</v>
      </c>
      <c r="BT12" s="20" t="s">
        <v>1249</v>
      </c>
      <c r="BU12" s="20" t="s">
        <v>1250</v>
      </c>
      <c r="BV12" s="20">
        <v>1</v>
      </c>
      <c r="BW12" s="20" t="s">
        <v>513</v>
      </c>
      <c r="BX12" s="20">
        <v>1</v>
      </c>
      <c r="BY12" s="20" t="s">
        <v>511</v>
      </c>
      <c r="BZ12" s="20" t="s">
        <v>37</v>
      </c>
    </row>
    <row r="13" spans="1:78">
      <c r="A13">
        <v>10012</v>
      </c>
      <c r="B13" s="12"/>
      <c r="C13" s="12" t="s">
        <v>228</v>
      </c>
      <c r="D13" s="14">
        <v>1</v>
      </c>
      <c r="E13" s="14">
        <v>1</v>
      </c>
      <c r="F13" s="12" t="s">
        <v>514</v>
      </c>
      <c r="G13" s="13">
        <v>3</v>
      </c>
      <c r="H13" s="12" t="s">
        <v>515</v>
      </c>
      <c r="I13" s="12" t="s">
        <v>43</v>
      </c>
      <c r="J13" s="15"/>
      <c r="K13" s="15" t="s">
        <v>258</v>
      </c>
      <c r="L13" s="16">
        <v>1</v>
      </c>
      <c r="M13" s="16">
        <v>1</v>
      </c>
      <c r="N13" s="15" t="s">
        <v>516</v>
      </c>
      <c r="O13" s="15" t="s">
        <v>517</v>
      </c>
      <c r="P13" s="17">
        <v>0</v>
      </c>
      <c r="Q13" s="15" t="s">
        <v>62</v>
      </c>
      <c r="R13" s="15">
        <v>0</v>
      </c>
      <c r="S13" s="15" t="s">
        <v>518</v>
      </c>
      <c r="T13" s="15" t="s">
        <v>37</v>
      </c>
      <c r="U13" s="18"/>
      <c r="V13" s="18" t="s">
        <v>263</v>
      </c>
      <c r="W13" s="18">
        <v>1</v>
      </c>
      <c r="X13" s="18">
        <v>1</v>
      </c>
      <c r="Y13" s="18" t="s">
        <v>519</v>
      </c>
      <c r="Z13" s="18" t="s">
        <v>520</v>
      </c>
      <c r="AA13" s="18">
        <v>2</v>
      </c>
      <c r="AB13" s="29" t="s">
        <v>521</v>
      </c>
      <c r="AC13" s="18">
        <v>0.5</v>
      </c>
      <c r="AD13" s="18" t="s">
        <v>522</v>
      </c>
      <c r="AE13" s="18" t="s">
        <v>43</v>
      </c>
      <c r="AF13" s="20"/>
      <c r="AG13" s="20" t="s">
        <v>238</v>
      </c>
      <c r="AH13" s="21">
        <v>1</v>
      </c>
      <c r="AI13" s="21">
        <v>1</v>
      </c>
      <c r="AJ13" s="20" t="s">
        <v>523</v>
      </c>
      <c r="AK13" s="20">
        <v>0</v>
      </c>
      <c r="AL13" s="20" t="s">
        <v>524</v>
      </c>
      <c r="AM13" s="20" t="s">
        <v>43</v>
      </c>
      <c r="AN13" s="15"/>
      <c r="AO13" s="15" t="s">
        <v>241</v>
      </c>
      <c r="AP13" s="16">
        <v>1</v>
      </c>
      <c r="AQ13" s="16">
        <v>1</v>
      </c>
      <c r="AR13" s="15" t="s">
        <v>525</v>
      </c>
      <c r="AS13" s="15" t="s">
        <v>526</v>
      </c>
      <c r="AT13" s="15">
        <v>3</v>
      </c>
      <c r="AU13" s="17">
        <v>0</v>
      </c>
      <c r="AV13" s="15" t="s">
        <v>62</v>
      </c>
      <c r="AW13" s="15">
        <v>1</v>
      </c>
      <c r="AX13" s="15" t="s">
        <v>527</v>
      </c>
      <c r="AY13" s="15" t="s">
        <v>42</v>
      </c>
      <c r="AZ13" s="18"/>
      <c r="BA13" s="18" t="s">
        <v>528</v>
      </c>
      <c r="BB13" s="19">
        <v>1</v>
      </c>
      <c r="BC13" s="19">
        <v>1</v>
      </c>
      <c r="BD13" s="18" t="s">
        <v>81</v>
      </c>
      <c r="BE13" s="18">
        <v>0</v>
      </c>
      <c r="BF13" s="18" t="s">
        <v>529</v>
      </c>
      <c r="BG13" s="18" t="s">
        <v>42</v>
      </c>
      <c r="BH13" s="12"/>
      <c r="BI13" s="12" t="s">
        <v>1245</v>
      </c>
      <c r="BJ13" s="12">
        <v>1</v>
      </c>
      <c r="BK13" s="12">
        <v>1</v>
      </c>
      <c r="BL13" s="12" t="s">
        <v>1246</v>
      </c>
      <c r="BM13" s="12">
        <v>0.5</v>
      </c>
      <c r="BN13" s="12" t="s">
        <v>532</v>
      </c>
      <c r="BO13" s="12" t="s">
        <v>42</v>
      </c>
      <c r="BP13" s="20"/>
      <c r="BQ13" s="20" t="s">
        <v>250</v>
      </c>
      <c r="BR13" s="20">
        <v>1</v>
      </c>
      <c r="BS13" s="20">
        <v>1</v>
      </c>
      <c r="BT13" s="20" t="s">
        <v>601</v>
      </c>
      <c r="BU13" s="20" t="s">
        <v>602</v>
      </c>
      <c r="BV13" s="20">
        <v>0</v>
      </c>
      <c r="BW13" s="20" t="s">
        <v>535</v>
      </c>
      <c r="BX13" s="20">
        <v>0</v>
      </c>
      <c r="BY13" s="20" t="s">
        <v>536</v>
      </c>
      <c r="BZ13" s="20" t="s">
        <v>42</v>
      </c>
    </row>
    <row r="14" spans="1:78">
      <c r="A14">
        <v>10013</v>
      </c>
      <c r="B14" s="12"/>
      <c r="C14" s="12" t="s">
        <v>537</v>
      </c>
      <c r="D14" s="14">
        <v>1</v>
      </c>
      <c r="E14" s="14">
        <v>1</v>
      </c>
      <c r="F14" s="12" t="s">
        <v>538</v>
      </c>
      <c r="G14" s="13">
        <v>3</v>
      </c>
      <c r="H14" s="12" t="s">
        <v>71</v>
      </c>
      <c r="I14" s="12" t="s">
        <v>35</v>
      </c>
      <c r="J14" s="15"/>
      <c r="K14" s="15" t="s">
        <v>539</v>
      </c>
      <c r="L14" s="16">
        <v>1</v>
      </c>
      <c r="M14" s="16">
        <v>1</v>
      </c>
      <c r="N14" s="15" t="s">
        <v>540</v>
      </c>
      <c r="O14" s="15" t="s">
        <v>541</v>
      </c>
      <c r="P14" s="17">
        <v>2</v>
      </c>
      <c r="Q14" s="15" t="s">
        <v>148</v>
      </c>
      <c r="R14" s="15">
        <v>0.5</v>
      </c>
      <c r="S14" s="15" t="s">
        <v>542</v>
      </c>
      <c r="T14" s="15" t="s">
        <v>43</v>
      </c>
      <c r="U14" s="18"/>
      <c r="V14" s="18" t="s">
        <v>543</v>
      </c>
      <c r="W14" s="19">
        <v>1</v>
      </c>
      <c r="X14" s="19">
        <v>1</v>
      </c>
      <c r="Y14" s="18" t="s">
        <v>544</v>
      </c>
      <c r="Z14" s="18" t="s">
        <v>545</v>
      </c>
      <c r="AA14" s="18">
        <v>0</v>
      </c>
      <c r="AB14" s="29" t="s">
        <v>546</v>
      </c>
      <c r="AC14" s="18">
        <v>0.5</v>
      </c>
      <c r="AD14" s="18" t="s">
        <v>547</v>
      </c>
      <c r="AE14" s="18" t="s">
        <v>35</v>
      </c>
      <c r="AF14" s="20"/>
      <c r="AG14" s="20" t="s">
        <v>548</v>
      </c>
      <c r="AH14" s="21">
        <v>1</v>
      </c>
      <c r="AI14" s="21">
        <v>1</v>
      </c>
      <c r="AJ14" s="20" t="s">
        <v>549</v>
      </c>
      <c r="AK14" s="20">
        <v>0</v>
      </c>
      <c r="AL14" s="20" t="s">
        <v>107</v>
      </c>
      <c r="AM14" s="20" t="s">
        <v>35</v>
      </c>
      <c r="AN14" s="15"/>
      <c r="AO14" s="15" t="s">
        <v>550</v>
      </c>
      <c r="AP14" s="16">
        <v>1</v>
      </c>
      <c r="AQ14" s="16">
        <v>1</v>
      </c>
      <c r="AR14" s="15" t="s">
        <v>551</v>
      </c>
      <c r="AS14" s="15" t="s">
        <v>552</v>
      </c>
      <c r="AT14" s="15">
        <v>1</v>
      </c>
      <c r="AU14" s="17">
        <v>0</v>
      </c>
      <c r="AV14" s="15" t="s">
        <v>125</v>
      </c>
      <c r="AW14" s="15">
        <v>1</v>
      </c>
      <c r="AX14" s="15" t="s">
        <v>108</v>
      </c>
      <c r="AY14" s="15" t="s">
        <v>35</v>
      </c>
      <c r="AZ14" s="18"/>
      <c r="BA14" s="18" t="s">
        <v>553</v>
      </c>
      <c r="BB14" s="19">
        <v>1</v>
      </c>
      <c r="BC14" s="19">
        <v>1</v>
      </c>
      <c r="BD14" s="18" t="s">
        <v>113</v>
      </c>
      <c r="BE14" s="18">
        <v>0</v>
      </c>
      <c r="BF14" s="18" t="s">
        <v>554</v>
      </c>
      <c r="BG14" s="18" t="s">
        <v>35</v>
      </c>
      <c r="BH14" s="12"/>
      <c r="BI14" s="12" t="s">
        <v>1886</v>
      </c>
      <c r="BJ14" s="12">
        <v>1</v>
      </c>
      <c r="BK14" s="12">
        <v>1</v>
      </c>
      <c r="BL14" s="12" t="s">
        <v>1887</v>
      </c>
      <c r="BM14" s="12">
        <v>0.5</v>
      </c>
      <c r="BN14" s="12" t="s">
        <v>554</v>
      </c>
      <c r="BO14" s="12" t="s">
        <v>35</v>
      </c>
      <c r="BP14" s="20"/>
      <c r="BQ14" s="20" t="s">
        <v>383</v>
      </c>
      <c r="BR14" s="20">
        <v>1</v>
      </c>
      <c r="BS14" s="20">
        <v>1</v>
      </c>
      <c r="BT14" s="20" t="s">
        <v>3103</v>
      </c>
      <c r="BU14" s="20" t="s">
        <v>143</v>
      </c>
      <c r="BV14" s="20">
        <v>0</v>
      </c>
      <c r="BW14" s="20" t="s">
        <v>125</v>
      </c>
      <c r="BX14" s="20">
        <v>0</v>
      </c>
      <c r="BY14" s="20" t="s">
        <v>554</v>
      </c>
      <c r="BZ14" s="20" t="s">
        <v>35</v>
      </c>
    </row>
    <row r="15" spans="1:78">
      <c r="A15">
        <v>10014</v>
      </c>
      <c r="B15" s="12"/>
      <c r="C15" s="12" t="s">
        <v>228</v>
      </c>
      <c r="D15" s="14">
        <v>1</v>
      </c>
      <c r="E15" s="14">
        <v>1</v>
      </c>
      <c r="F15" s="12" t="s">
        <v>560</v>
      </c>
      <c r="G15" s="13">
        <v>1</v>
      </c>
      <c r="H15" s="12" t="s">
        <v>561</v>
      </c>
      <c r="I15" s="12" t="s">
        <v>36</v>
      </c>
      <c r="J15" s="15"/>
      <c r="K15" s="15" t="s">
        <v>465</v>
      </c>
      <c r="L15" s="16">
        <v>1</v>
      </c>
      <c r="M15" s="16">
        <v>1</v>
      </c>
      <c r="N15" s="15" t="s">
        <v>562</v>
      </c>
      <c r="O15" s="15" t="s">
        <v>563</v>
      </c>
      <c r="P15" s="17">
        <v>0</v>
      </c>
      <c r="Q15" s="15" t="s">
        <v>62</v>
      </c>
      <c r="R15" s="15">
        <v>0</v>
      </c>
      <c r="S15" s="15" t="s">
        <v>564</v>
      </c>
      <c r="T15" s="15" t="s">
        <v>36</v>
      </c>
      <c r="U15" s="18"/>
      <c r="V15" s="18" t="s">
        <v>565</v>
      </c>
      <c r="W15" s="18">
        <v>1</v>
      </c>
      <c r="X15" s="18">
        <v>1</v>
      </c>
      <c r="Y15" s="18" t="s">
        <v>197</v>
      </c>
      <c r="Z15" s="18" t="s">
        <v>156</v>
      </c>
      <c r="AA15" s="18">
        <v>0</v>
      </c>
      <c r="AB15" s="29" t="s">
        <v>566</v>
      </c>
      <c r="AC15" s="18">
        <v>0.5</v>
      </c>
      <c r="AD15" s="18" t="s">
        <v>567</v>
      </c>
      <c r="AE15" s="18" t="s">
        <v>37</v>
      </c>
      <c r="AF15" s="20"/>
      <c r="AG15" s="20" t="s">
        <v>238</v>
      </c>
      <c r="AH15" s="21">
        <v>1</v>
      </c>
      <c r="AI15" s="21">
        <v>1</v>
      </c>
      <c r="AJ15" s="20" t="s">
        <v>79</v>
      </c>
      <c r="AK15" s="20">
        <v>0</v>
      </c>
      <c r="AL15" s="20" t="s">
        <v>568</v>
      </c>
      <c r="AM15" s="20" t="s">
        <v>36</v>
      </c>
      <c r="AN15" s="15"/>
      <c r="AO15" s="15" t="s">
        <v>569</v>
      </c>
      <c r="AP15" s="16">
        <v>1</v>
      </c>
      <c r="AQ15" s="16">
        <v>1</v>
      </c>
      <c r="AR15" s="15" t="s">
        <v>570</v>
      </c>
      <c r="AS15" s="15" t="s">
        <v>571</v>
      </c>
      <c r="AT15" s="15">
        <v>3</v>
      </c>
      <c r="AU15" s="17">
        <v>3</v>
      </c>
      <c r="AV15" s="15" t="s">
        <v>62</v>
      </c>
      <c r="AW15" s="15">
        <v>1</v>
      </c>
      <c r="AX15" s="15" t="s">
        <v>572</v>
      </c>
      <c r="AY15" s="15" t="s">
        <v>36</v>
      </c>
      <c r="AZ15" s="18"/>
      <c r="BA15" s="18" t="s">
        <v>573</v>
      </c>
      <c r="BB15" s="19">
        <v>1</v>
      </c>
      <c r="BC15" s="19">
        <v>1</v>
      </c>
      <c r="BD15" s="18" t="s">
        <v>62</v>
      </c>
      <c r="BE15" s="18">
        <v>0</v>
      </c>
      <c r="BF15" s="18" t="s">
        <v>574</v>
      </c>
      <c r="BG15" s="18" t="s">
        <v>36</v>
      </c>
      <c r="BH15" s="12"/>
      <c r="BI15" s="12" t="s">
        <v>1844</v>
      </c>
      <c r="BJ15" s="12">
        <v>1</v>
      </c>
      <c r="BK15" s="12">
        <v>1</v>
      </c>
      <c r="BL15" s="12" t="s">
        <v>1688</v>
      </c>
      <c r="BM15" s="12">
        <v>0.5</v>
      </c>
      <c r="BN15" s="12" t="s">
        <v>576</v>
      </c>
      <c r="BO15" s="12" t="s">
        <v>43</v>
      </c>
      <c r="BP15" s="20"/>
      <c r="BQ15" s="20" t="s">
        <v>3083</v>
      </c>
      <c r="BR15" s="20">
        <v>1</v>
      </c>
      <c r="BS15" s="20">
        <v>1</v>
      </c>
      <c r="BT15" s="20" t="s">
        <v>3084</v>
      </c>
      <c r="BU15" s="20" t="s">
        <v>3085</v>
      </c>
      <c r="BV15" s="20">
        <v>0</v>
      </c>
      <c r="BW15" s="20" t="s">
        <v>62</v>
      </c>
      <c r="BX15" s="20">
        <v>0</v>
      </c>
      <c r="BY15" s="20" t="s">
        <v>578</v>
      </c>
      <c r="BZ15" s="20" t="s">
        <v>63</v>
      </c>
    </row>
    <row r="16" spans="1:78">
      <c r="A16">
        <v>10015</v>
      </c>
      <c r="B16" s="12"/>
      <c r="C16" s="12" t="s">
        <v>228</v>
      </c>
      <c r="D16" s="14">
        <v>1</v>
      </c>
      <c r="E16" s="14">
        <v>1</v>
      </c>
      <c r="F16" s="12" t="s">
        <v>579</v>
      </c>
      <c r="G16" s="13">
        <v>0</v>
      </c>
      <c r="H16" s="12" t="s">
        <v>580</v>
      </c>
      <c r="I16" s="12" t="s">
        <v>35</v>
      </c>
      <c r="J16" s="15"/>
      <c r="K16" s="15" t="s">
        <v>230</v>
      </c>
      <c r="L16" s="16">
        <v>1</v>
      </c>
      <c r="M16" s="16">
        <v>1</v>
      </c>
      <c r="N16" s="15" t="s">
        <v>581</v>
      </c>
      <c r="O16" s="15" t="s">
        <v>582</v>
      </c>
      <c r="P16" s="17">
        <v>0</v>
      </c>
      <c r="Q16" s="15" t="s">
        <v>583</v>
      </c>
      <c r="R16" s="15">
        <v>1</v>
      </c>
      <c r="S16" s="15" t="s">
        <v>584</v>
      </c>
      <c r="T16" s="15" t="s">
        <v>37</v>
      </c>
      <c r="U16" s="18"/>
      <c r="V16" s="18" t="s">
        <v>565</v>
      </c>
      <c r="W16" s="19">
        <v>1</v>
      </c>
      <c r="X16" s="19">
        <v>1</v>
      </c>
      <c r="Y16" s="18" t="s">
        <v>585</v>
      </c>
      <c r="Z16" s="18" t="s">
        <v>586</v>
      </c>
      <c r="AA16" s="18">
        <v>0</v>
      </c>
      <c r="AB16" s="29" t="s">
        <v>587</v>
      </c>
      <c r="AC16" s="18">
        <v>1</v>
      </c>
      <c r="AD16" s="18" t="s">
        <v>588</v>
      </c>
      <c r="AE16" s="18" t="s">
        <v>43</v>
      </c>
      <c r="AF16" s="20"/>
      <c r="AG16" s="20" t="s">
        <v>267</v>
      </c>
      <c r="AH16" s="21">
        <v>1</v>
      </c>
      <c r="AI16" s="21">
        <v>1</v>
      </c>
      <c r="AJ16" s="20" t="s">
        <v>589</v>
      </c>
      <c r="AK16" s="20">
        <v>0</v>
      </c>
      <c r="AL16" s="20" t="s">
        <v>590</v>
      </c>
      <c r="AM16" s="20" t="s">
        <v>37</v>
      </c>
      <c r="AN16" s="15"/>
      <c r="AO16" s="15" t="s">
        <v>591</v>
      </c>
      <c r="AP16" s="16">
        <v>1</v>
      </c>
      <c r="AQ16" s="16">
        <v>1</v>
      </c>
      <c r="AR16" s="15" t="s">
        <v>592</v>
      </c>
      <c r="AS16" s="15" t="s">
        <v>593</v>
      </c>
      <c r="AT16" s="15">
        <v>3</v>
      </c>
      <c r="AU16" s="17">
        <v>3</v>
      </c>
      <c r="AV16" s="15" t="s">
        <v>594</v>
      </c>
      <c r="AW16" s="15">
        <v>1</v>
      </c>
      <c r="AX16" s="15" t="s">
        <v>595</v>
      </c>
      <c r="AY16" s="15" t="s">
        <v>43</v>
      </c>
      <c r="AZ16" s="18"/>
      <c r="BA16" s="18" t="s">
        <v>596</v>
      </c>
      <c r="BB16" s="19">
        <v>1</v>
      </c>
      <c r="BC16" s="19">
        <v>1</v>
      </c>
      <c r="BD16" s="18" t="s">
        <v>597</v>
      </c>
      <c r="BE16" s="18">
        <v>0</v>
      </c>
      <c r="BF16" s="18" t="s">
        <v>598</v>
      </c>
      <c r="BG16" s="18" t="s">
        <v>43</v>
      </c>
      <c r="BH16" s="12"/>
      <c r="BI16" s="12" t="s">
        <v>483</v>
      </c>
      <c r="BJ16" s="12">
        <v>1</v>
      </c>
      <c r="BK16" s="12">
        <v>1</v>
      </c>
      <c r="BL16" s="12" t="s">
        <v>62</v>
      </c>
      <c r="BM16" s="12">
        <v>0</v>
      </c>
      <c r="BN16" s="12" t="s">
        <v>600</v>
      </c>
      <c r="BO16" s="12" t="s">
        <v>43</v>
      </c>
      <c r="BP16" s="20"/>
      <c r="BQ16" s="20" t="s">
        <v>3645</v>
      </c>
      <c r="BR16" s="20">
        <v>1</v>
      </c>
      <c r="BS16" s="20">
        <v>1</v>
      </c>
      <c r="BT16" s="20" t="s">
        <v>3646</v>
      </c>
      <c r="BU16" s="20" t="s">
        <v>3647</v>
      </c>
      <c r="BV16" s="20">
        <v>0</v>
      </c>
      <c r="BW16" s="20" t="s">
        <v>51</v>
      </c>
      <c r="BX16" s="20">
        <v>0</v>
      </c>
      <c r="BY16" s="20" t="s">
        <v>603</v>
      </c>
      <c r="BZ16" s="20" t="s">
        <v>43</v>
      </c>
    </row>
    <row r="17" spans="1:78">
      <c r="A17">
        <v>10016</v>
      </c>
      <c r="B17" s="12"/>
      <c r="C17" s="12" t="s">
        <v>604</v>
      </c>
      <c r="D17" s="14">
        <v>1</v>
      </c>
      <c r="E17" s="14">
        <v>1</v>
      </c>
      <c r="F17" s="12" t="s">
        <v>605</v>
      </c>
      <c r="G17" s="13">
        <v>1</v>
      </c>
      <c r="H17" s="12" t="s">
        <v>606</v>
      </c>
      <c r="I17" s="12" t="s">
        <v>43</v>
      </c>
      <c r="J17" s="15"/>
      <c r="K17" s="15" t="s">
        <v>465</v>
      </c>
      <c r="L17" s="16">
        <v>1</v>
      </c>
      <c r="M17" s="16">
        <v>1</v>
      </c>
      <c r="N17" s="15" t="s">
        <v>120</v>
      </c>
      <c r="O17" s="15" t="s">
        <v>607</v>
      </c>
      <c r="P17" s="17">
        <v>1</v>
      </c>
      <c r="Q17" s="15" t="s">
        <v>608</v>
      </c>
      <c r="R17" s="15">
        <v>0.5</v>
      </c>
      <c r="S17" s="15" t="s">
        <v>46</v>
      </c>
      <c r="T17" s="15" t="s">
        <v>37</v>
      </c>
      <c r="U17" s="18"/>
      <c r="V17" s="18" t="s">
        <v>609</v>
      </c>
      <c r="W17" s="18">
        <v>1</v>
      </c>
      <c r="X17" s="18">
        <v>1</v>
      </c>
      <c r="Y17" s="18" t="s">
        <v>610</v>
      </c>
      <c r="Z17" s="18" t="s">
        <v>610</v>
      </c>
      <c r="AA17" s="18">
        <v>0</v>
      </c>
      <c r="AB17" s="29" t="s">
        <v>611</v>
      </c>
      <c r="AC17" s="18">
        <v>0.5</v>
      </c>
      <c r="AD17" s="18" t="s">
        <v>130</v>
      </c>
      <c r="AE17" s="18" t="s">
        <v>37</v>
      </c>
      <c r="AF17" s="20"/>
      <c r="AG17" s="20" t="s">
        <v>612</v>
      </c>
      <c r="AH17" s="21">
        <v>1</v>
      </c>
      <c r="AI17" s="21">
        <v>1</v>
      </c>
      <c r="AJ17" s="20" t="s">
        <v>613</v>
      </c>
      <c r="AK17" s="20">
        <v>0</v>
      </c>
      <c r="AL17" s="20" t="s">
        <v>614</v>
      </c>
      <c r="AM17" s="20" t="s">
        <v>37</v>
      </c>
      <c r="AN17" s="15"/>
      <c r="AO17" s="15" t="s">
        <v>615</v>
      </c>
      <c r="AP17" s="16">
        <v>1</v>
      </c>
      <c r="AQ17" s="16">
        <v>1</v>
      </c>
      <c r="AR17" s="15" t="s">
        <v>120</v>
      </c>
      <c r="AS17" s="15" t="s">
        <v>50</v>
      </c>
      <c r="AT17" s="15">
        <v>1</v>
      </c>
      <c r="AU17" s="17">
        <v>0</v>
      </c>
      <c r="AV17" s="15" t="s">
        <v>616</v>
      </c>
      <c r="AW17" s="15">
        <v>1</v>
      </c>
      <c r="AX17" s="15" t="s">
        <v>617</v>
      </c>
      <c r="AY17" s="15" t="s">
        <v>37</v>
      </c>
      <c r="AZ17" s="18"/>
      <c r="BA17" s="18" t="s">
        <v>618</v>
      </c>
      <c r="BB17" s="19">
        <v>1</v>
      </c>
      <c r="BC17" s="19">
        <v>1</v>
      </c>
      <c r="BD17" s="18" t="s">
        <v>358</v>
      </c>
      <c r="BE17" s="18">
        <v>0</v>
      </c>
      <c r="BF17" s="18" t="s">
        <v>130</v>
      </c>
      <c r="BG17" s="18" t="s">
        <v>37</v>
      </c>
      <c r="BH17" s="12"/>
      <c r="BI17" s="12" t="s">
        <v>1687</v>
      </c>
      <c r="BJ17" s="12">
        <v>1</v>
      </c>
      <c r="BK17" s="12">
        <v>0</v>
      </c>
      <c r="BL17" s="12" t="s">
        <v>1688</v>
      </c>
      <c r="BM17" s="12">
        <v>0.5</v>
      </c>
      <c r="BN17" s="12" t="s">
        <v>620</v>
      </c>
      <c r="BO17" s="12" t="s">
        <v>37</v>
      </c>
      <c r="BP17" s="20"/>
      <c r="BQ17" s="20" t="s">
        <v>863</v>
      </c>
      <c r="BR17" s="20">
        <v>1</v>
      </c>
      <c r="BS17" s="20">
        <v>1</v>
      </c>
      <c r="BT17" s="20" t="s">
        <v>864</v>
      </c>
      <c r="BU17" s="20" t="s">
        <v>865</v>
      </c>
      <c r="BV17" s="20">
        <v>2</v>
      </c>
      <c r="BW17" s="20" t="s">
        <v>619</v>
      </c>
      <c r="BX17" s="20">
        <v>0</v>
      </c>
      <c r="BY17" s="20" t="s">
        <v>620</v>
      </c>
      <c r="BZ17" s="20" t="s">
        <v>37</v>
      </c>
    </row>
    <row r="18" spans="1:78">
      <c r="A18">
        <v>10017</v>
      </c>
      <c r="B18" s="12"/>
      <c r="C18" s="12" t="s">
        <v>621</v>
      </c>
      <c r="D18" s="14">
        <v>1</v>
      </c>
      <c r="E18" s="14">
        <v>1</v>
      </c>
      <c r="F18" s="12" t="s">
        <v>622</v>
      </c>
      <c r="G18" s="13">
        <v>3</v>
      </c>
      <c r="H18" s="12" t="s">
        <v>74</v>
      </c>
      <c r="I18" s="12" t="s">
        <v>37</v>
      </c>
      <c r="J18" s="15"/>
      <c r="K18" s="15" t="s">
        <v>623</v>
      </c>
      <c r="L18" s="16">
        <v>1</v>
      </c>
      <c r="M18" s="16">
        <v>1</v>
      </c>
      <c r="N18" s="15" t="s">
        <v>624</v>
      </c>
      <c r="O18" s="15" t="s">
        <v>77</v>
      </c>
      <c r="P18" s="17">
        <v>3</v>
      </c>
      <c r="Q18" s="15" t="s">
        <v>103</v>
      </c>
      <c r="R18" s="15">
        <v>0.5</v>
      </c>
      <c r="S18" s="15" t="s">
        <v>74</v>
      </c>
      <c r="T18" s="15" t="s">
        <v>37</v>
      </c>
      <c r="U18" s="18"/>
      <c r="V18" s="18" t="s">
        <v>625</v>
      </c>
      <c r="W18" s="18">
        <v>1</v>
      </c>
      <c r="X18" s="18">
        <v>1</v>
      </c>
      <c r="Y18" s="18" t="s">
        <v>626</v>
      </c>
      <c r="Z18" s="18" t="s">
        <v>627</v>
      </c>
      <c r="AA18" s="18">
        <v>2</v>
      </c>
      <c r="AB18" s="29" t="s">
        <v>75</v>
      </c>
      <c r="AC18" s="18">
        <v>0</v>
      </c>
      <c r="AD18" s="18" t="s">
        <v>74</v>
      </c>
      <c r="AE18" s="18" t="s">
        <v>37</v>
      </c>
      <c r="AF18" s="20"/>
      <c r="AG18" s="20" t="s">
        <v>628</v>
      </c>
      <c r="AH18" s="21">
        <v>1</v>
      </c>
      <c r="AI18" s="21">
        <v>1</v>
      </c>
      <c r="AJ18" s="20" t="s">
        <v>296</v>
      </c>
      <c r="AK18" s="20">
        <v>0</v>
      </c>
      <c r="AL18" s="20" t="s">
        <v>74</v>
      </c>
      <c r="AM18" s="20" t="s">
        <v>37</v>
      </c>
      <c r="AN18" s="15"/>
      <c r="AO18" s="15" t="s">
        <v>629</v>
      </c>
      <c r="AP18" s="16">
        <v>1</v>
      </c>
      <c r="AQ18" s="16">
        <v>1</v>
      </c>
      <c r="AR18" s="15" t="s">
        <v>630</v>
      </c>
      <c r="AS18" s="15" t="s">
        <v>97</v>
      </c>
      <c r="AT18" s="15">
        <v>2</v>
      </c>
      <c r="AU18" s="17">
        <v>0</v>
      </c>
      <c r="AV18" s="15" t="s">
        <v>75</v>
      </c>
      <c r="AW18" s="15">
        <v>0</v>
      </c>
      <c r="AX18" s="15" t="s">
        <v>74</v>
      </c>
      <c r="AY18" s="15" t="s">
        <v>37</v>
      </c>
      <c r="AZ18" s="18"/>
      <c r="BA18" s="18" t="s">
        <v>631</v>
      </c>
      <c r="BB18" s="19">
        <v>1</v>
      </c>
      <c r="BC18" s="19">
        <v>1</v>
      </c>
      <c r="BD18" s="18" t="s">
        <v>78</v>
      </c>
      <c r="BE18" s="18">
        <v>0</v>
      </c>
      <c r="BF18" s="18" t="s">
        <v>74</v>
      </c>
      <c r="BG18" s="18" t="s">
        <v>37</v>
      </c>
      <c r="BH18" s="12"/>
      <c r="BI18" s="12" t="s">
        <v>3127</v>
      </c>
      <c r="BJ18" s="12">
        <v>1</v>
      </c>
      <c r="BK18" s="12">
        <v>0</v>
      </c>
      <c r="BL18" s="12" t="s">
        <v>3128</v>
      </c>
      <c r="BM18" s="12">
        <v>0.5</v>
      </c>
      <c r="BN18" s="12" t="s">
        <v>74</v>
      </c>
      <c r="BO18" s="12" t="s">
        <v>37</v>
      </c>
      <c r="BP18" s="20"/>
      <c r="BQ18" s="20" t="s">
        <v>2625</v>
      </c>
      <c r="BR18" s="20">
        <v>0</v>
      </c>
      <c r="BS18" s="20">
        <v>1</v>
      </c>
      <c r="BT18" s="20" t="s">
        <v>2626</v>
      </c>
      <c r="BU18" s="20" t="s">
        <v>2627</v>
      </c>
      <c r="BV18" s="20">
        <v>1</v>
      </c>
      <c r="BW18" s="20" t="s">
        <v>75</v>
      </c>
      <c r="BX18" s="20">
        <v>0</v>
      </c>
      <c r="BY18" s="20" t="s">
        <v>74</v>
      </c>
      <c r="BZ18" s="20" t="s">
        <v>37</v>
      </c>
    </row>
    <row r="19" spans="1:78">
      <c r="A19">
        <v>10018</v>
      </c>
      <c r="B19" s="12"/>
      <c r="C19" s="12" t="s">
        <v>604</v>
      </c>
      <c r="D19" s="14">
        <v>1</v>
      </c>
      <c r="E19" s="14">
        <v>1</v>
      </c>
      <c r="F19" s="12" t="s">
        <v>636</v>
      </c>
      <c r="G19" s="13">
        <v>3</v>
      </c>
      <c r="H19" s="12" t="s">
        <v>637</v>
      </c>
      <c r="I19" s="12" t="s">
        <v>36</v>
      </c>
      <c r="J19" s="15"/>
      <c r="K19" s="15" t="s">
        <v>230</v>
      </c>
      <c r="L19" s="16">
        <v>1</v>
      </c>
      <c r="M19" s="16">
        <v>1</v>
      </c>
      <c r="N19" s="15" t="s">
        <v>638</v>
      </c>
      <c r="O19" s="15" t="s">
        <v>639</v>
      </c>
      <c r="P19" s="17">
        <v>1</v>
      </c>
      <c r="Q19" s="15" t="s">
        <v>52</v>
      </c>
      <c r="R19" s="15">
        <v>0.5</v>
      </c>
      <c r="S19" s="15" t="s">
        <v>640</v>
      </c>
      <c r="T19" s="15" t="s">
        <v>37</v>
      </c>
      <c r="U19" s="18"/>
      <c r="V19" s="18" t="s">
        <v>263</v>
      </c>
      <c r="W19" s="18">
        <v>1</v>
      </c>
      <c r="X19" s="18">
        <v>1</v>
      </c>
      <c r="Y19" s="18" t="s">
        <v>641</v>
      </c>
      <c r="Z19" s="18" t="s">
        <v>642</v>
      </c>
      <c r="AA19" s="18">
        <v>2</v>
      </c>
      <c r="AB19" s="29" t="s">
        <v>643</v>
      </c>
      <c r="AC19" s="18">
        <v>0.5</v>
      </c>
      <c r="AD19" s="18" t="s">
        <v>644</v>
      </c>
      <c r="AE19" s="18" t="s">
        <v>43</v>
      </c>
      <c r="AF19" s="20"/>
      <c r="AG19" s="20" t="s">
        <v>238</v>
      </c>
      <c r="AH19" s="21">
        <v>1</v>
      </c>
      <c r="AI19" s="21">
        <v>1</v>
      </c>
      <c r="AJ19" s="20" t="s">
        <v>645</v>
      </c>
      <c r="AK19" s="20">
        <v>0</v>
      </c>
      <c r="AL19" s="20" t="s">
        <v>646</v>
      </c>
      <c r="AM19" s="20" t="s">
        <v>43</v>
      </c>
      <c r="AN19" s="15"/>
      <c r="AO19" s="15" t="s">
        <v>591</v>
      </c>
      <c r="AP19" s="16">
        <v>1</v>
      </c>
      <c r="AQ19" s="16">
        <v>1</v>
      </c>
      <c r="AR19" s="15" t="s">
        <v>647</v>
      </c>
      <c r="AS19" s="15" t="s">
        <v>648</v>
      </c>
      <c r="AT19" s="15">
        <v>2</v>
      </c>
      <c r="AU19" s="17">
        <v>0</v>
      </c>
      <c r="AV19" s="15" t="s">
        <v>180</v>
      </c>
      <c r="AW19" s="15">
        <v>1</v>
      </c>
      <c r="AX19" s="15" t="s">
        <v>649</v>
      </c>
      <c r="AY19" s="15" t="s">
        <v>36</v>
      </c>
      <c r="AZ19" s="18"/>
      <c r="BA19" s="18" t="s">
        <v>650</v>
      </c>
      <c r="BB19" s="19">
        <v>1</v>
      </c>
      <c r="BC19" s="19">
        <v>1</v>
      </c>
      <c r="BD19" s="18" t="s">
        <v>81</v>
      </c>
      <c r="BE19" s="18">
        <v>0</v>
      </c>
      <c r="BF19" s="18" t="s">
        <v>651</v>
      </c>
      <c r="BG19" s="18" t="s">
        <v>43</v>
      </c>
      <c r="BH19" s="12"/>
      <c r="BI19" s="12" t="s">
        <v>248</v>
      </c>
      <c r="BJ19" s="12">
        <v>1</v>
      </c>
      <c r="BK19" s="12">
        <v>1</v>
      </c>
      <c r="BL19" s="12" t="s">
        <v>125</v>
      </c>
      <c r="BM19" s="12">
        <v>0</v>
      </c>
      <c r="BN19" s="12" t="s">
        <v>654</v>
      </c>
      <c r="BO19" s="12" t="s">
        <v>43</v>
      </c>
      <c r="BP19" s="20"/>
      <c r="BQ19" s="20" t="s">
        <v>655</v>
      </c>
      <c r="BR19" s="20">
        <v>1</v>
      </c>
      <c r="BS19" s="20">
        <v>1</v>
      </c>
      <c r="BT19" s="20" t="s">
        <v>656</v>
      </c>
      <c r="BU19" s="20" t="s">
        <v>657</v>
      </c>
      <c r="BV19" s="20">
        <v>1</v>
      </c>
      <c r="BW19" s="20" t="s">
        <v>658</v>
      </c>
      <c r="BX19" s="20">
        <v>0</v>
      </c>
      <c r="BY19" s="20" t="s">
        <v>659</v>
      </c>
      <c r="BZ19" s="20" t="s">
        <v>43</v>
      </c>
    </row>
    <row r="20" spans="1:78">
      <c r="A20">
        <v>10019</v>
      </c>
      <c r="B20" s="12"/>
      <c r="C20" s="12" t="s">
        <v>660</v>
      </c>
      <c r="D20" s="14">
        <v>1</v>
      </c>
      <c r="E20" s="14">
        <v>1</v>
      </c>
      <c r="F20" s="12" t="s">
        <v>661</v>
      </c>
      <c r="G20" s="13">
        <v>1</v>
      </c>
      <c r="H20" s="12" t="s">
        <v>662</v>
      </c>
      <c r="I20" s="12" t="s">
        <v>42</v>
      </c>
      <c r="J20" s="15"/>
      <c r="K20" s="15" t="s">
        <v>230</v>
      </c>
      <c r="L20" s="16">
        <v>1</v>
      </c>
      <c r="M20" s="16">
        <v>1</v>
      </c>
      <c r="N20" s="15" t="s">
        <v>663</v>
      </c>
      <c r="O20" s="15" t="s">
        <v>664</v>
      </c>
      <c r="P20" s="17">
        <v>2</v>
      </c>
      <c r="Q20" s="15" t="s">
        <v>665</v>
      </c>
      <c r="R20" s="15">
        <v>1</v>
      </c>
      <c r="S20" s="15" t="s">
        <v>666</v>
      </c>
      <c r="T20" s="15" t="s">
        <v>43</v>
      </c>
      <c r="U20" s="18"/>
      <c r="V20" s="18" t="s">
        <v>565</v>
      </c>
      <c r="W20" s="19">
        <v>1</v>
      </c>
      <c r="X20" s="19">
        <v>1</v>
      </c>
      <c r="Y20" s="18" t="s">
        <v>667</v>
      </c>
      <c r="Z20" s="18" t="s">
        <v>668</v>
      </c>
      <c r="AA20" s="18">
        <v>1</v>
      </c>
      <c r="AB20" s="29" t="s">
        <v>171</v>
      </c>
      <c r="AC20" s="18">
        <v>0.5</v>
      </c>
      <c r="AD20" s="18" t="s">
        <v>669</v>
      </c>
      <c r="AE20" s="18" t="s">
        <v>42</v>
      </c>
      <c r="AF20" s="20"/>
      <c r="AG20" s="20" t="s">
        <v>670</v>
      </c>
      <c r="AH20" s="21">
        <v>1</v>
      </c>
      <c r="AI20" s="21">
        <v>1</v>
      </c>
      <c r="AJ20" s="20" t="s">
        <v>671</v>
      </c>
      <c r="AK20" s="20">
        <v>1</v>
      </c>
      <c r="AL20" s="20" t="s">
        <v>672</v>
      </c>
      <c r="AM20" s="20" t="s">
        <v>43</v>
      </c>
      <c r="AN20" s="15"/>
      <c r="AO20" s="15" t="s">
        <v>569</v>
      </c>
      <c r="AP20" s="16">
        <v>1</v>
      </c>
      <c r="AQ20" s="16">
        <v>1</v>
      </c>
      <c r="AR20" s="15" t="s">
        <v>673</v>
      </c>
      <c r="AS20" s="15" t="s">
        <v>674</v>
      </c>
      <c r="AT20" s="15">
        <v>3</v>
      </c>
      <c r="AU20" s="17">
        <v>0</v>
      </c>
      <c r="AV20" s="15" t="s">
        <v>675</v>
      </c>
      <c r="AW20" s="15">
        <v>1</v>
      </c>
      <c r="AX20" s="15" t="s">
        <v>676</v>
      </c>
      <c r="AY20" s="15" t="s">
        <v>37</v>
      </c>
      <c r="AZ20" s="18"/>
      <c r="BA20" s="18" t="s">
        <v>677</v>
      </c>
      <c r="BB20" s="19">
        <v>1</v>
      </c>
      <c r="BC20" s="19">
        <v>1</v>
      </c>
      <c r="BD20" s="18" t="s">
        <v>678</v>
      </c>
      <c r="BE20" s="18">
        <v>1</v>
      </c>
      <c r="BF20" s="18" t="s">
        <v>679</v>
      </c>
      <c r="BG20" s="18" t="s">
        <v>37</v>
      </c>
      <c r="BH20" s="12"/>
      <c r="BI20" s="12" t="s">
        <v>680</v>
      </c>
      <c r="BJ20" s="12">
        <v>1</v>
      </c>
      <c r="BK20" s="12">
        <v>1</v>
      </c>
      <c r="BL20" s="12" t="s">
        <v>681</v>
      </c>
      <c r="BM20" s="12">
        <v>1</v>
      </c>
      <c r="BN20" s="12" t="s">
        <v>682</v>
      </c>
      <c r="BO20" s="12" t="s">
        <v>43</v>
      </c>
      <c r="BP20" s="20"/>
      <c r="BQ20" s="20" t="s">
        <v>3703</v>
      </c>
      <c r="BR20" s="20">
        <v>1</v>
      </c>
      <c r="BS20" s="20">
        <v>1</v>
      </c>
      <c r="BT20" s="20" t="s">
        <v>3704</v>
      </c>
      <c r="BU20" s="20" t="s">
        <v>3705</v>
      </c>
      <c r="BV20" s="20">
        <v>1</v>
      </c>
      <c r="BW20" s="20" t="s">
        <v>686</v>
      </c>
      <c r="BX20" s="20">
        <v>0</v>
      </c>
      <c r="BY20" s="20" t="s">
        <v>687</v>
      </c>
      <c r="BZ20" s="20" t="s">
        <v>42</v>
      </c>
    </row>
    <row r="21" spans="1:78">
      <c r="A21">
        <v>10020</v>
      </c>
      <c r="B21" s="12"/>
      <c r="C21" s="12" t="s">
        <v>255</v>
      </c>
      <c r="D21" s="14">
        <v>1</v>
      </c>
      <c r="E21" s="14">
        <v>1</v>
      </c>
      <c r="F21" s="12" t="s">
        <v>688</v>
      </c>
      <c r="G21" s="13">
        <v>3</v>
      </c>
      <c r="H21" s="12" t="s">
        <v>689</v>
      </c>
      <c r="I21" s="12" t="s">
        <v>42</v>
      </c>
      <c r="J21" s="15"/>
      <c r="K21" s="15" t="s">
        <v>230</v>
      </c>
      <c r="L21" s="16">
        <v>1</v>
      </c>
      <c r="M21" s="16">
        <v>1</v>
      </c>
      <c r="N21" s="15" t="s">
        <v>690</v>
      </c>
      <c r="O21" s="15" t="s">
        <v>175</v>
      </c>
      <c r="P21" s="17">
        <v>1</v>
      </c>
      <c r="Q21" s="15" t="s">
        <v>691</v>
      </c>
      <c r="R21" s="15">
        <v>0.5</v>
      </c>
      <c r="S21" s="15" t="s">
        <v>692</v>
      </c>
      <c r="T21" s="15" t="s">
        <v>42</v>
      </c>
      <c r="U21" s="18"/>
      <c r="V21" s="18" t="s">
        <v>263</v>
      </c>
      <c r="W21" s="19">
        <v>1</v>
      </c>
      <c r="X21" s="19">
        <v>1</v>
      </c>
      <c r="Y21" s="18" t="s">
        <v>693</v>
      </c>
      <c r="Z21" s="18" t="s">
        <v>694</v>
      </c>
      <c r="AA21" s="18">
        <v>2</v>
      </c>
      <c r="AB21" s="29" t="s">
        <v>133</v>
      </c>
      <c r="AC21" s="18">
        <v>0.5</v>
      </c>
      <c r="AD21" s="18" t="s">
        <v>695</v>
      </c>
      <c r="AE21" s="18" t="s">
        <v>42</v>
      </c>
      <c r="AF21" s="20"/>
      <c r="AG21" s="20" t="s">
        <v>238</v>
      </c>
      <c r="AH21" s="21">
        <v>1</v>
      </c>
      <c r="AI21" s="21">
        <v>1</v>
      </c>
      <c r="AJ21" s="20" t="s">
        <v>696</v>
      </c>
      <c r="AK21" s="20">
        <v>0</v>
      </c>
      <c r="AL21" s="20" t="s">
        <v>697</v>
      </c>
      <c r="AM21" s="20" t="s">
        <v>37</v>
      </c>
      <c r="AN21" s="15"/>
      <c r="AO21" s="15" t="s">
        <v>241</v>
      </c>
      <c r="AP21" s="16">
        <v>1</v>
      </c>
      <c r="AQ21" s="16">
        <v>1</v>
      </c>
      <c r="AR21" s="15" t="s">
        <v>164</v>
      </c>
      <c r="AS21" s="15" t="s">
        <v>698</v>
      </c>
      <c r="AT21" s="15">
        <v>0</v>
      </c>
      <c r="AU21" s="17">
        <v>0</v>
      </c>
      <c r="AV21" s="15" t="s">
        <v>699</v>
      </c>
      <c r="AW21" s="15">
        <v>1</v>
      </c>
      <c r="AX21" s="15" t="s">
        <v>700</v>
      </c>
      <c r="AY21" s="15" t="s">
        <v>43</v>
      </c>
      <c r="AZ21" s="18"/>
      <c r="BA21" s="18" t="s">
        <v>701</v>
      </c>
      <c r="BB21" s="19">
        <v>1</v>
      </c>
      <c r="BC21" s="19">
        <v>1</v>
      </c>
      <c r="BD21" s="18" t="s">
        <v>702</v>
      </c>
      <c r="BE21" s="18">
        <v>0</v>
      </c>
      <c r="BF21" s="18" t="s">
        <v>703</v>
      </c>
      <c r="BG21" s="18" t="s">
        <v>42</v>
      </c>
      <c r="BH21" s="12"/>
      <c r="BI21" s="12" t="s">
        <v>248</v>
      </c>
      <c r="BJ21" s="12">
        <v>1</v>
      </c>
      <c r="BK21" s="12">
        <v>1</v>
      </c>
      <c r="BL21" s="12" t="s">
        <v>510</v>
      </c>
      <c r="BM21" s="12">
        <v>0.5</v>
      </c>
      <c r="BN21" s="12" t="s">
        <v>704</v>
      </c>
      <c r="BO21" s="12" t="s">
        <v>67</v>
      </c>
      <c r="BP21" s="20"/>
      <c r="BQ21" s="20" t="s">
        <v>2709</v>
      </c>
      <c r="BR21" s="20">
        <v>1</v>
      </c>
      <c r="BS21" s="20">
        <v>1</v>
      </c>
      <c r="BT21" s="20" t="s">
        <v>2710</v>
      </c>
      <c r="BU21" s="20" t="s">
        <v>2711</v>
      </c>
      <c r="BV21" s="20">
        <v>0</v>
      </c>
      <c r="BW21" s="20" t="s">
        <v>62</v>
      </c>
      <c r="BX21" s="20">
        <v>0</v>
      </c>
      <c r="BY21" s="20" t="s">
        <v>186</v>
      </c>
      <c r="BZ21" s="20" t="s">
        <v>42</v>
      </c>
    </row>
    <row r="22" spans="1:78">
      <c r="A22">
        <v>10021</v>
      </c>
      <c r="B22" s="12"/>
      <c r="C22" s="12" t="s">
        <v>462</v>
      </c>
      <c r="D22" s="14">
        <v>1</v>
      </c>
      <c r="E22" s="14">
        <v>1</v>
      </c>
      <c r="F22" s="12" t="s">
        <v>706</v>
      </c>
      <c r="G22" s="13">
        <v>1</v>
      </c>
      <c r="H22" s="12" t="s">
        <v>707</v>
      </c>
      <c r="I22" s="12" t="s">
        <v>35</v>
      </c>
      <c r="J22" s="15"/>
      <c r="K22" s="15" t="s">
        <v>708</v>
      </c>
      <c r="L22" s="16">
        <v>1</v>
      </c>
      <c r="M22" s="16">
        <v>1</v>
      </c>
      <c r="N22" s="15" t="s">
        <v>709</v>
      </c>
      <c r="O22" s="15" t="s">
        <v>710</v>
      </c>
      <c r="P22" s="17">
        <v>1</v>
      </c>
      <c r="Q22" s="15" t="s">
        <v>84</v>
      </c>
      <c r="R22" s="15">
        <v>0</v>
      </c>
      <c r="S22" s="15" t="s">
        <v>711</v>
      </c>
      <c r="T22" s="15" t="s">
        <v>37</v>
      </c>
      <c r="U22" s="18"/>
      <c r="V22" s="18" t="s">
        <v>712</v>
      </c>
      <c r="W22" s="18">
        <v>1</v>
      </c>
      <c r="X22" s="18">
        <v>1</v>
      </c>
      <c r="Y22" s="18" t="s">
        <v>713</v>
      </c>
      <c r="Z22" s="18" t="s">
        <v>714</v>
      </c>
      <c r="AA22" s="18">
        <v>0</v>
      </c>
      <c r="AB22" s="29" t="s">
        <v>84</v>
      </c>
      <c r="AC22" s="18">
        <v>0</v>
      </c>
      <c r="AD22" s="18" t="s">
        <v>715</v>
      </c>
      <c r="AE22" s="18" t="s">
        <v>37</v>
      </c>
      <c r="AF22" s="20"/>
      <c r="AG22" s="20" t="s">
        <v>716</v>
      </c>
      <c r="AH22" s="21">
        <v>1</v>
      </c>
      <c r="AI22" s="21">
        <v>1</v>
      </c>
      <c r="AJ22" s="20" t="s">
        <v>717</v>
      </c>
      <c r="AK22" s="20">
        <v>0</v>
      </c>
      <c r="AL22" s="20" t="s">
        <v>718</v>
      </c>
      <c r="AM22" s="20" t="s">
        <v>35</v>
      </c>
      <c r="AN22" s="15"/>
      <c r="AO22" s="15" t="s">
        <v>569</v>
      </c>
      <c r="AP22" s="16">
        <v>1</v>
      </c>
      <c r="AQ22" s="16">
        <v>1</v>
      </c>
      <c r="AR22" s="15" t="s">
        <v>719</v>
      </c>
      <c r="AS22" s="15" t="s">
        <v>720</v>
      </c>
      <c r="AT22" s="15">
        <v>2</v>
      </c>
      <c r="AU22" s="17">
        <v>2</v>
      </c>
      <c r="AV22" s="15" t="s">
        <v>84</v>
      </c>
      <c r="AW22" s="15">
        <v>0</v>
      </c>
      <c r="AX22" s="15" t="s">
        <v>721</v>
      </c>
      <c r="AY22" s="15" t="s">
        <v>42</v>
      </c>
      <c r="AZ22" s="18"/>
      <c r="BA22" s="18" t="s">
        <v>722</v>
      </c>
      <c r="BB22" s="19">
        <v>1</v>
      </c>
      <c r="BC22" s="19">
        <v>1</v>
      </c>
      <c r="BD22" s="18" t="s">
        <v>723</v>
      </c>
      <c r="BE22" s="18">
        <v>0</v>
      </c>
      <c r="BF22" s="18" t="s">
        <v>724</v>
      </c>
      <c r="BG22" s="18" t="s">
        <v>42</v>
      </c>
      <c r="BH22" s="12"/>
      <c r="BI22" s="12" t="s">
        <v>248</v>
      </c>
      <c r="BJ22" s="12">
        <v>1</v>
      </c>
      <c r="BK22" s="12">
        <v>1</v>
      </c>
      <c r="BL22" s="12" t="s">
        <v>2530</v>
      </c>
      <c r="BM22" s="12">
        <v>0.5</v>
      </c>
      <c r="BN22" s="12" t="s">
        <v>727</v>
      </c>
      <c r="BO22" s="12" t="s">
        <v>35</v>
      </c>
      <c r="BP22" s="20"/>
      <c r="BQ22" s="20" t="s">
        <v>383</v>
      </c>
      <c r="BR22" s="20">
        <v>1</v>
      </c>
      <c r="BS22" s="20">
        <v>1</v>
      </c>
      <c r="BT22" s="20" t="s">
        <v>3552</v>
      </c>
      <c r="BU22" s="20" t="s">
        <v>3553</v>
      </c>
      <c r="BV22" s="20">
        <v>2</v>
      </c>
      <c r="BW22" s="20" t="s">
        <v>731</v>
      </c>
      <c r="BX22" s="20">
        <v>0</v>
      </c>
      <c r="BY22" s="20" t="s">
        <v>732</v>
      </c>
      <c r="BZ22" s="20" t="s">
        <v>43</v>
      </c>
    </row>
    <row r="23" spans="1:78">
      <c r="A23">
        <v>10022</v>
      </c>
      <c r="B23" s="12"/>
      <c r="C23" s="12" t="s">
        <v>733</v>
      </c>
      <c r="D23" s="14">
        <v>1</v>
      </c>
      <c r="E23" s="14">
        <v>1</v>
      </c>
      <c r="F23" s="12" t="s">
        <v>734</v>
      </c>
      <c r="G23" s="13">
        <v>3</v>
      </c>
      <c r="H23" s="12" t="s">
        <v>735</v>
      </c>
      <c r="I23" s="12" t="s">
        <v>43</v>
      </c>
      <c r="J23" s="15"/>
      <c r="K23" s="15" t="s">
        <v>736</v>
      </c>
      <c r="L23" s="16">
        <v>1</v>
      </c>
      <c r="M23" s="16">
        <v>1</v>
      </c>
      <c r="N23" s="15" t="s">
        <v>737</v>
      </c>
      <c r="O23" s="15" t="s">
        <v>738</v>
      </c>
      <c r="P23" s="17">
        <v>0</v>
      </c>
      <c r="Q23" s="15" t="s">
        <v>52</v>
      </c>
      <c r="R23" s="15">
        <v>0.5</v>
      </c>
      <c r="S23" s="15" t="s">
        <v>739</v>
      </c>
      <c r="T23" s="15" t="s">
        <v>37</v>
      </c>
      <c r="U23" s="18"/>
      <c r="V23" s="18" t="s">
        <v>740</v>
      </c>
      <c r="W23" s="18">
        <v>1</v>
      </c>
      <c r="X23" s="18">
        <v>1</v>
      </c>
      <c r="Y23" s="18" t="s">
        <v>741</v>
      </c>
      <c r="Z23" s="18" t="s">
        <v>742</v>
      </c>
      <c r="AA23" s="18">
        <v>1</v>
      </c>
      <c r="AB23" s="29" t="s">
        <v>155</v>
      </c>
      <c r="AC23" s="18">
        <v>0.5</v>
      </c>
      <c r="AD23" s="18" t="s">
        <v>743</v>
      </c>
      <c r="AE23" s="18" t="s">
        <v>35</v>
      </c>
      <c r="AF23" s="20"/>
      <c r="AG23" s="20" t="s">
        <v>744</v>
      </c>
      <c r="AH23" s="21">
        <v>0</v>
      </c>
      <c r="AI23" s="21">
        <v>0</v>
      </c>
      <c r="AJ23" s="20" t="s">
        <v>79</v>
      </c>
      <c r="AK23" s="20">
        <v>0</v>
      </c>
      <c r="AL23" s="20" t="s">
        <v>745</v>
      </c>
      <c r="AM23" s="20" t="s">
        <v>42</v>
      </c>
      <c r="AN23" s="15"/>
      <c r="AO23" s="15" t="s">
        <v>746</v>
      </c>
      <c r="AP23" s="16">
        <v>0</v>
      </c>
      <c r="AQ23" s="16">
        <v>1</v>
      </c>
      <c r="AR23" s="15" t="s">
        <v>747</v>
      </c>
      <c r="AS23" s="15" t="s">
        <v>748</v>
      </c>
      <c r="AT23" s="15">
        <v>3</v>
      </c>
      <c r="AU23" s="17">
        <v>2</v>
      </c>
      <c r="AV23" s="15" t="s">
        <v>749</v>
      </c>
      <c r="AW23" s="15">
        <v>0</v>
      </c>
      <c r="AX23" s="15" t="s">
        <v>750</v>
      </c>
      <c r="AY23" s="15" t="s">
        <v>37</v>
      </c>
      <c r="AZ23" s="18"/>
      <c r="BA23" s="18" t="s">
        <v>751</v>
      </c>
      <c r="BB23" s="19">
        <v>1</v>
      </c>
      <c r="BC23" s="19">
        <v>1</v>
      </c>
      <c r="BD23" s="18" t="s">
        <v>81</v>
      </c>
      <c r="BE23" s="18">
        <v>0</v>
      </c>
      <c r="BF23" s="18" t="s">
        <v>752</v>
      </c>
      <c r="BG23" s="18" t="s">
        <v>43</v>
      </c>
      <c r="BH23" s="12"/>
      <c r="BI23" s="12" t="s">
        <v>530</v>
      </c>
      <c r="BJ23" s="12">
        <v>1</v>
      </c>
      <c r="BK23" s="12">
        <v>1</v>
      </c>
      <c r="BL23" s="12" t="s">
        <v>531</v>
      </c>
      <c r="BM23" s="12">
        <v>0</v>
      </c>
      <c r="BN23" s="12" t="s">
        <v>755</v>
      </c>
      <c r="BO23" s="12" t="s">
        <v>43</v>
      </c>
      <c r="BP23" s="20"/>
      <c r="BQ23" s="20" t="s">
        <v>250</v>
      </c>
      <c r="BR23" s="20">
        <v>1</v>
      </c>
      <c r="BS23" s="20">
        <v>1</v>
      </c>
      <c r="BT23" s="20" t="s">
        <v>3529</v>
      </c>
      <c r="BU23" s="20" t="s">
        <v>3530</v>
      </c>
      <c r="BV23" s="20">
        <v>2</v>
      </c>
      <c r="BW23" s="20" t="s">
        <v>68</v>
      </c>
      <c r="BX23" s="20">
        <v>0</v>
      </c>
      <c r="BY23" s="20" t="s">
        <v>759</v>
      </c>
      <c r="BZ23" s="20" t="s">
        <v>43</v>
      </c>
    </row>
    <row r="24" spans="1:78">
      <c r="A24">
        <v>10023</v>
      </c>
      <c r="B24" s="12"/>
      <c r="C24" s="12" t="s">
        <v>760</v>
      </c>
      <c r="D24" s="14">
        <v>1</v>
      </c>
      <c r="E24" s="14">
        <v>1</v>
      </c>
      <c r="F24" s="12" t="s">
        <v>761</v>
      </c>
      <c r="G24" s="13">
        <v>3</v>
      </c>
      <c r="H24" s="12" t="s">
        <v>762</v>
      </c>
      <c r="I24" s="12" t="s">
        <v>36</v>
      </c>
      <c r="J24" s="15"/>
      <c r="K24" s="15" t="s">
        <v>230</v>
      </c>
      <c r="L24" s="16">
        <v>1</v>
      </c>
      <c r="M24" s="16">
        <v>1</v>
      </c>
      <c r="N24" s="15" t="s">
        <v>763</v>
      </c>
      <c r="O24" s="15" t="s">
        <v>764</v>
      </c>
      <c r="P24" s="17">
        <v>2</v>
      </c>
      <c r="Q24" s="15" t="s">
        <v>765</v>
      </c>
      <c r="R24" s="15">
        <v>1</v>
      </c>
      <c r="S24" s="15" t="s">
        <v>766</v>
      </c>
      <c r="T24" s="15" t="s">
        <v>35</v>
      </c>
      <c r="U24" s="18"/>
      <c r="V24" s="18" t="s">
        <v>263</v>
      </c>
      <c r="W24" s="19">
        <v>1</v>
      </c>
      <c r="X24" s="19">
        <v>1</v>
      </c>
      <c r="Y24" s="18" t="s">
        <v>767</v>
      </c>
      <c r="Z24" s="18" t="s">
        <v>768</v>
      </c>
      <c r="AA24" s="18">
        <v>3</v>
      </c>
      <c r="AB24" s="29" t="s">
        <v>769</v>
      </c>
      <c r="AC24" s="18">
        <v>0.5</v>
      </c>
      <c r="AD24" s="18" t="s">
        <v>770</v>
      </c>
      <c r="AE24" s="18" t="s">
        <v>43</v>
      </c>
      <c r="AF24" s="20"/>
      <c r="AG24" s="20" t="s">
        <v>771</v>
      </c>
      <c r="AH24" s="21">
        <v>1</v>
      </c>
      <c r="AI24" s="21">
        <v>1</v>
      </c>
      <c r="AJ24" s="20" t="s">
        <v>772</v>
      </c>
      <c r="AK24" s="20">
        <v>1</v>
      </c>
      <c r="AL24" s="20" t="s">
        <v>773</v>
      </c>
      <c r="AM24" s="20" t="s">
        <v>64</v>
      </c>
      <c r="AN24" s="15"/>
      <c r="AO24" s="15" t="s">
        <v>569</v>
      </c>
      <c r="AP24" s="16">
        <v>1</v>
      </c>
      <c r="AQ24" s="16">
        <v>1</v>
      </c>
      <c r="AR24" s="15" t="s">
        <v>774</v>
      </c>
      <c r="AS24" s="15" t="s">
        <v>775</v>
      </c>
      <c r="AT24" s="15">
        <v>3</v>
      </c>
      <c r="AU24" s="17">
        <v>0</v>
      </c>
      <c r="AV24" s="15" t="s">
        <v>62</v>
      </c>
      <c r="AW24" s="15">
        <v>1</v>
      </c>
      <c r="AX24" s="15" t="s">
        <v>776</v>
      </c>
      <c r="AY24" s="15" t="s">
        <v>43</v>
      </c>
      <c r="AZ24" s="18"/>
      <c r="BA24" s="18" t="s">
        <v>777</v>
      </c>
      <c r="BB24" s="19">
        <v>1</v>
      </c>
      <c r="BC24" s="19">
        <v>1</v>
      </c>
      <c r="BD24" s="18" t="s">
        <v>778</v>
      </c>
      <c r="BE24" s="18">
        <v>1</v>
      </c>
      <c r="BF24" s="18" t="s">
        <v>779</v>
      </c>
      <c r="BG24" s="18" t="s">
        <v>43</v>
      </c>
      <c r="BH24" s="12"/>
      <c r="BI24" s="12" t="s">
        <v>248</v>
      </c>
      <c r="BJ24" s="12">
        <v>1</v>
      </c>
      <c r="BK24" s="12">
        <v>1</v>
      </c>
      <c r="BL24" s="12" t="s">
        <v>780</v>
      </c>
      <c r="BM24" s="12">
        <v>1</v>
      </c>
      <c r="BN24" s="12" t="s">
        <v>781</v>
      </c>
      <c r="BO24" s="12" t="s">
        <v>37</v>
      </c>
      <c r="BP24" s="20"/>
      <c r="BQ24" s="20" t="s">
        <v>279</v>
      </c>
      <c r="BR24" s="20">
        <v>1</v>
      </c>
      <c r="BS24" s="20">
        <v>1</v>
      </c>
      <c r="BT24" s="20" t="s">
        <v>3706</v>
      </c>
      <c r="BU24" s="20" t="s">
        <v>3707</v>
      </c>
      <c r="BV24" s="20">
        <v>0</v>
      </c>
      <c r="BW24" s="20" t="s">
        <v>62</v>
      </c>
      <c r="BX24" s="20">
        <v>0</v>
      </c>
      <c r="BY24" s="20" t="s">
        <v>784</v>
      </c>
      <c r="BZ24" s="20" t="s">
        <v>43</v>
      </c>
    </row>
    <row r="25" spans="1:78">
      <c r="A25">
        <v>10024</v>
      </c>
      <c r="B25" s="12"/>
      <c r="C25" s="12" t="s">
        <v>785</v>
      </c>
      <c r="D25" s="13">
        <v>0</v>
      </c>
      <c r="E25" s="13">
        <v>0</v>
      </c>
      <c r="F25" s="12" t="s">
        <v>50</v>
      </c>
      <c r="G25" s="13">
        <v>0</v>
      </c>
      <c r="H25" s="12" t="s">
        <v>88</v>
      </c>
      <c r="I25" s="12" t="s">
        <v>37</v>
      </c>
      <c r="J25" s="15"/>
      <c r="K25" s="15" t="s">
        <v>786</v>
      </c>
      <c r="L25" s="15">
        <v>0</v>
      </c>
      <c r="M25" s="15">
        <v>0</v>
      </c>
      <c r="N25" s="15" t="s">
        <v>50</v>
      </c>
      <c r="O25" s="15" t="s">
        <v>50</v>
      </c>
      <c r="P25" s="17">
        <v>0</v>
      </c>
      <c r="Q25" s="15" t="s">
        <v>87</v>
      </c>
      <c r="R25" s="15">
        <v>0</v>
      </c>
      <c r="S25" s="15" t="s">
        <v>787</v>
      </c>
      <c r="T25" s="15" t="s">
        <v>37</v>
      </c>
      <c r="U25" s="18"/>
      <c r="V25" s="18" t="s">
        <v>788</v>
      </c>
      <c r="W25" s="18">
        <v>0</v>
      </c>
      <c r="X25" s="18">
        <v>0</v>
      </c>
      <c r="Y25" s="18" t="s">
        <v>789</v>
      </c>
      <c r="Z25" s="18" t="s">
        <v>790</v>
      </c>
      <c r="AA25" s="18">
        <v>0</v>
      </c>
      <c r="AB25" s="29" t="s">
        <v>90</v>
      </c>
      <c r="AC25" s="18">
        <v>0</v>
      </c>
      <c r="AD25" s="18" t="s">
        <v>791</v>
      </c>
      <c r="AE25" s="18" t="s">
        <v>35</v>
      </c>
      <c r="AF25" s="20"/>
      <c r="AG25" s="20" t="s">
        <v>792</v>
      </c>
      <c r="AH25" s="20"/>
      <c r="AI25" s="20"/>
      <c r="AJ25" s="20" t="s">
        <v>89</v>
      </c>
      <c r="AK25" s="20">
        <v>0</v>
      </c>
      <c r="AL25" s="20" t="s">
        <v>73</v>
      </c>
      <c r="AM25" s="20" t="s">
        <v>37</v>
      </c>
      <c r="AN25" s="15"/>
      <c r="AO25" s="15" t="s">
        <v>793</v>
      </c>
      <c r="AP25" s="16">
        <v>1</v>
      </c>
      <c r="AQ25" s="16">
        <v>0</v>
      </c>
      <c r="AR25" s="15" t="s">
        <v>794</v>
      </c>
      <c r="AS25" s="15" t="s">
        <v>50</v>
      </c>
      <c r="AT25" s="15">
        <v>1</v>
      </c>
      <c r="AU25" s="17">
        <v>0</v>
      </c>
      <c r="AV25" s="15" t="s">
        <v>89</v>
      </c>
      <c r="AW25" s="15">
        <v>0</v>
      </c>
      <c r="AX25" s="15" t="s">
        <v>73</v>
      </c>
      <c r="AY25" s="15" t="s">
        <v>37</v>
      </c>
      <c r="AZ25" s="18"/>
      <c r="BA25" s="18" t="s">
        <v>795</v>
      </c>
      <c r="BB25" s="19">
        <v>3</v>
      </c>
      <c r="BC25" s="19">
        <v>3</v>
      </c>
      <c r="BD25" s="18" t="s">
        <v>89</v>
      </c>
      <c r="BE25" s="18">
        <v>0</v>
      </c>
      <c r="BF25" s="18" t="s">
        <v>73</v>
      </c>
      <c r="BG25" s="18" t="s">
        <v>37</v>
      </c>
      <c r="BH25" s="12"/>
      <c r="BI25" s="12" t="s">
        <v>248</v>
      </c>
      <c r="BJ25" s="12">
        <v>1</v>
      </c>
      <c r="BK25" s="12">
        <v>1</v>
      </c>
      <c r="BL25" s="12" t="s">
        <v>3340</v>
      </c>
      <c r="BM25" s="12">
        <v>0.5</v>
      </c>
      <c r="BN25" s="12" t="s">
        <v>73</v>
      </c>
      <c r="BO25" s="12" t="s">
        <v>37</v>
      </c>
      <c r="BP25" s="20"/>
      <c r="BQ25" s="20" t="s">
        <v>1404</v>
      </c>
      <c r="BR25" s="20">
        <v>1</v>
      </c>
      <c r="BS25" s="20">
        <v>0</v>
      </c>
      <c r="BT25" s="20" t="s">
        <v>1405</v>
      </c>
      <c r="BU25" s="20" t="s">
        <v>1406</v>
      </c>
      <c r="BV25" s="20">
        <v>0</v>
      </c>
      <c r="BW25" s="20" t="s">
        <v>89</v>
      </c>
      <c r="BX25" s="20">
        <v>0</v>
      </c>
      <c r="BY25" s="20" t="s">
        <v>73</v>
      </c>
      <c r="BZ25" s="20" t="s">
        <v>37</v>
      </c>
    </row>
    <row r="26" spans="1:78">
      <c r="A26">
        <v>10025</v>
      </c>
      <c r="B26" s="12"/>
      <c r="C26" s="12" t="s">
        <v>462</v>
      </c>
      <c r="D26" s="14">
        <v>1</v>
      </c>
      <c r="E26" s="14">
        <v>1</v>
      </c>
      <c r="F26" s="12" t="s">
        <v>799</v>
      </c>
      <c r="G26" s="13">
        <v>1</v>
      </c>
      <c r="H26" s="12" t="s">
        <v>800</v>
      </c>
      <c r="I26" s="12" t="s">
        <v>36</v>
      </c>
      <c r="J26" s="15"/>
      <c r="K26" s="15" t="s">
        <v>465</v>
      </c>
      <c r="L26" s="16">
        <v>1</v>
      </c>
      <c r="M26" s="16">
        <v>1</v>
      </c>
      <c r="N26" s="15" t="s">
        <v>801</v>
      </c>
      <c r="O26" s="15" t="s">
        <v>802</v>
      </c>
      <c r="P26" s="17">
        <v>0</v>
      </c>
      <c r="Q26" s="15" t="s">
        <v>52</v>
      </c>
      <c r="R26" s="15">
        <v>0.5</v>
      </c>
      <c r="S26" s="15" t="s">
        <v>803</v>
      </c>
      <c r="T26" s="15" t="s">
        <v>42</v>
      </c>
      <c r="U26" s="18"/>
      <c r="V26" s="18" t="s">
        <v>263</v>
      </c>
      <c r="W26" s="19">
        <v>1</v>
      </c>
      <c r="X26" s="19">
        <v>1</v>
      </c>
      <c r="Y26" s="18" t="s">
        <v>804</v>
      </c>
      <c r="Z26" s="18" t="s">
        <v>805</v>
      </c>
      <c r="AA26" s="18">
        <v>2</v>
      </c>
      <c r="AB26" s="29" t="s">
        <v>62</v>
      </c>
      <c r="AC26" s="18">
        <v>0</v>
      </c>
      <c r="AD26" s="18" t="s">
        <v>806</v>
      </c>
      <c r="AE26" s="18" t="s">
        <v>37</v>
      </c>
      <c r="AF26" s="20"/>
      <c r="AG26" s="20" t="s">
        <v>807</v>
      </c>
      <c r="AH26" s="21">
        <v>1</v>
      </c>
      <c r="AI26" s="21">
        <v>1</v>
      </c>
      <c r="AJ26" s="20" t="s">
        <v>79</v>
      </c>
      <c r="AK26" s="20">
        <v>0</v>
      </c>
      <c r="AL26" s="20" t="s">
        <v>808</v>
      </c>
      <c r="AM26" s="20" t="s">
        <v>35</v>
      </c>
      <c r="AN26" s="15"/>
      <c r="AO26" s="15" t="s">
        <v>450</v>
      </c>
      <c r="AP26" s="16">
        <v>1</v>
      </c>
      <c r="AQ26" s="16">
        <v>1</v>
      </c>
      <c r="AR26" s="15" t="s">
        <v>809</v>
      </c>
      <c r="AS26" s="15" t="s">
        <v>810</v>
      </c>
      <c r="AT26" s="15">
        <v>1</v>
      </c>
      <c r="AU26" s="17">
        <v>0</v>
      </c>
      <c r="AV26" s="15" t="s">
        <v>62</v>
      </c>
      <c r="AW26" s="15">
        <v>1</v>
      </c>
      <c r="AX26" s="15" t="s">
        <v>803</v>
      </c>
      <c r="AY26" s="15" t="s">
        <v>35</v>
      </c>
      <c r="AZ26" s="18"/>
      <c r="BA26" s="18" t="s">
        <v>811</v>
      </c>
      <c r="BB26" s="19">
        <v>1</v>
      </c>
      <c r="BC26" s="19">
        <v>1</v>
      </c>
      <c r="BD26" s="18" t="s">
        <v>81</v>
      </c>
      <c r="BE26" s="18">
        <v>0</v>
      </c>
      <c r="BF26" s="18" t="s">
        <v>812</v>
      </c>
      <c r="BG26" s="18" t="s">
        <v>42</v>
      </c>
      <c r="BH26" s="12"/>
      <c r="BI26" s="12" t="s">
        <v>844</v>
      </c>
      <c r="BJ26" s="12">
        <v>1</v>
      </c>
      <c r="BK26" s="12">
        <v>1</v>
      </c>
      <c r="BL26" s="12" t="s">
        <v>3216</v>
      </c>
      <c r="BM26" s="12">
        <v>0.5</v>
      </c>
      <c r="BN26" s="12" t="s">
        <v>813</v>
      </c>
      <c r="BO26" s="12" t="s">
        <v>37</v>
      </c>
      <c r="BP26" s="20"/>
      <c r="BQ26" s="20" t="s">
        <v>383</v>
      </c>
      <c r="BR26" s="20">
        <v>1</v>
      </c>
      <c r="BS26" s="20">
        <v>1</v>
      </c>
      <c r="BT26" s="20" t="s">
        <v>533</v>
      </c>
      <c r="BU26" s="20" t="s">
        <v>534</v>
      </c>
      <c r="BV26" s="20">
        <v>1</v>
      </c>
      <c r="BW26" s="20" t="s">
        <v>62</v>
      </c>
      <c r="BX26" s="20">
        <v>0</v>
      </c>
      <c r="BY26" s="20" t="s">
        <v>816</v>
      </c>
      <c r="BZ26" s="20" t="s">
        <v>43</v>
      </c>
    </row>
    <row r="27" spans="1:78">
      <c r="A27">
        <v>10026</v>
      </c>
      <c r="B27" s="12"/>
      <c r="C27" s="12" t="s">
        <v>817</v>
      </c>
      <c r="D27" s="14">
        <v>1</v>
      </c>
      <c r="E27" s="14">
        <v>1</v>
      </c>
      <c r="F27" s="12" t="s">
        <v>818</v>
      </c>
      <c r="G27" s="13">
        <v>3</v>
      </c>
      <c r="H27" s="12" t="s">
        <v>819</v>
      </c>
      <c r="I27" s="12" t="s">
        <v>42</v>
      </c>
      <c r="J27" s="15"/>
      <c r="K27" s="15" t="s">
        <v>820</v>
      </c>
      <c r="L27" s="16">
        <v>1</v>
      </c>
      <c r="M27" s="16">
        <v>1</v>
      </c>
      <c r="N27" s="15" t="s">
        <v>821</v>
      </c>
      <c r="O27" s="15" t="s">
        <v>822</v>
      </c>
      <c r="P27" s="17">
        <v>1</v>
      </c>
      <c r="Q27" s="15" t="s">
        <v>823</v>
      </c>
      <c r="R27" s="15">
        <v>1</v>
      </c>
      <c r="S27" s="15" t="s">
        <v>824</v>
      </c>
      <c r="T27" s="15" t="s">
        <v>43</v>
      </c>
      <c r="U27" s="18"/>
      <c r="V27" s="18" t="s">
        <v>825</v>
      </c>
      <c r="W27" s="19">
        <v>1</v>
      </c>
      <c r="X27" s="19">
        <v>1</v>
      </c>
      <c r="Y27" s="18" t="s">
        <v>826</v>
      </c>
      <c r="Z27" s="18" t="s">
        <v>827</v>
      </c>
      <c r="AA27" s="18">
        <v>3</v>
      </c>
      <c r="AB27" s="29" t="s">
        <v>828</v>
      </c>
      <c r="AC27" s="18">
        <v>1</v>
      </c>
      <c r="AD27" s="18" t="s">
        <v>829</v>
      </c>
      <c r="AE27" s="18" t="s">
        <v>35</v>
      </c>
      <c r="AF27" s="20"/>
      <c r="AG27" s="20" t="s">
        <v>830</v>
      </c>
      <c r="AH27" s="21">
        <v>1</v>
      </c>
      <c r="AI27" s="21">
        <v>1</v>
      </c>
      <c r="AJ27" s="20" t="s">
        <v>831</v>
      </c>
      <c r="AK27" s="20">
        <v>0</v>
      </c>
      <c r="AL27" s="20" t="s">
        <v>832</v>
      </c>
      <c r="AM27" s="20" t="s">
        <v>43</v>
      </c>
      <c r="AN27" s="15"/>
      <c r="AO27" s="15" t="s">
        <v>833</v>
      </c>
      <c r="AP27" s="16">
        <v>1</v>
      </c>
      <c r="AQ27" s="16">
        <v>1</v>
      </c>
      <c r="AR27" s="15" t="s">
        <v>834</v>
      </c>
      <c r="AS27" s="15" t="s">
        <v>183</v>
      </c>
      <c r="AT27" s="15">
        <v>0</v>
      </c>
      <c r="AU27" s="17">
        <v>0</v>
      </c>
      <c r="AV27" s="15"/>
      <c r="AW27" s="15">
        <v>0</v>
      </c>
      <c r="AX27" s="15"/>
      <c r="AY27" s="15" t="s">
        <v>37</v>
      </c>
      <c r="AZ27" s="18"/>
      <c r="BA27" s="18"/>
      <c r="BB27" s="19">
        <v>1</v>
      </c>
      <c r="BC27" s="19">
        <v>1</v>
      </c>
      <c r="BD27" s="18"/>
      <c r="BE27" s="18">
        <v>0</v>
      </c>
      <c r="BF27" s="18"/>
      <c r="BG27" s="18" t="s">
        <v>37</v>
      </c>
      <c r="BH27" s="12"/>
      <c r="BI27" s="12" t="s">
        <v>2707</v>
      </c>
      <c r="BJ27" s="12">
        <v>1</v>
      </c>
      <c r="BK27" s="12">
        <v>1</v>
      </c>
      <c r="BL27" s="12" t="s">
        <v>52</v>
      </c>
      <c r="BM27" s="12">
        <v>0.5</v>
      </c>
      <c r="BN27" s="12"/>
      <c r="BO27" s="12" t="s">
        <v>37</v>
      </c>
      <c r="BP27" s="20"/>
      <c r="BQ27" s="20" t="s">
        <v>2427</v>
      </c>
      <c r="BR27" s="20">
        <v>1</v>
      </c>
      <c r="BS27" s="20">
        <v>1</v>
      </c>
      <c r="BT27" s="20" t="s">
        <v>3269</v>
      </c>
      <c r="BU27" s="20" t="s">
        <v>3270</v>
      </c>
      <c r="BV27" s="20">
        <v>1</v>
      </c>
      <c r="BW27" s="20"/>
      <c r="BX27" s="20">
        <v>0</v>
      </c>
      <c r="BY27" s="20"/>
      <c r="BZ27" s="20" t="s">
        <v>37</v>
      </c>
    </row>
    <row r="28" spans="1:78">
      <c r="A28">
        <v>10027</v>
      </c>
      <c r="B28" s="12"/>
      <c r="C28" s="12" t="s">
        <v>835</v>
      </c>
      <c r="D28" s="14">
        <v>1</v>
      </c>
      <c r="E28" s="14">
        <v>1</v>
      </c>
      <c r="F28" s="12" t="s">
        <v>836</v>
      </c>
      <c r="G28" s="13">
        <v>3</v>
      </c>
      <c r="H28" s="12" t="s">
        <v>93</v>
      </c>
      <c r="I28" s="12" t="s">
        <v>37</v>
      </c>
      <c r="J28" s="15"/>
      <c r="K28" s="15" t="s">
        <v>837</v>
      </c>
      <c r="L28" s="16">
        <v>1</v>
      </c>
      <c r="M28" s="16">
        <v>1</v>
      </c>
      <c r="N28" s="15" t="s">
        <v>135</v>
      </c>
      <c r="O28" s="15" t="s">
        <v>106</v>
      </c>
      <c r="P28" s="17">
        <v>0</v>
      </c>
      <c r="Q28" s="15" t="s">
        <v>838</v>
      </c>
      <c r="R28" s="15">
        <v>0.5</v>
      </c>
      <c r="S28" s="15" t="s">
        <v>93</v>
      </c>
      <c r="T28" s="15" t="s">
        <v>37</v>
      </c>
      <c r="U28" s="18"/>
      <c r="V28" s="18" t="s">
        <v>839</v>
      </c>
      <c r="W28" s="18">
        <v>1</v>
      </c>
      <c r="X28" s="18">
        <v>1</v>
      </c>
      <c r="Y28" s="18" t="s">
        <v>135</v>
      </c>
      <c r="Z28" s="18" t="s">
        <v>95</v>
      </c>
      <c r="AA28" s="18">
        <v>0</v>
      </c>
      <c r="AB28" s="29" t="s">
        <v>62</v>
      </c>
      <c r="AC28" s="18">
        <v>0</v>
      </c>
      <c r="AD28" s="18" t="s">
        <v>93</v>
      </c>
      <c r="AE28" s="18" t="s">
        <v>37</v>
      </c>
      <c r="AF28" s="20"/>
      <c r="AG28" s="20" t="s">
        <v>840</v>
      </c>
      <c r="AH28" s="21">
        <v>1</v>
      </c>
      <c r="AI28" s="21">
        <v>1</v>
      </c>
      <c r="AJ28" s="20" t="s">
        <v>841</v>
      </c>
      <c r="AK28" s="20">
        <v>0</v>
      </c>
      <c r="AL28" s="20" t="s">
        <v>93</v>
      </c>
      <c r="AM28" s="20" t="s">
        <v>37</v>
      </c>
      <c r="AN28" s="15"/>
      <c r="AO28" s="15" t="s">
        <v>842</v>
      </c>
      <c r="AP28" s="16">
        <v>1</v>
      </c>
      <c r="AQ28" s="16">
        <v>1</v>
      </c>
      <c r="AR28" s="15" t="s">
        <v>135</v>
      </c>
      <c r="AS28" s="15" t="s">
        <v>95</v>
      </c>
      <c r="AT28" s="15">
        <v>0</v>
      </c>
      <c r="AU28" s="17">
        <v>0</v>
      </c>
      <c r="AV28" s="15" t="s">
        <v>62</v>
      </c>
      <c r="AW28" s="15">
        <v>1</v>
      </c>
      <c r="AX28" s="15" t="s">
        <v>93</v>
      </c>
      <c r="AY28" s="15" t="s">
        <v>37</v>
      </c>
      <c r="AZ28" s="18"/>
      <c r="BA28" s="18" t="s">
        <v>843</v>
      </c>
      <c r="BB28" s="19">
        <v>1</v>
      </c>
      <c r="BC28" s="19">
        <v>1</v>
      </c>
      <c r="BD28" s="18" t="s">
        <v>96</v>
      </c>
      <c r="BE28" s="18">
        <v>0</v>
      </c>
      <c r="BF28" s="18" t="s">
        <v>93</v>
      </c>
      <c r="BG28" s="18" t="s">
        <v>37</v>
      </c>
      <c r="BH28" s="12"/>
      <c r="BI28" s="12" t="s">
        <v>3243</v>
      </c>
      <c r="BJ28" s="12">
        <v>1</v>
      </c>
      <c r="BK28" s="12">
        <v>1</v>
      </c>
      <c r="BL28" s="12" t="s">
        <v>456</v>
      </c>
      <c r="BM28" s="12">
        <v>0.5</v>
      </c>
      <c r="BN28" s="12" t="s">
        <v>93</v>
      </c>
      <c r="BO28" s="12" t="s">
        <v>37</v>
      </c>
      <c r="BP28" s="20"/>
      <c r="BQ28" s="20" t="s">
        <v>2560</v>
      </c>
      <c r="BR28" s="20">
        <v>1</v>
      </c>
      <c r="BS28" s="20">
        <v>1</v>
      </c>
      <c r="BT28" s="20"/>
      <c r="BU28" s="20"/>
      <c r="BV28" s="20">
        <v>0</v>
      </c>
      <c r="BW28" s="20" t="s">
        <v>62</v>
      </c>
      <c r="BX28" s="20">
        <v>0</v>
      </c>
      <c r="BY28" s="20" t="s">
        <v>93</v>
      </c>
      <c r="BZ28" s="20" t="s">
        <v>37</v>
      </c>
    </row>
    <row r="29" spans="1:78">
      <c r="A29">
        <v>10028</v>
      </c>
      <c r="B29" s="12"/>
      <c r="C29" s="12" t="s">
        <v>847</v>
      </c>
      <c r="D29" s="14">
        <v>1</v>
      </c>
      <c r="E29" s="14">
        <v>1</v>
      </c>
      <c r="F29" s="12" t="s">
        <v>848</v>
      </c>
      <c r="G29" s="13">
        <v>3</v>
      </c>
      <c r="H29" s="12" t="s">
        <v>98</v>
      </c>
      <c r="I29" s="12" t="s">
        <v>43</v>
      </c>
      <c r="J29" s="15"/>
      <c r="K29" s="15" t="s">
        <v>849</v>
      </c>
      <c r="L29" s="16">
        <v>1</v>
      </c>
      <c r="M29" s="16">
        <v>1</v>
      </c>
      <c r="N29" s="15" t="s">
        <v>850</v>
      </c>
      <c r="O29" s="15" t="s">
        <v>851</v>
      </c>
      <c r="P29" s="17">
        <v>2</v>
      </c>
      <c r="Q29" s="15" t="s">
        <v>52</v>
      </c>
      <c r="R29" s="15">
        <v>0.5</v>
      </c>
      <c r="S29" s="15" t="s">
        <v>852</v>
      </c>
      <c r="T29" s="15" t="s">
        <v>37</v>
      </c>
      <c r="U29" s="18"/>
      <c r="V29" s="18" t="s">
        <v>853</v>
      </c>
      <c r="W29" s="18">
        <v>1</v>
      </c>
      <c r="X29" s="18">
        <v>1</v>
      </c>
      <c r="Y29" s="18" t="s">
        <v>854</v>
      </c>
      <c r="Z29" s="18" t="s">
        <v>855</v>
      </c>
      <c r="AA29" s="18">
        <v>2</v>
      </c>
      <c r="AB29" s="29" t="s">
        <v>68</v>
      </c>
      <c r="AC29" s="18">
        <v>0.5</v>
      </c>
      <c r="AD29" s="18" t="s">
        <v>139</v>
      </c>
      <c r="AE29" s="18" t="s">
        <v>43</v>
      </c>
      <c r="AF29" s="20"/>
      <c r="AG29" s="20" t="s">
        <v>856</v>
      </c>
      <c r="AH29" s="21">
        <v>1</v>
      </c>
      <c r="AI29" s="21">
        <v>1</v>
      </c>
      <c r="AJ29" s="20" t="s">
        <v>104</v>
      </c>
      <c r="AK29" s="20">
        <v>0</v>
      </c>
      <c r="AL29" s="20" t="s">
        <v>857</v>
      </c>
      <c r="AM29" s="20" t="s">
        <v>35</v>
      </c>
      <c r="AN29" s="15"/>
      <c r="AO29" s="15" t="s">
        <v>858</v>
      </c>
      <c r="AP29" s="16">
        <v>1</v>
      </c>
      <c r="AQ29" s="16">
        <v>1</v>
      </c>
      <c r="AR29" s="15" t="s">
        <v>120</v>
      </c>
      <c r="AS29" s="15" t="s">
        <v>859</v>
      </c>
      <c r="AT29" s="15">
        <v>1</v>
      </c>
      <c r="AU29" s="17">
        <v>0</v>
      </c>
      <c r="AV29" s="15" t="s">
        <v>62</v>
      </c>
      <c r="AW29" s="15">
        <v>1</v>
      </c>
      <c r="AX29" s="15" t="s">
        <v>93</v>
      </c>
      <c r="AY29" s="15" t="s">
        <v>37</v>
      </c>
      <c r="AZ29" s="18"/>
      <c r="BA29" s="18" t="s">
        <v>860</v>
      </c>
      <c r="BB29" s="19">
        <v>1</v>
      </c>
      <c r="BC29" s="19">
        <v>1</v>
      </c>
      <c r="BD29" s="18" t="s">
        <v>78</v>
      </c>
      <c r="BE29" s="18">
        <v>0</v>
      </c>
      <c r="BF29" s="18" t="s">
        <v>93</v>
      </c>
      <c r="BG29" s="18" t="s">
        <v>37</v>
      </c>
      <c r="BH29" s="12"/>
      <c r="BI29" s="12" t="s">
        <v>1272</v>
      </c>
      <c r="BJ29" s="12">
        <v>1</v>
      </c>
      <c r="BK29" s="12">
        <v>1</v>
      </c>
      <c r="BL29" s="12" t="s">
        <v>148</v>
      </c>
      <c r="BM29" s="12">
        <v>0.5</v>
      </c>
      <c r="BN29" s="12" t="s">
        <v>93</v>
      </c>
      <c r="BO29" s="12" t="s">
        <v>37</v>
      </c>
      <c r="BP29" s="20"/>
      <c r="BQ29" s="20" t="s">
        <v>3391</v>
      </c>
      <c r="BR29" s="20">
        <v>1</v>
      </c>
      <c r="BS29" s="20">
        <v>1</v>
      </c>
      <c r="BT29" s="20" t="s">
        <v>97</v>
      </c>
      <c r="BU29" s="20" t="s">
        <v>97</v>
      </c>
      <c r="BV29" s="20">
        <v>1</v>
      </c>
      <c r="BW29" s="20" t="s">
        <v>62</v>
      </c>
      <c r="BX29" s="20">
        <v>0</v>
      </c>
      <c r="BY29" s="20" t="s">
        <v>93</v>
      </c>
      <c r="BZ29" s="20" t="s">
        <v>37</v>
      </c>
    </row>
    <row r="30" spans="1:78">
      <c r="A30">
        <v>10029</v>
      </c>
      <c r="B30" s="12"/>
      <c r="C30" s="12" t="s">
        <v>255</v>
      </c>
      <c r="D30" s="14">
        <v>1</v>
      </c>
      <c r="E30" s="14">
        <v>1</v>
      </c>
      <c r="F30" s="12" t="s">
        <v>135</v>
      </c>
      <c r="G30" s="13">
        <v>0</v>
      </c>
      <c r="H30" s="12" t="s">
        <v>866</v>
      </c>
      <c r="I30" s="12" t="s">
        <v>37</v>
      </c>
      <c r="J30" s="15"/>
      <c r="K30" s="15" t="s">
        <v>230</v>
      </c>
      <c r="L30" s="16">
        <v>1</v>
      </c>
      <c r="M30" s="16">
        <v>1</v>
      </c>
      <c r="N30" s="15" t="s">
        <v>867</v>
      </c>
      <c r="O30" s="15" t="s">
        <v>868</v>
      </c>
      <c r="P30" s="17">
        <v>1</v>
      </c>
      <c r="Q30" s="15" t="s">
        <v>869</v>
      </c>
      <c r="R30" s="15">
        <v>1</v>
      </c>
      <c r="S30" s="15" t="s">
        <v>207</v>
      </c>
      <c r="T30" s="15" t="s">
        <v>43</v>
      </c>
      <c r="U30" s="18"/>
      <c r="V30" s="18" t="s">
        <v>263</v>
      </c>
      <c r="W30" s="19">
        <v>1</v>
      </c>
      <c r="X30" s="19">
        <v>1</v>
      </c>
      <c r="Y30" s="18" t="s">
        <v>205</v>
      </c>
      <c r="Z30" s="18" t="s">
        <v>870</v>
      </c>
      <c r="AA30" s="18">
        <v>0</v>
      </c>
      <c r="AB30" s="29" t="s">
        <v>157</v>
      </c>
      <c r="AC30" s="18">
        <v>0.5</v>
      </c>
      <c r="AD30" s="18" t="s">
        <v>871</v>
      </c>
      <c r="AE30" s="18" t="s">
        <v>43</v>
      </c>
      <c r="AF30" s="20"/>
      <c r="AG30" s="20" t="s">
        <v>238</v>
      </c>
      <c r="AH30" s="21">
        <v>1</v>
      </c>
      <c r="AI30" s="21">
        <v>1</v>
      </c>
      <c r="AJ30" s="20" t="s">
        <v>872</v>
      </c>
      <c r="AK30" s="20">
        <v>1</v>
      </c>
      <c r="AL30" s="20" t="s">
        <v>873</v>
      </c>
      <c r="AM30" s="20" t="s">
        <v>36</v>
      </c>
      <c r="AN30" s="15"/>
      <c r="AO30" s="15" t="s">
        <v>241</v>
      </c>
      <c r="AP30" s="16">
        <v>1</v>
      </c>
      <c r="AQ30" s="16">
        <v>1</v>
      </c>
      <c r="AR30" s="15" t="s">
        <v>100</v>
      </c>
      <c r="AS30" s="15" t="s">
        <v>874</v>
      </c>
      <c r="AT30" s="15">
        <v>0</v>
      </c>
      <c r="AU30" s="17">
        <v>0</v>
      </c>
      <c r="AV30" s="15" t="s">
        <v>62</v>
      </c>
      <c r="AW30" s="15">
        <v>1</v>
      </c>
      <c r="AX30" s="15" t="s">
        <v>875</v>
      </c>
      <c r="AY30" s="15" t="s">
        <v>67</v>
      </c>
      <c r="AZ30" s="18"/>
      <c r="BA30" s="18" t="s">
        <v>573</v>
      </c>
      <c r="BB30" s="19">
        <v>1</v>
      </c>
      <c r="BC30" s="19">
        <v>1</v>
      </c>
      <c r="BD30" s="18" t="s">
        <v>876</v>
      </c>
      <c r="BE30" s="18">
        <v>0</v>
      </c>
      <c r="BF30" s="18" t="s">
        <v>877</v>
      </c>
      <c r="BG30" s="18" t="s">
        <v>63</v>
      </c>
      <c r="BH30" s="12"/>
      <c r="BI30" s="12" t="s">
        <v>248</v>
      </c>
      <c r="BJ30" s="12">
        <v>1</v>
      </c>
      <c r="BK30" s="12">
        <v>1</v>
      </c>
      <c r="BL30" s="12" t="s">
        <v>1583</v>
      </c>
      <c r="BM30" s="12">
        <v>0.5</v>
      </c>
      <c r="BN30" s="12" t="s">
        <v>878</v>
      </c>
      <c r="BO30" s="12" t="s">
        <v>36</v>
      </c>
      <c r="BP30" s="20"/>
      <c r="BQ30" s="20" t="s">
        <v>2873</v>
      </c>
      <c r="BR30" s="20">
        <v>1</v>
      </c>
      <c r="BS30" s="20">
        <v>1</v>
      </c>
      <c r="BT30" s="20" t="s">
        <v>2874</v>
      </c>
      <c r="BU30" s="20" t="s">
        <v>2875</v>
      </c>
      <c r="BV30" s="20">
        <v>1</v>
      </c>
      <c r="BW30" s="20" t="s">
        <v>881</v>
      </c>
      <c r="BX30" s="20">
        <v>1</v>
      </c>
      <c r="BY30" s="20" t="s">
        <v>882</v>
      </c>
      <c r="BZ30" s="20" t="s">
        <v>37</v>
      </c>
    </row>
    <row r="31" spans="1:78">
      <c r="A31">
        <v>10030</v>
      </c>
      <c r="B31" s="12"/>
      <c r="C31" s="12" t="s">
        <v>228</v>
      </c>
      <c r="D31" s="14">
        <v>1</v>
      </c>
      <c r="E31" s="14">
        <v>1</v>
      </c>
      <c r="F31" s="12" t="s">
        <v>883</v>
      </c>
      <c r="G31" s="13">
        <v>0</v>
      </c>
      <c r="H31" s="12" t="s">
        <v>884</v>
      </c>
      <c r="I31" s="12" t="s">
        <v>42</v>
      </c>
      <c r="J31" s="15"/>
      <c r="K31" s="15" t="s">
        <v>258</v>
      </c>
      <c r="L31" s="16">
        <v>1</v>
      </c>
      <c r="M31" s="16">
        <v>1</v>
      </c>
      <c r="N31" s="15" t="s">
        <v>885</v>
      </c>
      <c r="O31" s="15" t="s">
        <v>886</v>
      </c>
      <c r="P31" s="17">
        <v>2</v>
      </c>
      <c r="Q31" s="15" t="s">
        <v>887</v>
      </c>
      <c r="R31" s="15">
        <v>0.5</v>
      </c>
      <c r="S31" s="15" t="s">
        <v>888</v>
      </c>
      <c r="T31" s="15" t="s">
        <v>37</v>
      </c>
      <c r="U31" s="18"/>
      <c r="V31" s="18" t="s">
        <v>263</v>
      </c>
      <c r="W31" s="18">
        <v>1</v>
      </c>
      <c r="X31" s="18">
        <v>1</v>
      </c>
      <c r="Y31" s="18" t="s">
        <v>889</v>
      </c>
      <c r="Z31" s="18" t="s">
        <v>890</v>
      </c>
      <c r="AA31" s="18">
        <v>0</v>
      </c>
      <c r="AB31" s="29" t="s">
        <v>133</v>
      </c>
      <c r="AC31" s="18">
        <v>0.5</v>
      </c>
      <c r="AD31" s="18" t="s">
        <v>891</v>
      </c>
      <c r="AE31" s="18" t="s">
        <v>37</v>
      </c>
      <c r="AF31" s="20"/>
      <c r="AG31" s="20" t="s">
        <v>892</v>
      </c>
      <c r="AH31" s="21">
        <v>1</v>
      </c>
      <c r="AI31" s="21">
        <v>1</v>
      </c>
      <c r="AJ31" s="20" t="s">
        <v>893</v>
      </c>
      <c r="AK31" s="20">
        <v>0</v>
      </c>
      <c r="AL31" s="20" t="s">
        <v>894</v>
      </c>
      <c r="AM31" s="20" t="s">
        <v>37</v>
      </c>
      <c r="AN31" s="15"/>
      <c r="AO31" s="15" t="s">
        <v>450</v>
      </c>
      <c r="AP31" s="16">
        <v>1</v>
      </c>
      <c r="AQ31" s="16">
        <v>1</v>
      </c>
      <c r="AR31" s="15" t="s">
        <v>895</v>
      </c>
      <c r="AS31" s="15" t="s">
        <v>896</v>
      </c>
      <c r="AT31" s="15">
        <v>2</v>
      </c>
      <c r="AU31" s="17">
        <v>0</v>
      </c>
      <c r="AV31" s="15" t="s">
        <v>162</v>
      </c>
      <c r="AW31" s="15">
        <v>1</v>
      </c>
      <c r="AX31" s="15" t="s">
        <v>93</v>
      </c>
      <c r="AY31" s="15" t="s">
        <v>37</v>
      </c>
      <c r="AZ31" s="18"/>
      <c r="BA31" s="18" t="s">
        <v>897</v>
      </c>
      <c r="BB31" s="19">
        <v>1</v>
      </c>
      <c r="BC31" s="19">
        <v>1</v>
      </c>
      <c r="BD31" s="18" t="s">
        <v>61</v>
      </c>
      <c r="BE31" s="18">
        <v>0</v>
      </c>
      <c r="BF31" s="18" t="s">
        <v>169</v>
      </c>
      <c r="BG31" s="18" t="s">
        <v>43</v>
      </c>
      <c r="BH31" s="12"/>
      <c r="BI31" s="12" t="s">
        <v>2557</v>
      </c>
      <c r="BJ31" s="12">
        <v>1</v>
      </c>
      <c r="BK31" s="12">
        <v>1</v>
      </c>
      <c r="BL31" s="12" t="s">
        <v>2558</v>
      </c>
      <c r="BM31" s="12">
        <v>0.5</v>
      </c>
      <c r="BN31" s="12" t="s">
        <v>93</v>
      </c>
      <c r="BO31" s="12" t="s">
        <v>37</v>
      </c>
      <c r="BP31" s="20"/>
      <c r="BQ31" s="20" t="s">
        <v>3415</v>
      </c>
      <c r="BR31" s="20">
        <v>1</v>
      </c>
      <c r="BS31" s="20">
        <v>1</v>
      </c>
      <c r="BT31" s="20" t="s">
        <v>3416</v>
      </c>
      <c r="BU31" s="20" t="s">
        <v>3417</v>
      </c>
      <c r="BV31" s="20">
        <v>0</v>
      </c>
      <c r="BW31" s="20" t="s">
        <v>62</v>
      </c>
      <c r="BX31" s="20">
        <v>0</v>
      </c>
      <c r="BY31" s="20" t="s">
        <v>93</v>
      </c>
      <c r="BZ31" s="20" t="s">
        <v>37</v>
      </c>
    </row>
    <row r="32" spans="1:78">
      <c r="A32">
        <v>10031</v>
      </c>
      <c r="B32" s="12"/>
      <c r="C32" s="12" t="s">
        <v>901</v>
      </c>
      <c r="D32" s="14">
        <v>1</v>
      </c>
      <c r="E32" s="14">
        <v>1</v>
      </c>
      <c r="F32" s="12" t="s">
        <v>902</v>
      </c>
      <c r="G32" s="13">
        <v>2</v>
      </c>
      <c r="H32" s="12" t="s">
        <v>903</v>
      </c>
      <c r="I32" s="12" t="s">
        <v>37</v>
      </c>
      <c r="J32" s="15"/>
      <c r="K32" s="15" t="s">
        <v>904</v>
      </c>
      <c r="L32" s="16">
        <v>0</v>
      </c>
      <c r="M32" s="16">
        <v>0</v>
      </c>
      <c r="N32" s="15" t="s">
        <v>905</v>
      </c>
      <c r="O32" s="15" t="s">
        <v>906</v>
      </c>
      <c r="P32" s="17">
        <v>3</v>
      </c>
      <c r="Q32" s="15" t="s">
        <v>153</v>
      </c>
      <c r="R32" s="15">
        <v>0.5</v>
      </c>
      <c r="S32" s="15" t="s">
        <v>907</v>
      </c>
      <c r="T32" s="15" t="s">
        <v>37</v>
      </c>
      <c r="U32" s="18"/>
      <c r="V32" s="18" t="s">
        <v>908</v>
      </c>
      <c r="W32" s="19">
        <v>1</v>
      </c>
      <c r="X32" s="19">
        <v>0</v>
      </c>
      <c r="Y32" s="18" t="s">
        <v>909</v>
      </c>
      <c r="Z32" s="18" t="s">
        <v>910</v>
      </c>
      <c r="AA32" s="18">
        <v>2</v>
      </c>
      <c r="AB32" s="29" t="s">
        <v>911</v>
      </c>
      <c r="AC32" s="18">
        <v>0.5</v>
      </c>
      <c r="AD32" s="18" t="s">
        <v>912</v>
      </c>
      <c r="AE32" s="18" t="s">
        <v>35</v>
      </c>
      <c r="AF32" s="20"/>
      <c r="AG32" s="20" t="s">
        <v>913</v>
      </c>
      <c r="AH32" s="21">
        <v>1</v>
      </c>
      <c r="AI32" s="21">
        <v>1</v>
      </c>
      <c r="AJ32" s="20" t="s">
        <v>914</v>
      </c>
      <c r="AK32" s="20">
        <v>0</v>
      </c>
      <c r="AL32" s="20" t="s">
        <v>915</v>
      </c>
      <c r="AM32" s="20" t="s">
        <v>37</v>
      </c>
      <c r="AN32" s="15"/>
      <c r="AO32" s="15" t="s">
        <v>916</v>
      </c>
      <c r="AP32" s="16">
        <v>0</v>
      </c>
      <c r="AQ32" s="16">
        <v>0</v>
      </c>
      <c r="AR32" s="15" t="s">
        <v>917</v>
      </c>
      <c r="AS32" s="15" t="s">
        <v>918</v>
      </c>
      <c r="AT32" s="15">
        <v>3</v>
      </c>
      <c r="AU32" s="17">
        <v>2</v>
      </c>
      <c r="AV32" s="15" t="s">
        <v>919</v>
      </c>
      <c r="AW32" s="15">
        <v>1</v>
      </c>
      <c r="AX32" s="15" t="s">
        <v>915</v>
      </c>
      <c r="AY32" s="15" t="s">
        <v>37</v>
      </c>
      <c r="AZ32" s="18"/>
      <c r="BA32" s="18" t="s">
        <v>920</v>
      </c>
      <c r="BB32" s="18">
        <v>1</v>
      </c>
      <c r="BC32" s="18">
        <v>0</v>
      </c>
      <c r="BD32" s="18" t="s">
        <v>921</v>
      </c>
      <c r="BE32" s="18">
        <v>0</v>
      </c>
      <c r="BF32" s="18" t="s">
        <v>922</v>
      </c>
      <c r="BG32" s="18" t="s">
        <v>35</v>
      </c>
      <c r="BH32" s="12"/>
      <c r="BI32" s="12" t="s">
        <v>1218</v>
      </c>
      <c r="BJ32" s="12">
        <v>1</v>
      </c>
      <c r="BK32" s="12">
        <v>1</v>
      </c>
      <c r="BL32" s="12" t="s">
        <v>1219</v>
      </c>
      <c r="BM32" s="12">
        <v>0.5</v>
      </c>
      <c r="BN32" s="12" t="s">
        <v>3708</v>
      </c>
      <c r="BO32" s="12" t="s">
        <v>35</v>
      </c>
      <c r="BP32" s="20"/>
      <c r="BQ32" s="20" t="s">
        <v>2043</v>
      </c>
      <c r="BR32" s="20">
        <v>1</v>
      </c>
      <c r="BS32" s="20">
        <v>1</v>
      </c>
      <c r="BT32" s="20" t="s">
        <v>3709</v>
      </c>
      <c r="BU32" s="20" t="s">
        <v>3710</v>
      </c>
      <c r="BV32" s="20">
        <v>1</v>
      </c>
      <c r="BW32" s="20" t="s">
        <v>927</v>
      </c>
      <c r="BX32" s="20">
        <v>0</v>
      </c>
      <c r="BY32" s="20" t="s">
        <v>915</v>
      </c>
      <c r="BZ32" s="20" t="s">
        <v>35</v>
      </c>
    </row>
    <row r="33" spans="1:78">
      <c r="A33">
        <v>10032</v>
      </c>
      <c r="B33" s="12"/>
      <c r="C33" s="12" t="s">
        <v>928</v>
      </c>
      <c r="D33" s="14">
        <v>1</v>
      </c>
      <c r="E33" s="14">
        <v>0</v>
      </c>
      <c r="F33" s="12" t="s">
        <v>929</v>
      </c>
      <c r="G33" s="13">
        <v>0</v>
      </c>
      <c r="H33" s="12" t="s">
        <v>930</v>
      </c>
      <c r="I33" s="12" t="s">
        <v>43</v>
      </c>
      <c r="J33" s="15"/>
      <c r="K33" s="15" t="s">
        <v>931</v>
      </c>
      <c r="L33" s="16">
        <v>1</v>
      </c>
      <c r="M33" s="16">
        <v>0</v>
      </c>
      <c r="N33" s="15" t="s">
        <v>932</v>
      </c>
      <c r="O33" s="15" t="s">
        <v>933</v>
      </c>
      <c r="P33" s="17">
        <v>0</v>
      </c>
      <c r="Q33" s="15" t="s">
        <v>934</v>
      </c>
      <c r="R33" s="15">
        <v>1</v>
      </c>
      <c r="S33" s="15" t="s">
        <v>935</v>
      </c>
      <c r="T33" s="15" t="s">
        <v>37</v>
      </c>
      <c r="U33" s="18"/>
      <c r="V33" s="18" t="s">
        <v>936</v>
      </c>
      <c r="W33" s="19">
        <v>1</v>
      </c>
      <c r="X33" s="19">
        <v>1</v>
      </c>
      <c r="Y33" s="18" t="s">
        <v>937</v>
      </c>
      <c r="Z33" s="18" t="s">
        <v>938</v>
      </c>
      <c r="AA33" s="18">
        <v>2</v>
      </c>
      <c r="AB33" s="29" t="s">
        <v>939</v>
      </c>
      <c r="AC33" s="18">
        <v>0</v>
      </c>
      <c r="AD33" s="18" t="s">
        <v>940</v>
      </c>
      <c r="AE33" s="18" t="s">
        <v>43</v>
      </c>
      <c r="AF33" s="20"/>
      <c r="AG33" s="20" t="s">
        <v>941</v>
      </c>
      <c r="AH33" s="21">
        <v>1</v>
      </c>
      <c r="AI33" s="21">
        <v>0</v>
      </c>
      <c r="AJ33" s="20" t="s">
        <v>942</v>
      </c>
      <c r="AK33" s="20">
        <v>1</v>
      </c>
      <c r="AL33" s="20" t="s">
        <v>943</v>
      </c>
      <c r="AM33" s="20" t="s">
        <v>43</v>
      </c>
      <c r="AN33" s="15"/>
      <c r="AO33" s="15" t="s">
        <v>944</v>
      </c>
      <c r="AP33" s="16">
        <v>1</v>
      </c>
      <c r="AQ33" s="16">
        <v>1</v>
      </c>
      <c r="AR33" s="15" t="s">
        <v>945</v>
      </c>
      <c r="AS33" s="15" t="s">
        <v>946</v>
      </c>
      <c r="AT33" s="15">
        <v>3</v>
      </c>
      <c r="AU33" s="17">
        <v>0</v>
      </c>
      <c r="AV33" s="15" t="s">
        <v>947</v>
      </c>
      <c r="AW33" s="15">
        <v>1</v>
      </c>
      <c r="AX33" s="15" t="s">
        <v>948</v>
      </c>
      <c r="AY33" s="15" t="s">
        <v>43</v>
      </c>
      <c r="AZ33" s="18"/>
      <c r="BA33" s="18" t="s">
        <v>949</v>
      </c>
      <c r="BB33" s="19">
        <v>0</v>
      </c>
      <c r="BC33" s="19">
        <v>0</v>
      </c>
      <c r="BD33" s="18" t="s">
        <v>950</v>
      </c>
      <c r="BE33" s="18">
        <v>1</v>
      </c>
      <c r="BF33" s="18" t="s">
        <v>951</v>
      </c>
      <c r="BG33" s="18" t="s">
        <v>43</v>
      </c>
      <c r="BH33" s="12"/>
      <c r="BI33" s="12" t="s">
        <v>952</v>
      </c>
      <c r="BJ33" s="12">
        <v>1</v>
      </c>
      <c r="BK33" s="12">
        <v>1</v>
      </c>
      <c r="BL33" s="12" t="s">
        <v>953</v>
      </c>
      <c r="BM33" s="12">
        <v>1</v>
      </c>
      <c r="BN33" s="12" t="s">
        <v>954</v>
      </c>
      <c r="BO33" s="12" t="s">
        <v>43</v>
      </c>
      <c r="BP33" s="20"/>
      <c r="BQ33" s="20" t="s">
        <v>1167</v>
      </c>
      <c r="BR33" s="20">
        <v>0</v>
      </c>
      <c r="BS33" s="20">
        <v>1</v>
      </c>
      <c r="BT33" s="20" t="s">
        <v>1168</v>
      </c>
      <c r="BU33" s="20" t="s">
        <v>1169</v>
      </c>
      <c r="BV33" s="20">
        <v>0</v>
      </c>
      <c r="BW33" s="20" t="s">
        <v>958</v>
      </c>
      <c r="BX33" s="20">
        <v>0</v>
      </c>
      <c r="BY33" s="20" t="s">
        <v>959</v>
      </c>
      <c r="BZ33" s="20" t="s">
        <v>43</v>
      </c>
    </row>
    <row r="34" spans="1:78">
      <c r="A34">
        <v>10033</v>
      </c>
      <c r="B34" s="12"/>
      <c r="C34" s="12" t="s">
        <v>960</v>
      </c>
      <c r="D34" s="14">
        <v>1</v>
      </c>
      <c r="E34" s="14">
        <v>1</v>
      </c>
      <c r="F34" s="12" t="s">
        <v>961</v>
      </c>
      <c r="G34" s="13">
        <v>2</v>
      </c>
      <c r="H34" s="12" t="s">
        <v>74</v>
      </c>
      <c r="I34" s="12" t="s">
        <v>37</v>
      </c>
      <c r="J34" s="15"/>
      <c r="K34" s="15" t="s">
        <v>962</v>
      </c>
      <c r="L34" s="16">
        <v>0</v>
      </c>
      <c r="M34" s="16">
        <v>1</v>
      </c>
      <c r="N34" s="15" t="s">
        <v>963</v>
      </c>
      <c r="O34" s="15" t="s">
        <v>964</v>
      </c>
      <c r="P34" s="17">
        <v>2</v>
      </c>
      <c r="Q34" s="15" t="s">
        <v>965</v>
      </c>
      <c r="R34" s="15">
        <v>0</v>
      </c>
      <c r="S34" s="15" t="s">
        <v>966</v>
      </c>
      <c r="T34" s="15" t="s">
        <v>37</v>
      </c>
      <c r="U34" s="18"/>
      <c r="V34" s="18" t="s">
        <v>967</v>
      </c>
      <c r="W34" s="19">
        <v>1</v>
      </c>
      <c r="X34" s="19">
        <v>1</v>
      </c>
      <c r="Y34" s="18" t="s">
        <v>968</v>
      </c>
      <c r="Z34" s="18" t="s">
        <v>969</v>
      </c>
      <c r="AA34" s="18">
        <v>2</v>
      </c>
      <c r="AB34" s="29" t="s">
        <v>970</v>
      </c>
      <c r="AC34" s="18">
        <v>0.5</v>
      </c>
      <c r="AD34" s="18" t="s">
        <v>102</v>
      </c>
      <c r="AE34" s="18" t="s">
        <v>37</v>
      </c>
      <c r="AF34" s="20"/>
      <c r="AG34" s="20" t="s">
        <v>971</v>
      </c>
      <c r="AH34" s="21">
        <v>1</v>
      </c>
      <c r="AI34" s="21">
        <v>1</v>
      </c>
      <c r="AJ34" s="20" t="s">
        <v>972</v>
      </c>
      <c r="AK34" s="20">
        <v>0</v>
      </c>
      <c r="AL34" s="20" t="s">
        <v>102</v>
      </c>
      <c r="AM34" s="20" t="s">
        <v>37</v>
      </c>
      <c r="AN34" s="15"/>
      <c r="AO34" s="15" t="s">
        <v>973</v>
      </c>
      <c r="AP34" s="16">
        <v>1</v>
      </c>
      <c r="AQ34" s="16">
        <v>1</v>
      </c>
      <c r="AR34" s="15" t="s">
        <v>974</v>
      </c>
      <c r="AS34" s="15" t="s">
        <v>975</v>
      </c>
      <c r="AT34" s="15">
        <v>3</v>
      </c>
      <c r="AU34" s="17">
        <v>0</v>
      </c>
      <c r="AV34" s="15" t="s">
        <v>976</v>
      </c>
      <c r="AW34" s="15">
        <v>1</v>
      </c>
      <c r="AX34" s="15" t="s">
        <v>977</v>
      </c>
      <c r="AY34" s="15" t="s">
        <v>37</v>
      </c>
      <c r="AZ34" s="18"/>
      <c r="BA34" s="18" t="s">
        <v>978</v>
      </c>
      <c r="BB34" s="19">
        <v>1</v>
      </c>
      <c r="BC34" s="19">
        <v>0</v>
      </c>
      <c r="BD34" s="18" t="s">
        <v>979</v>
      </c>
      <c r="BE34" s="18">
        <v>0</v>
      </c>
      <c r="BF34" s="18" t="s">
        <v>977</v>
      </c>
      <c r="BG34" s="18" t="s">
        <v>37</v>
      </c>
      <c r="BH34" s="12"/>
      <c r="BI34" s="12"/>
      <c r="BJ34" s="12">
        <v>0</v>
      </c>
      <c r="BK34" s="12">
        <v>0</v>
      </c>
      <c r="BL34" s="12"/>
      <c r="BM34" s="12">
        <v>0</v>
      </c>
      <c r="BN34" s="12" t="s">
        <v>982</v>
      </c>
      <c r="BO34" s="12" t="s">
        <v>37</v>
      </c>
      <c r="BP34" s="20"/>
      <c r="BQ34" s="20" t="s">
        <v>983</v>
      </c>
      <c r="BR34" s="20">
        <v>1</v>
      </c>
      <c r="BS34" s="20">
        <v>0</v>
      </c>
      <c r="BT34" s="20" t="s">
        <v>984</v>
      </c>
      <c r="BU34" s="20" t="s">
        <v>985</v>
      </c>
      <c r="BV34" s="20">
        <v>0</v>
      </c>
      <c r="BW34" s="20" t="s">
        <v>986</v>
      </c>
      <c r="BX34" s="20">
        <v>0</v>
      </c>
      <c r="BY34" s="20" t="s">
        <v>987</v>
      </c>
      <c r="BZ34" s="20" t="s">
        <v>37</v>
      </c>
    </row>
    <row r="35" spans="1:78">
      <c r="A35">
        <v>10034</v>
      </c>
      <c r="B35" s="12"/>
      <c r="C35" s="12" t="s">
        <v>462</v>
      </c>
      <c r="D35" s="14">
        <v>1</v>
      </c>
      <c r="E35" s="14">
        <v>1</v>
      </c>
      <c r="F35" s="12" t="s">
        <v>988</v>
      </c>
      <c r="G35" s="13">
        <v>2</v>
      </c>
      <c r="H35" s="12" t="s">
        <v>989</v>
      </c>
      <c r="I35" s="12" t="s">
        <v>37</v>
      </c>
      <c r="J35" s="15"/>
      <c r="K35" s="15" t="s">
        <v>258</v>
      </c>
      <c r="L35" s="16">
        <v>1</v>
      </c>
      <c r="M35" s="16">
        <v>1</v>
      </c>
      <c r="N35" s="15" t="s">
        <v>990</v>
      </c>
      <c r="O35" s="15" t="s">
        <v>991</v>
      </c>
      <c r="P35" s="17">
        <v>0</v>
      </c>
      <c r="Q35" s="15" t="s">
        <v>992</v>
      </c>
      <c r="R35" s="15">
        <v>0.5</v>
      </c>
      <c r="S35" s="15" t="s">
        <v>993</v>
      </c>
      <c r="T35" s="15" t="s">
        <v>37</v>
      </c>
      <c r="U35" s="18"/>
      <c r="V35" s="18" t="s">
        <v>712</v>
      </c>
      <c r="W35" s="18">
        <v>1</v>
      </c>
      <c r="X35" s="18">
        <v>1</v>
      </c>
      <c r="Y35" s="18" t="s">
        <v>994</v>
      </c>
      <c r="Z35" s="18" t="s">
        <v>995</v>
      </c>
      <c r="AA35" s="18">
        <v>0</v>
      </c>
      <c r="AB35" s="29" t="s">
        <v>996</v>
      </c>
      <c r="AC35" s="18">
        <v>0</v>
      </c>
      <c r="AD35" s="18" t="s">
        <v>997</v>
      </c>
      <c r="AE35" s="18" t="s">
        <v>42</v>
      </c>
      <c r="AF35" s="20"/>
      <c r="AG35" s="20" t="s">
        <v>998</v>
      </c>
      <c r="AH35" s="21">
        <v>1</v>
      </c>
      <c r="AI35" s="21">
        <v>1</v>
      </c>
      <c r="AJ35" s="20" t="s">
        <v>999</v>
      </c>
      <c r="AK35" s="20">
        <v>0</v>
      </c>
      <c r="AL35" s="20" t="s">
        <v>1000</v>
      </c>
      <c r="AM35" s="20" t="s">
        <v>43</v>
      </c>
      <c r="AN35" s="15"/>
      <c r="AO35" s="15" t="s">
        <v>1001</v>
      </c>
      <c r="AP35" s="16">
        <v>1</v>
      </c>
      <c r="AQ35" s="16">
        <v>1</v>
      </c>
      <c r="AR35" s="15" t="s">
        <v>1002</v>
      </c>
      <c r="AS35" s="15" t="s">
        <v>1003</v>
      </c>
      <c r="AT35" s="15">
        <v>3</v>
      </c>
      <c r="AU35" s="17">
        <v>0</v>
      </c>
      <c r="AV35" s="15" t="s">
        <v>1004</v>
      </c>
      <c r="AW35" s="15">
        <v>0</v>
      </c>
      <c r="AX35" s="15" t="s">
        <v>1005</v>
      </c>
      <c r="AY35" s="15" t="s">
        <v>36</v>
      </c>
      <c r="AZ35" s="18"/>
      <c r="BA35" s="18" t="s">
        <v>1006</v>
      </c>
      <c r="BB35" s="19">
        <v>1</v>
      </c>
      <c r="BC35" s="19">
        <v>1</v>
      </c>
      <c r="BD35" s="18" t="s">
        <v>1007</v>
      </c>
      <c r="BE35" s="18">
        <v>1</v>
      </c>
      <c r="BF35" s="18" t="s">
        <v>1008</v>
      </c>
      <c r="BG35" s="18" t="s">
        <v>99</v>
      </c>
      <c r="BH35" s="12"/>
      <c r="BI35" s="12" t="s">
        <v>248</v>
      </c>
      <c r="BJ35" s="12">
        <v>1</v>
      </c>
      <c r="BK35" s="12">
        <v>1</v>
      </c>
      <c r="BL35" s="12" t="s">
        <v>47</v>
      </c>
      <c r="BM35" s="12">
        <v>0.5</v>
      </c>
      <c r="BN35" s="12" t="s">
        <v>1011</v>
      </c>
      <c r="BO35" s="12" t="s">
        <v>37</v>
      </c>
      <c r="BP35" s="20"/>
      <c r="BQ35" s="20"/>
      <c r="BR35" s="20">
        <v>0</v>
      </c>
      <c r="BS35" s="20">
        <v>0</v>
      </c>
      <c r="BT35" s="20"/>
      <c r="BU35" s="20"/>
      <c r="BV35" s="20">
        <v>0</v>
      </c>
      <c r="BW35" s="20" t="s">
        <v>1015</v>
      </c>
      <c r="BX35" s="20">
        <v>0</v>
      </c>
      <c r="BY35" s="20" t="s">
        <v>1016</v>
      </c>
      <c r="BZ35" s="20" t="s">
        <v>37</v>
      </c>
    </row>
    <row r="36" spans="1:78">
      <c r="A36">
        <v>10035</v>
      </c>
      <c r="B36" s="12"/>
      <c r="C36" s="12" t="s">
        <v>228</v>
      </c>
      <c r="D36" s="14">
        <v>1</v>
      </c>
      <c r="E36" s="14">
        <v>1</v>
      </c>
      <c r="F36" s="12" t="s">
        <v>1017</v>
      </c>
      <c r="G36" s="13">
        <v>3</v>
      </c>
      <c r="H36" s="12" t="s">
        <v>1018</v>
      </c>
      <c r="I36" s="12" t="s">
        <v>43</v>
      </c>
      <c r="J36" s="15"/>
      <c r="K36" s="15" t="s">
        <v>230</v>
      </c>
      <c r="L36" s="16">
        <v>1</v>
      </c>
      <c r="M36" s="16">
        <v>1</v>
      </c>
      <c r="N36" s="15" t="s">
        <v>1019</v>
      </c>
      <c r="O36" s="15" t="s">
        <v>1020</v>
      </c>
      <c r="P36" s="17">
        <v>3</v>
      </c>
      <c r="Q36" s="15" t="s">
        <v>52</v>
      </c>
      <c r="R36" s="15">
        <v>0.5</v>
      </c>
      <c r="S36" s="15" t="s">
        <v>1021</v>
      </c>
      <c r="T36" s="15" t="s">
        <v>35</v>
      </c>
      <c r="U36" s="18"/>
      <c r="V36" s="18" t="s">
        <v>565</v>
      </c>
      <c r="W36" s="19">
        <v>1</v>
      </c>
      <c r="X36" s="19">
        <v>1</v>
      </c>
      <c r="Y36" s="18" t="s">
        <v>1022</v>
      </c>
      <c r="Z36" s="18" t="s">
        <v>1023</v>
      </c>
      <c r="AA36" s="18">
        <v>2</v>
      </c>
      <c r="AB36" s="29" t="s">
        <v>1024</v>
      </c>
      <c r="AC36" s="18">
        <v>0.5</v>
      </c>
      <c r="AD36" s="18" t="s">
        <v>1025</v>
      </c>
      <c r="AE36" s="18" t="s">
        <v>43</v>
      </c>
      <c r="AF36" s="20"/>
      <c r="AG36" s="20" t="s">
        <v>612</v>
      </c>
      <c r="AH36" s="21">
        <v>1</v>
      </c>
      <c r="AI36" s="21">
        <v>1</v>
      </c>
      <c r="AJ36" s="20" t="s">
        <v>1026</v>
      </c>
      <c r="AK36" s="20">
        <v>0</v>
      </c>
      <c r="AL36" s="20" t="s">
        <v>1027</v>
      </c>
      <c r="AM36" s="20" t="s">
        <v>64</v>
      </c>
      <c r="AN36" s="15"/>
      <c r="AO36" s="15" t="s">
        <v>450</v>
      </c>
      <c r="AP36" s="16">
        <v>1</v>
      </c>
      <c r="AQ36" s="16">
        <v>1</v>
      </c>
      <c r="AR36" s="15" t="s">
        <v>1028</v>
      </c>
      <c r="AS36" s="15" t="s">
        <v>1029</v>
      </c>
      <c r="AT36" s="15">
        <v>3</v>
      </c>
      <c r="AU36" s="17">
        <v>2</v>
      </c>
      <c r="AV36" s="15" t="s">
        <v>1030</v>
      </c>
      <c r="AW36" s="15">
        <v>1</v>
      </c>
      <c r="AX36" s="15" t="s">
        <v>1031</v>
      </c>
      <c r="AY36" s="15" t="s">
        <v>37</v>
      </c>
      <c r="AZ36" s="18"/>
      <c r="BA36" s="18" t="s">
        <v>1032</v>
      </c>
      <c r="BB36" s="19">
        <v>1</v>
      </c>
      <c r="BC36" s="19">
        <v>1</v>
      </c>
      <c r="BD36" s="18" t="s">
        <v>81</v>
      </c>
      <c r="BE36" s="18">
        <v>0</v>
      </c>
      <c r="BF36" s="18" t="s">
        <v>1033</v>
      </c>
      <c r="BG36" s="18" t="s">
        <v>35</v>
      </c>
      <c r="BH36" s="12"/>
      <c r="BI36" s="12" t="s">
        <v>1115</v>
      </c>
      <c r="BJ36" s="12">
        <v>1</v>
      </c>
      <c r="BK36" s="12">
        <v>1</v>
      </c>
      <c r="BL36" s="12" t="s">
        <v>2849</v>
      </c>
      <c r="BM36" s="12">
        <v>0</v>
      </c>
      <c r="BN36" s="12" t="s">
        <v>1035</v>
      </c>
      <c r="BO36" s="12" t="s">
        <v>37</v>
      </c>
      <c r="BP36" s="20"/>
      <c r="BQ36" s="20" t="s">
        <v>2969</v>
      </c>
      <c r="BR36" s="20">
        <v>1</v>
      </c>
      <c r="BS36" s="20">
        <v>1</v>
      </c>
      <c r="BT36" s="20" t="s">
        <v>2970</v>
      </c>
      <c r="BU36" s="20" t="s">
        <v>2971</v>
      </c>
      <c r="BV36" s="20">
        <v>2</v>
      </c>
      <c r="BW36" s="20" t="s">
        <v>1038</v>
      </c>
      <c r="BX36" s="20">
        <v>1</v>
      </c>
      <c r="BY36" s="20" t="s">
        <v>1039</v>
      </c>
      <c r="BZ36" s="20" t="s">
        <v>43</v>
      </c>
    </row>
    <row r="37" spans="1:78">
      <c r="A37">
        <v>10036</v>
      </c>
      <c r="B37" s="12"/>
      <c r="C37" s="12" t="s">
        <v>1040</v>
      </c>
      <c r="D37" s="14">
        <v>1</v>
      </c>
      <c r="E37" s="14">
        <v>1</v>
      </c>
      <c r="F37" s="12" t="s">
        <v>1041</v>
      </c>
      <c r="G37" s="13">
        <v>0</v>
      </c>
      <c r="H37" s="12" t="s">
        <v>1042</v>
      </c>
      <c r="I37" s="12" t="s">
        <v>42</v>
      </c>
      <c r="J37" s="15"/>
      <c r="K37" s="15" t="s">
        <v>1043</v>
      </c>
      <c r="L37" s="16">
        <v>1</v>
      </c>
      <c r="M37" s="16">
        <v>1</v>
      </c>
      <c r="N37" s="15" t="s">
        <v>1044</v>
      </c>
      <c r="O37" s="15" t="s">
        <v>1045</v>
      </c>
      <c r="P37" s="17">
        <v>2</v>
      </c>
      <c r="Q37" s="15" t="s">
        <v>1046</v>
      </c>
      <c r="R37" s="15">
        <v>1</v>
      </c>
      <c r="S37" s="15" t="s">
        <v>1047</v>
      </c>
      <c r="T37" s="15" t="s">
        <v>36</v>
      </c>
      <c r="U37" s="18"/>
      <c r="V37" s="18" t="s">
        <v>1048</v>
      </c>
      <c r="W37" s="18">
        <v>1</v>
      </c>
      <c r="X37" s="18">
        <v>1</v>
      </c>
      <c r="Y37" s="18" t="s">
        <v>1049</v>
      </c>
      <c r="Z37" s="18" t="s">
        <v>1050</v>
      </c>
      <c r="AA37" s="18">
        <v>2</v>
      </c>
      <c r="AB37" s="29" t="s">
        <v>1051</v>
      </c>
      <c r="AC37" s="18">
        <v>0.5</v>
      </c>
      <c r="AD37" s="18" t="s">
        <v>1052</v>
      </c>
      <c r="AE37" s="18" t="s">
        <v>43</v>
      </c>
      <c r="AF37" s="20"/>
      <c r="AG37" s="20" t="s">
        <v>1053</v>
      </c>
      <c r="AH37" s="21">
        <v>1</v>
      </c>
      <c r="AI37" s="21">
        <v>1</v>
      </c>
      <c r="AJ37" s="20" t="s">
        <v>355</v>
      </c>
      <c r="AK37" s="20">
        <v>0</v>
      </c>
      <c r="AL37" s="20" t="s">
        <v>1054</v>
      </c>
      <c r="AM37" s="20" t="s">
        <v>35</v>
      </c>
      <c r="AN37" s="15"/>
      <c r="AO37" s="15" t="s">
        <v>1055</v>
      </c>
      <c r="AP37" s="16">
        <v>1</v>
      </c>
      <c r="AQ37" s="16">
        <v>1</v>
      </c>
      <c r="AR37" s="15" t="s">
        <v>1056</v>
      </c>
      <c r="AS37" s="15" t="s">
        <v>1057</v>
      </c>
      <c r="AT37" s="15">
        <v>3</v>
      </c>
      <c r="AU37" s="17">
        <v>1</v>
      </c>
      <c r="AV37" s="15" t="s">
        <v>1058</v>
      </c>
      <c r="AW37" s="15">
        <v>0</v>
      </c>
      <c r="AX37" s="15" t="s">
        <v>1059</v>
      </c>
      <c r="AY37" s="15" t="s">
        <v>43</v>
      </c>
      <c r="AZ37" s="18"/>
      <c r="BA37" s="18" t="s">
        <v>1060</v>
      </c>
      <c r="BB37" s="19">
        <v>1</v>
      </c>
      <c r="BC37" s="19">
        <v>1</v>
      </c>
      <c r="BD37" s="18" t="s">
        <v>61</v>
      </c>
      <c r="BE37" s="18">
        <v>0</v>
      </c>
      <c r="BF37" s="18" t="s">
        <v>1061</v>
      </c>
      <c r="BG37" s="18" t="s">
        <v>42</v>
      </c>
      <c r="BH37" s="12"/>
      <c r="BI37" s="12" t="s">
        <v>1931</v>
      </c>
      <c r="BJ37" s="12">
        <v>1</v>
      </c>
      <c r="BK37" s="12">
        <v>1</v>
      </c>
      <c r="BL37" s="12" t="s">
        <v>1873</v>
      </c>
      <c r="BM37" s="12">
        <v>0.5</v>
      </c>
      <c r="BN37" s="12" t="s">
        <v>1064</v>
      </c>
      <c r="BO37" s="12" t="s">
        <v>43</v>
      </c>
      <c r="BP37" s="20"/>
      <c r="BQ37" s="20" t="s">
        <v>1301</v>
      </c>
      <c r="BR37" s="20">
        <v>0</v>
      </c>
      <c r="BS37" s="20">
        <v>1</v>
      </c>
      <c r="BT37" s="20" t="s">
        <v>1302</v>
      </c>
      <c r="BU37" s="20" t="s">
        <v>1303</v>
      </c>
      <c r="BV37" s="20">
        <v>0</v>
      </c>
      <c r="BW37" s="20" t="s">
        <v>1068</v>
      </c>
      <c r="BX37" s="20">
        <v>0</v>
      </c>
      <c r="BY37" s="20" t="s">
        <v>1069</v>
      </c>
      <c r="BZ37" s="20" t="s">
        <v>42</v>
      </c>
    </row>
    <row r="38" spans="1:78">
      <c r="A38">
        <v>10037</v>
      </c>
      <c r="B38" s="12"/>
      <c r="C38" s="12" t="s">
        <v>228</v>
      </c>
      <c r="D38" s="14">
        <v>1</v>
      </c>
      <c r="E38" s="14">
        <v>1</v>
      </c>
      <c r="F38" s="12" t="s">
        <v>1070</v>
      </c>
      <c r="G38" s="13">
        <v>3</v>
      </c>
      <c r="H38" s="12" t="s">
        <v>1071</v>
      </c>
      <c r="I38" s="12" t="s">
        <v>43</v>
      </c>
      <c r="J38" s="15"/>
      <c r="K38" s="15" t="s">
        <v>230</v>
      </c>
      <c r="L38" s="16">
        <v>1</v>
      </c>
      <c r="M38" s="16">
        <v>1</v>
      </c>
      <c r="N38" s="15" t="s">
        <v>1072</v>
      </c>
      <c r="O38" s="15" t="s">
        <v>1073</v>
      </c>
      <c r="P38" s="17">
        <v>3</v>
      </c>
      <c r="Q38" s="15" t="s">
        <v>1074</v>
      </c>
      <c r="R38" s="15">
        <v>0.5</v>
      </c>
      <c r="S38" s="15" t="s">
        <v>1075</v>
      </c>
      <c r="T38" s="15" t="s">
        <v>42</v>
      </c>
      <c r="U38" s="18"/>
      <c r="V38" s="18" t="s">
        <v>565</v>
      </c>
      <c r="W38" s="19">
        <v>1</v>
      </c>
      <c r="X38" s="19">
        <v>1</v>
      </c>
      <c r="Y38" s="18" t="s">
        <v>1076</v>
      </c>
      <c r="Z38" s="18" t="s">
        <v>1077</v>
      </c>
      <c r="AA38" s="18">
        <v>2</v>
      </c>
      <c r="AB38" s="29" t="s">
        <v>1078</v>
      </c>
      <c r="AC38" s="18">
        <v>0.5</v>
      </c>
      <c r="AD38" s="18" t="s">
        <v>1079</v>
      </c>
      <c r="AE38" s="18" t="s">
        <v>43</v>
      </c>
      <c r="AF38" s="20"/>
      <c r="AG38" s="20" t="s">
        <v>238</v>
      </c>
      <c r="AH38" s="21">
        <v>1</v>
      </c>
      <c r="AI38" s="21">
        <v>1</v>
      </c>
      <c r="AJ38" s="20" t="s">
        <v>1080</v>
      </c>
      <c r="AK38" s="20">
        <v>0</v>
      </c>
      <c r="AL38" s="20" t="s">
        <v>1081</v>
      </c>
      <c r="AM38" s="20" t="s">
        <v>42</v>
      </c>
      <c r="AN38" s="15"/>
      <c r="AO38" s="15" t="s">
        <v>591</v>
      </c>
      <c r="AP38" s="16">
        <v>1</v>
      </c>
      <c r="AQ38" s="16">
        <v>1</v>
      </c>
      <c r="AR38" s="15" t="s">
        <v>1082</v>
      </c>
      <c r="AS38" s="15" t="s">
        <v>1083</v>
      </c>
      <c r="AT38" s="15">
        <v>3</v>
      </c>
      <c r="AU38" s="17">
        <v>0</v>
      </c>
      <c r="AV38" s="15" t="s">
        <v>1084</v>
      </c>
      <c r="AW38" s="15">
        <v>0</v>
      </c>
      <c r="AX38" s="15" t="s">
        <v>1085</v>
      </c>
      <c r="AY38" s="15" t="s">
        <v>43</v>
      </c>
      <c r="AZ38" s="18"/>
      <c r="BA38" s="18" t="s">
        <v>573</v>
      </c>
      <c r="BB38" s="19">
        <v>1</v>
      </c>
      <c r="BC38" s="19">
        <v>1</v>
      </c>
      <c r="BD38" s="18" t="s">
        <v>1086</v>
      </c>
      <c r="BE38" s="18">
        <v>0</v>
      </c>
      <c r="BF38" s="18" t="s">
        <v>1087</v>
      </c>
      <c r="BG38" s="18" t="s">
        <v>43</v>
      </c>
      <c r="BH38" s="12"/>
      <c r="BI38" s="12" t="s">
        <v>248</v>
      </c>
      <c r="BJ38" s="12">
        <v>1</v>
      </c>
      <c r="BK38" s="12">
        <v>1</v>
      </c>
      <c r="BL38" s="12" t="s">
        <v>52</v>
      </c>
      <c r="BM38" s="12">
        <v>0.5</v>
      </c>
      <c r="BN38" s="12" t="s">
        <v>1089</v>
      </c>
      <c r="BO38" s="12" t="s">
        <v>42</v>
      </c>
      <c r="BP38" s="20"/>
      <c r="BQ38" s="20" t="s">
        <v>2675</v>
      </c>
      <c r="BR38" s="20">
        <v>1</v>
      </c>
      <c r="BS38" s="20">
        <v>1</v>
      </c>
      <c r="BT38" s="20" t="s">
        <v>2676</v>
      </c>
      <c r="BU38" s="20" t="s">
        <v>82</v>
      </c>
      <c r="BV38" s="20">
        <v>0</v>
      </c>
      <c r="BW38" s="20" t="s">
        <v>1092</v>
      </c>
      <c r="BX38" s="20">
        <v>0</v>
      </c>
      <c r="BY38" s="20" t="s">
        <v>1093</v>
      </c>
      <c r="BZ38" s="20" t="s">
        <v>43</v>
      </c>
    </row>
    <row r="39" spans="1:78">
      <c r="A39">
        <v>10038</v>
      </c>
      <c r="B39" s="12"/>
      <c r="C39" s="12" t="s">
        <v>1094</v>
      </c>
      <c r="D39" s="14">
        <v>1</v>
      </c>
      <c r="E39" s="14">
        <v>1</v>
      </c>
      <c r="F39" s="12" t="s">
        <v>1095</v>
      </c>
      <c r="G39" s="13">
        <v>1</v>
      </c>
      <c r="H39" s="12" t="s">
        <v>1096</v>
      </c>
      <c r="I39" s="12" t="s">
        <v>37</v>
      </c>
      <c r="J39" s="15"/>
      <c r="K39" s="15" t="s">
        <v>465</v>
      </c>
      <c r="L39" s="16">
        <v>1</v>
      </c>
      <c r="M39" s="16">
        <v>1</v>
      </c>
      <c r="N39" s="15" t="s">
        <v>1097</v>
      </c>
      <c r="O39" s="15" t="s">
        <v>1098</v>
      </c>
      <c r="P39" s="17">
        <v>2</v>
      </c>
      <c r="Q39" s="15" t="s">
        <v>47</v>
      </c>
      <c r="R39" s="15">
        <v>0.5</v>
      </c>
      <c r="S39" s="15" t="s">
        <v>1099</v>
      </c>
      <c r="T39" s="15" t="s">
        <v>43</v>
      </c>
      <c r="U39" s="18"/>
      <c r="V39" s="18" t="s">
        <v>1100</v>
      </c>
      <c r="W39" s="19">
        <v>1</v>
      </c>
      <c r="X39" s="19">
        <v>1</v>
      </c>
      <c r="Y39" s="18" t="s">
        <v>1101</v>
      </c>
      <c r="Z39" s="18" t="s">
        <v>1102</v>
      </c>
      <c r="AA39" s="18">
        <v>1</v>
      </c>
      <c r="AB39" s="29" t="s">
        <v>1103</v>
      </c>
      <c r="AC39" s="18">
        <v>0.5</v>
      </c>
      <c r="AD39" s="18" t="s">
        <v>1104</v>
      </c>
      <c r="AE39" s="18" t="s">
        <v>43</v>
      </c>
      <c r="AF39" s="20"/>
      <c r="AG39" s="20" t="s">
        <v>1105</v>
      </c>
      <c r="AH39" s="21">
        <v>1</v>
      </c>
      <c r="AI39" s="21">
        <v>1</v>
      </c>
      <c r="AJ39" s="20" t="s">
        <v>1106</v>
      </c>
      <c r="AK39" s="20">
        <v>0</v>
      </c>
      <c r="AL39" s="20" t="s">
        <v>1107</v>
      </c>
      <c r="AM39" s="20" t="s">
        <v>43</v>
      </c>
      <c r="AN39" s="15"/>
      <c r="AO39" s="15" t="s">
        <v>1108</v>
      </c>
      <c r="AP39" s="16">
        <v>1</v>
      </c>
      <c r="AQ39" s="16">
        <v>1</v>
      </c>
      <c r="AR39" s="15" t="s">
        <v>1109</v>
      </c>
      <c r="AS39" s="15" t="s">
        <v>1110</v>
      </c>
      <c r="AT39" s="15">
        <v>2</v>
      </c>
      <c r="AU39" s="17">
        <v>3</v>
      </c>
      <c r="AV39" s="15" t="s">
        <v>105</v>
      </c>
      <c r="AW39" s="15">
        <v>1</v>
      </c>
      <c r="AX39" s="15" t="s">
        <v>1111</v>
      </c>
      <c r="AY39" s="15" t="s">
        <v>37</v>
      </c>
      <c r="AZ39" s="18"/>
      <c r="BA39" s="18" t="s">
        <v>1112</v>
      </c>
      <c r="BB39" s="19">
        <v>1</v>
      </c>
      <c r="BC39" s="19">
        <v>1</v>
      </c>
      <c r="BD39" s="18" t="s">
        <v>1113</v>
      </c>
      <c r="BE39" s="18">
        <v>0</v>
      </c>
      <c r="BF39" s="18" t="s">
        <v>1114</v>
      </c>
      <c r="BG39" s="18" t="s">
        <v>37</v>
      </c>
      <c r="BH39" s="12"/>
      <c r="BI39" s="12" t="s">
        <v>3364</v>
      </c>
      <c r="BJ39" s="12">
        <v>1</v>
      </c>
      <c r="BK39" s="12">
        <v>1</v>
      </c>
      <c r="BL39" s="12" t="s">
        <v>3365</v>
      </c>
      <c r="BM39" s="12">
        <v>0.5</v>
      </c>
      <c r="BN39" s="12" t="s">
        <v>1117</v>
      </c>
      <c r="BO39" s="12" t="s">
        <v>43</v>
      </c>
      <c r="BP39" s="20"/>
      <c r="BQ39" s="20" t="s">
        <v>331</v>
      </c>
      <c r="BR39" s="20">
        <v>1</v>
      </c>
      <c r="BS39" s="20">
        <v>1</v>
      </c>
      <c r="BT39" s="20" t="s">
        <v>3342</v>
      </c>
      <c r="BU39" s="20" t="s">
        <v>3343</v>
      </c>
      <c r="BV39" s="20">
        <v>0</v>
      </c>
      <c r="BW39" s="20" t="s">
        <v>105</v>
      </c>
      <c r="BX39" s="20">
        <v>0</v>
      </c>
      <c r="BY39" s="20" t="s">
        <v>1120</v>
      </c>
      <c r="BZ39" s="20" t="s">
        <v>43</v>
      </c>
    </row>
    <row r="40" spans="1:78">
      <c r="A40">
        <v>10039</v>
      </c>
      <c r="B40" s="12"/>
      <c r="C40" s="12" t="s">
        <v>1121</v>
      </c>
      <c r="D40" s="14">
        <v>1</v>
      </c>
      <c r="E40" s="14">
        <v>1</v>
      </c>
      <c r="F40" s="12" t="s">
        <v>1122</v>
      </c>
      <c r="G40" s="13">
        <v>1</v>
      </c>
      <c r="H40" s="12" t="s">
        <v>1123</v>
      </c>
      <c r="I40" s="12" t="s">
        <v>37</v>
      </c>
      <c r="J40" s="15"/>
      <c r="K40" s="15" t="s">
        <v>1124</v>
      </c>
      <c r="L40" s="16">
        <v>1</v>
      </c>
      <c r="M40" s="16">
        <v>1</v>
      </c>
      <c r="N40" s="15" t="s">
        <v>1125</v>
      </c>
      <c r="O40" s="15" t="s">
        <v>1126</v>
      </c>
      <c r="P40" s="17">
        <v>2</v>
      </c>
      <c r="Q40" s="15" t="s">
        <v>52</v>
      </c>
      <c r="R40" s="15">
        <v>0.5</v>
      </c>
      <c r="S40" s="15" t="s">
        <v>1127</v>
      </c>
      <c r="T40" s="15" t="s">
        <v>35</v>
      </c>
      <c r="U40" s="18"/>
      <c r="V40" s="18" t="s">
        <v>1128</v>
      </c>
      <c r="W40" s="19">
        <v>1</v>
      </c>
      <c r="X40" s="19">
        <v>1</v>
      </c>
      <c r="Y40" s="18" t="s">
        <v>1129</v>
      </c>
      <c r="Z40" s="18" t="s">
        <v>1129</v>
      </c>
      <c r="AA40" s="18">
        <v>1</v>
      </c>
      <c r="AB40" s="29" t="s">
        <v>68</v>
      </c>
      <c r="AC40" s="18">
        <v>0.5</v>
      </c>
      <c r="AD40" s="18" t="s">
        <v>1130</v>
      </c>
      <c r="AE40" s="18" t="s">
        <v>43</v>
      </c>
      <c r="AF40" s="20"/>
      <c r="AG40" s="20" t="s">
        <v>1131</v>
      </c>
      <c r="AH40" s="21">
        <v>1</v>
      </c>
      <c r="AI40" s="21">
        <v>1</v>
      </c>
      <c r="AJ40" s="20" t="s">
        <v>79</v>
      </c>
      <c r="AK40" s="20">
        <v>0</v>
      </c>
      <c r="AL40" s="20" t="s">
        <v>1132</v>
      </c>
      <c r="AM40" s="20" t="s">
        <v>36</v>
      </c>
      <c r="AN40" s="15"/>
      <c r="AO40" s="15" t="s">
        <v>1133</v>
      </c>
      <c r="AP40" s="16">
        <v>1</v>
      </c>
      <c r="AQ40" s="16">
        <v>1</v>
      </c>
      <c r="AR40" s="15" t="s">
        <v>1134</v>
      </c>
      <c r="AS40" s="15" t="s">
        <v>95</v>
      </c>
      <c r="AT40" s="15">
        <v>0</v>
      </c>
      <c r="AU40" s="17">
        <v>0</v>
      </c>
      <c r="AV40" s="15" t="s">
        <v>194</v>
      </c>
      <c r="AW40" s="15">
        <v>0</v>
      </c>
      <c r="AX40" s="15" t="s">
        <v>1135</v>
      </c>
      <c r="AY40" s="15" t="s">
        <v>36</v>
      </c>
      <c r="AZ40" s="18"/>
      <c r="BA40" s="18" t="s">
        <v>1136</v>
      </c>
      <c r="BB40" s="19">
        <v>1</v>
      </c>
      <c r="BC40" s="19">
        <v>0</v>
      </c>
      <c r="BD40" s="18" t="s">
        <v>81</v>
      </c>
      <c r="BE40" s="18">
        <v>0</v>
      </c>
      <c r="BF40" s="18" t="s">
        <v>1137</v>
      </c>
      <c r="BG40" s="18" t="s">
        <v>42</v>
      </c>
      <c r="BH40" s="12"/>
      <c r="BI40" s="12" t="s">
        <v>248</v>
      </c>
      <c r="BJ40" s="12">
        <v>1</v>
      </c>
      <c r="BK40" s="12">
        <v>1</v>
      </c>
      <c r="BL40" s="12" t="s">
        <v>59</v>
      </c>
      <c r="BM40" s="12">
        <v>0.5</v>
      </c>
      <c r="BN40" s="12" t="s">
        <v>136</v>
      </c>
      <c r="BO40" s="12" t="s">
        <v>37</v>
      </c>
      <c r="BP40" s="20"/>
      <c r="BQ40" s="20" t="s">
        <v>683</v>
      </c>
      <c r="BR40" s="20">
        <v>1</v>
      </c>
      <c r="BS40" s="20">
        <v>1</v>
      </c>
      <c r="BT40" s="20" t="s">
        <v>684</v>
      </c>
      <c r="BU40" s="20" t="s">
        <v>685</v>
      </c>
      <c r="BV40" s="20">
        <v>0</v>
      </c>
      <c r="BW40" s="20" t="s">
        <v>127</v>
      </c>
      <c r="BX40" s="20">
        <v>0</v>
      </c>
      <c r="BY40" s="20" t="s">
        <v>136</v>
      </c>
      <c r="BZ40" s="20" t="s">
        <v>37</v>
      </c>
    </row>
    <row r="41" spans="1:78">
      <c r="A41">
        <v>10040</v>
      </c>
      <c r="B41" s="12"/>
      <c r="C41" s="12" t="s">
        <v>1142</v>
      </c>
      <c r="D41" s="14">
        <v>1</v>
      </c>
      <c r="E41" s="14">
        <v>1</v>
      </c>
      <c r="F41" s="12" t="s">
        <v>1143</v>
      </c>
      <c r="G41" s="13">
        <v>1</v>
      </c>
      <c r="H41" s="12" t="s">
        <v>1144</v>
      </c>
      <c r="I41" s="12" t="s">
        <v>42</v>
      </c>
      <c r="J41" s="15"/>
      <c r="K41" s="15" t="s">
        <v>1145</v>
      </c>
      <c r="L41" s="16">
        <v>0</v>
      </c>
      <c r="M41" s="16">
        <v>0</v>
      </c>
      <c r="N41" s="15" t="s">
        <v>1146</v>
      </c>
      <c r="O41" s="15" t="s">
        <v>1147</v>
      </c>
      <c r="P41" s="17">
        <v>0</v>
      </c>
      <c r="Q41" s="15" t="s">
        <v>1148</v>
      </c>
      <c r="R41" s="15">
        <v>1</v>
      </c>
      <c r="S41" s="15" t="s">
        <v>1149</v>
      </c>
      <c r="T41" s="15" t="s">
        <v>37</v>
      </c>
      <c r="U41" s="18"/>
      <c r="V41" s="18" t="s">
        <v>1150</v>
      </c>
      <c r="W41" s="19">
        <v>1</v>
      </c>
      <c r="X41" s="19">
        <v>1</v>
      </c>
      <c r="Y41" s="18" t="s">
        <v>1151</v>
      </c>
      <c r="Z41" s="18" t="s">
        <v>1152</v>
      </c>
      <c r="AA41" s="18">
        <v>2</v>
      </c>
      <c r="AB41" s="29" t="s">
        <v>1153</v>
      </c>
      <c r="AC41" s="18">
        <v>0.5</v>
      </c>
      <c r="AD41" s="18" t="s">
        <v>1154</v>
      </c>
      <c r="AE41" s="18" t="s">
        <v>43</v>
      </c>
      <c r="AF41" s="20"/>
      <c r="AG41" s="20" t="s">
        <v>1155</v>
      </c>
      <c r="AH41" s="21">
        <v>1</v>
      </c>
      <c r="AI41" s="21">
        <v>0.5</v>
      </c>
      <c r="AJ41" s="20" t="s">
        <v>1156</v>
      </c>
      <c r="AK41" s="20">
        <v>0</v>
      </c>
      <c r="AL41" s="20" t="s">
        <v>1157</v>
      </c>
      <c r="AM41" s="20" t="s">
        <v>43</v>
      </c>
      <c r="AN41" s="15"/>
      <c r="AO41" s="15" t="s">
        <v>1158</v>
      </c>
      <c r="AP41" s="16">
        <v>1</v>
      </c>
      <c r="AQ41" s="16">
        <v>1</v>
      </c>
      <c r="AR41" s="15" t="s">
        <v>1159</v>
      </c>
      <c r="AS41" s="15" t="s">
        <v>1160</v>
      </c>
      <c r="AT41" s="15">
        <v>3</v>
      </c>
      <c r="AU41" s="17">
        <v>0</v>
      </c>
      <c r="AV41" s="15" t="s">
        <v>179</v>
      </c>
      <c r="AW41" s="15">
        <v>1</v>
      </c>
      <c r="AX41" s="15" t="s">
        <v>1161</v>
      </c>
      <c r="AY41" s="15" t="s">
        <v>43</v>
      </c>
      <c r="AZ41" s="18"/>
      <c r="BA41" s="18" t="s">
        <v>1162</v>
      </c>
      <c r="BB41" s="19">
        <v>1</v>
      </c>
      <c r="BC41" s="19">
        <v>0</v>
      </c>
      <c r="BD41" s="18" t="s">
        <v>113</v>
      </c>
      <c r="BE41" s="18">
        <v>0</v>
      </c>
      <c r="BF41" s="18" t="s">
        <v>1163</v>
      </c>
      <c r="BG41" s="18" t="s">
        <v>37</v>
      </c>
      <c r="BH41" s="12"/>
      <c r="BI41" s="12" t="s">
        <v>2211</v>
      </c>
      <c r="BJ41" s="12">
        <v>1</v>
      </c>
      <c r="BK41" s="12">
        <v>1</v>
      </c>
      <c r="BL41" s="12" t="s">
        <v>52</v>
      </c>
      <c r="BM41" s="12">
        <v>0.5</v>
      </c>
      <c r="BN41" s="12" t="s">
        <v>1166</v>
      </c>
      <c r="BO41" s="12" t="s">
        <v>37</v>
      </c>
      <c r="BP41" s="20"/>
      <c r="BQ41" s="20" t="s">
        <v>383</v>
      </c>
      <c r="BR41" s="20">
        <v>1</v>
      </c>
      <c r="BS41" s="20">
        <v>1</v>
      </c>
      <c r="BT41" s="20" t="s">
        <v>2449</v>
      </c>
      <c r="BU41" s="20" t="s">
        <v>2450</v>
      </c>
      <c r="BV41" s="20">
        <v>1</v>
      </c>
      <c r="BW41" s="20" t="s">
        <v>1170</v>
      </c>
      <c r="BX41" s="20">
        <v>0</v>
      </c>
      <c r="BY41" s="20" t="s">
        <v>1171</v>
      </c>
      <c r="BZ41" s="20" t="s">
        <v>37</v>
      </c>
    </row>
    <row r="42" spans="1:78">
      <c r="A42">
        <v>10041</v>
      </c>
      <c r="B42" s="12"/>
      <c r="C42" s="12" t="s">
        <v>1172</v>
      </c>
      <c r="D42" s="14">
        <v>1</v>
      </c>
      <c r="E42" s="14">
        <v>1</v>
      </c>
      <c r="F42" s="12" t="s">
        <v>1173</v>
      </c>
      <c r="G42" s="13">
        <v>3</v>
      </c>
      <c r="H42" s="12" t="s">
        <v>620</v>
      </c>
      <c r="I42" s="12" t="s">
        <v>37</v>
      </c>
      <c r="J42" s="15"/>
      <c r="K42" s="15" t="s">
        <v>1174</v>
      </c>
      <c r="L42" s="16">
        <v>1</v>
      </c>
      <c r="M42" s="16">
        <v>0</v>
      </c>
      <c r="N42" s="15" t="s">
        <v>1175</v>
      </c>
      <c r="O42" s="15" t="s">
        <v>1176</v>
      </c>
      <c r="P42" s="17">
        <v>2</v>
      </c>
      <c r="Q42" s="15" t="s">
        <v>1177</v>
      </c>
      <c r="R42" s="15">
        <v>1</v>
      </c>
      <c r="S42" s="15" t="s">
        <v>1178</v>
      </c>
      <c r="T42" s="15" t="s">
        <v>35</v>
      </c>
      <c r="U42" s="18"/>
      <c r="V42" s="18" t="s">
        <v>1179</v>
      </c>
      <c r="W42" s="19">
        <v>1</v>
      </c>
      <c r="X42" s="19">
        <v>0</v>
      </c>
      <c r="Y42" s="18" t="s">
        <v>1180</v>
      </c>
      <c r="Z42" s="18" t="s">
        <v>1181</v>
      </c>
      <c r="AA42" s="18">
        <v>1</v>
      </c>
      <c r="AB42" s="29" t="s">
        <v>1182</v>
      </c>
      <c r="AC42" s="18">
        <v>0.5</v>
      </c>
      <c r="AD42" s="18" t="s">
        <v>1183</v>
      </c>
      <c r="AE42" s="18" t="s">
        <v>36</v>
      </c>
      <c r="AF42" s="20"/>
      <c r="AG42" s="20" t="s">
        <v>1184</v>
      </c>
      <c r="AH42" s="21">
        <v>1</v>
      </c>
      <c r="AI42" s="21">
        <v>1</v>
      </c>
      <c r="AJ42" s="20" t="s">
        <v>1185</v>
      </c>
      <c r="AK42" s="20">
        <v>1</v>
      </c>
      <c r="AL42" s="20" t="s">
        <v>56</v>
      </c>
      <c r="AM42" s="20" t="s">
        <v>35</v>
      </c>
      <c r="AN42" s="15"/>
      <c r="AO42" s="15" t="s">
        <v>1186</v>
      </c>
      <c r="AP42" s="16">
        <v>1</v>
      </c>
      <c r="AQ42" s="16">
        <v>1</v>
      </c>
      <c r="AR42" s="15" t="s">
        <v>1187</v>
      </c>
      <c r="AS42" s="15" t="s">
        <v>1188</v>
      </c>
      <c r="AT42" s="15">
        <v>0</v>
      </c>
      <c r="AU42" s="17">
        <v>3</v>
      </c>
      <c r="AV42" s="15" t="s">
        <v>1189</v>
      </c>
      <c r="AW42" s="15">
        <v>0</v>
      </c>
      <c r="AX42" s="15" t="s">
        <v>46</v>
      </c>
      <c r="AY42" s="15" t="s">
        <v>35</v>
      </c>
      <c r="AZ42" s="18"/>
      <c r="BA42" s="18" t="s">
        <v>1190</v>
      </c>
      <c r="BB42" s="18">
        <v>1</v>
      </c>
      <c r="BC42" s="18">
        <v>0</v>
      </c>
      <c r="BD42" s="18" t="s">
        <v>1191</v>
      </c>
      <c r="BE42" s="18">
        <v>0</v>
      </c>
      <c r="BF42" s="18" t="s">
        <v>1192</v>
      </c>
      <c r="BG42" s="18" t="s">
        <v>37</v>
      </c>
      <c r="BH42" s="12"/>
      <c r="BI42" s="12" t="s">
        <v>1193</v>
      </c>
      <c r="BJ42" s="12">
        <v>1</v>
      </c>
      <c r="BK42" s="12">
        <v>1</v>
      </c>
      <c r="BL42" s="12" t="s">
        <v>1194</v>
      </c>
      <c r="BM42" s="12">
        <v>0</v>
      </c>
      <c r="BN42" s="12" t="s">
        <v>46</v>
      </c>
      <c r="BO42" s="12" t="s">
        <v>35</v>
      </c>
      <c r="BP42" s="20"/>
      <c r="BQ42" s="20" t="s">
        <v>1195</v>
      </c>
      <c r="BR42" s="20">
        <v>0</v>
      </c>
      <c r="BS42" s="20">
        <v>1</v>
      </c>
      <c r="BT42" s="20" t="s">
        <v>1196</v>
      </c>
      <c r="BU42" s="20" t="s">
        <v>1197</v>
      </c>
      <c r="BV42" s="20">
        <v>1</v>
      </c>
      <c r="BW42" s="20" t="s">
        <v>1198</v>
      </c>
      <c r="BX42" s="20">
        <v>0</v>
      </c>
      <c r="BY42" s="20" t="s">
        <v>1199</v>
      </c>
      <c r="BZ42" s="20" t="s">
        <v>37</v>
      </c>
    </row>
    <row r="43" spans="1:78">
      <c r="A43">
        <v>10042</v>
      </c>
      <c r="B43" s="12"/>
      <c r="C43" s="12" t="s">
        <v>1200</v>
      </c>
      <c r="D43" s="14">
        <v>1</v>
      </c>
      <c r="E43" s="14">
        <v>1</v>
      </c>
      <c r="F43" s="12" t="s">
        <v>1201</v>
      </c>
      <c r="G43" s="13">
        <v>3</v>
      </c>
      <c r="H43" s="12" t="s">
        <v>1202</v>
      </c>
      <c r="I43" s="12" t="s">
        <v>35</v>
      </c>
      <c r="J43" s="15"/>
      <c r="K43" s="15" t="s">
        <v>1203</v>
      </c>
      <c r="L43" s="16">
        <v>1</v>
      </c>
      <c r="M43" s="16">
        <v>1</v>
      </c>
      <c r="N43" s="15" t="s">
        <v>1204</v>
      </c>
      <c r="O43" s="15" t="s">
        <v>1205</v>
      </c>
      <c r="P43" s="17">
        <v>2</v>
      </c>
      <c r="Q43" s="15" t="s">
        <v>1206</v>
      </c>
      <c r="R43" s="15">
        <v>0.5</v>
      </c>
      <c r="S43" s="15" t="s">
        <v>1207</v>
      </c>
      <c r="T43" s="15" t="s">
        <v>35</v>
      </c>
      <c r="U43" s="18"/>
      <c r="V43" s="18" t="s">
        <v>712</v>
      </c>
      <c r="W43" s="19">
        <v>1</v>
      </c>
      <c r="X43" s="19">
        <v>1</v>
      </c>
      <c r="Y43" s="18" t="s">
        <v>1208</v>
      </c>
      <c r="Z43" s="18" t="s">
        <v>1209</v>
      </c>
      <c r="AA43" s="18">
        <v>2</v>
      </c>
      <c r="AB43" s="29" t="s">
        <v>62</v>
      </c>
      <c r="AC43" s="18">
        <v>0</v>
      </c>
      <c r="AD43" s="18" t="s">
        <v>1210</v>
      </c>
      <c r="AE43" s="18" t="s">
        <v>37</v>
      </c>
      <c r="AF43" s="20"/>
      <c r="AG43" s="20" t="s">
        <v>771</v>
      </c>
      <c r="AH43" s="21">
        <v>1</v>
      </c>
      <c r="AI43" s="21">
        <v>1</v>
      </c>
      <c r="AJ43" s="20" t="s">
        <v>1211</v>
      </c>
      <c r="AK43" s="20">
        <v>0</v>
      </c>
      <c r="AL43" s="20" t="s">
        <v>1212</v>
      </c>
      <c r="AM43" s="20" t="s">
        <v>35</v>
      </c>
      <c r="AN43" s="15"/>
      <c r="AO43" s="15" t="s">
        <v>1213</v>
      </c>
      <c r="AP43" s="16">
        <v>1</v>
      </c>
      <c r="AQ43" s="16">
        <v>1</v>
      </c>
      <c r="AR43" s="15" t="s">
        <v>1214</v>
      </c>
      <c r="AS43" s="15" t="s">
        <v>1215</v>
      </c>
      <c r="AT43" s="15">
        <v>3</v>
      </c>
      <c r="AU43" s="17">
        <v>0</v>
      </c>
      <c r="AV43" s="15" t="s">
        <v>62</v>
      </c>
      <c r="AW43" s="15">
        <v>1</v>
      </c>
      <c r="AX43" s="15" t="s">
        <v>1216</v>
      </c>
      <c r="AY43" s="15" t="s">
        <v>67</v>
      </c>
      <c r="AZ43" s="18"/>
      <c r="BA43" s="18" t="s">
        <v>1217</v>
      </c>
      <c r="BB43" s="19">
        <v>1</v>
      </c>
      <c r="BC43" s="19">
        <v>1</v>
      </c>
      <c r="BD43" s="18" t="s">
        <v>202</v>
      </c>
      <c r="BE43" s="18">
        <v>0</v>
      </c>
      <c r="BF43" s="18" t="s">
        <v>1212</v>
      </c>
      <c r="BG43" s="18" t="s">
        <v>35</v>
      </c>
      <c r="BH43" s="12"/>
      <c r="BI43" s="12" t="s">
        <v>248</v>
      </c>
      <c r="BJ43" s="12">
        <v>1</v>
      </c>
      <c r="BK43" s="12">
        <v>1</v>
      </c>
      <c r="BL43" s="12" t="s">
        <v>1088</v>
      </c>
      <c r="BM43" s="12">
        <v>0.5</v>
      </c>
      <c r="BN43" s="12" t="s">
        <v>1212</v>
      </c>
      <c r="BO43" s="12" t="s">
        <v>35</v>
      </c>
      <c r="BP43" s="20"/>
      <c r="BQ43" s="20" t="s">
        <v>383</v>
      </c>
      <c r="BR43" s="20">
        <v>1</v>
      </c>
      <c r="BS43" s="20">
        <v>1</v>
      </c>
      <c r="BT43" s="20" t="s">
        <v>2269</v>
      </c>
      <c r="BU43" s="20" t="s">
        <v>167</v>
      </c>
      <c r="BV43" s="20">
        <v>0</v>
      </c>
      <c r="BW43" s="20" t="s">
        <v>62</v>
      </c>
      <c r="BX43" s="20">
        <v>0</v>
      </c>
      <c r="BY43" s="20" t="s">
        <v>1222</v>
      </c>
      <c r="BZ43" s="20" t="s">
        <v>37</v>
      </c>
    </row>
    <row r="44" spans="1:78">
      <c r="A44">
        <v>10043</v>
      </c>
      <c r="B44" s="12"/>
      <c r="C44" s="12" t="s">
        <v>1223</v>
      </c>
      <c r="D44" s="14">
        <v>1</v>
      </c>
      <c r="E44" s="14">
        <v>1</v>
      </c>
      <c r="F44" s="12" t="s">
        <v>1224</v>
      </c>
      <c r="G44" s="13">
        <v>3</v>
      </c>
      <c r="H44" s="12" t="s">
        <v>1225</v>
      </c>
      <c r="I44" s="12" t="s">
        <v>37</v>
      </c>
      <c r="J44" s="15"/>
      <c r="K44" s="15" t="s">
        <v>1226</v>
      </c>
      <c r="L44" s="16">
        <v>1</v>
      </c>
      <c r="M44" s="16">
        <v>1</v>
      </c>
      <c r="N44" s="15" t="s">
        <v>1227</v>
      </c>
      <c r="O44" s="15" t="s">
        <v>1228</v>
      </c>
      <c r="P44" s="17">
        <v>2</v>
      </c>
      <c r="Q44" s="15" t="s">
        <v>1229</v>
      </c>
      <c r="R44" s="15">
        <v>0.5</v>
      </c>
      <c r="S44" s="15" t="s">
        <v>1230</v>
      </c>
      <c r="T44" s="15" t="s">
        <v>37</v>
      </c>
      <c r="U44" s="18"/>
      <c r="V44" s="18" t="s">
        <v>1231</v>
      </c>
      <c r="W44" s="18">
        <v>1</v>
      </c>
      <c r="X44" s="18">
        <v>1</v>
      </c>
      <c r="Y44" s="18" t="s">
        <v>1232</v>
      </c>
      <c r="Z44" s="18" t="s">
        <v>1233</v>
      </c>
      <c r="AA44" s="18">
        <v>2</v>
      </c>
      <c r="AB44" s="29" t="s">
        <v>1234</v>
      </c>
      <c r="AC44" s="18">
        <v>0.5</v>
      </c>
      <c r="AD44" s="18" t="s">
        <v>1235</v>
      </c>
      <c r="AE44" s="18" t="s">
        <v>43</v>
      </c>
      <c r="AF44" s="20"/>
      <c r="AG44" s="20" t="s">
        <v>238</v>
      </c>
      <c r="AH44" s="21">
        <v>1</v>
      </c>
      <c r="AI44" s="21">
        <v>1</v>
      </c>
      <c r="AJ44" s="20" t="s">
        <v>1236</v>
      </c>
      <c r="AK44" s="20">
        <v>0</v>
      </c>
      <c r="AL44" s="20" t="s">
        <v>1237</v>
      </c>
      <c r="AM44" s="20" t="s">
        <v>43</v>
      </c>
      <c r="AN44" s="15"/>
      <c r="AO44" s="15" t="s">
        <v>1238</v>
      </c>
      <c r="AP44" s="16">
        <v>1</v>
      </c>
      <c r="AQ44" s="16">
        <v>1</v>
      </c>
      <c r="AR44" s="15" t="s">
        <v>1239</v>
      </c>
      <c r="AS44" s="15" t="s">
        <v>1240</v>
      </c>
      <c r="AT44" s="15">
        <v>2</v>
      </c>
      <c r="AU44" s="17">
        <v>0</v>
      </c>
      <c r="AV44" s="15" t="s">
        <v>1241</v>
      </c>
      <c r="AW44" s="15">
        <v>0</v>
      </c>
      <c r="AX44" s="15" t="s">
        <v>1242</v>
      </c>
      <c r="AY44" s="15" t="s">
        <v>42</v>
      </c>
      <c r="AZ44" s="18"/>
      <c r="BA44" s="18" t="s">
        <v>1243</v>
      </c>
      <c r="BB44" s="19">
        <v>1</v>
      </c>
      <c r="BC44" s="19">
        <v>1</v>
      </c>
      <c r="BD44" s="18" t="s">
        <v>113</v>
      </c>
      <c r="BE44" s="18">
        <v>0</v>
      </c>
      <c r="BF44" s="18" t="s">
        <v>1244</v>
      </c>
      <c r="BG44" s="18" t="s">
        <v>42</v>
      </c>
      <c r="BH44" s="12"/>
      <c r="BI44" s="12" t="s">
        <v>3711</v>
      </c>
      <c r="BJ44" s="12">
        <v>1</v>
      </c>
      <c r="BK44" s="12">
        <v>1</v>
      </c>
      <c r="BL44" s="12" t="s">
        <v>3712</v>
      </c>
      <c r="BM44" s="12">
        <v>1</v>
      </c>
      <c r="BN44" s="12" t="s">
        <v>1247</v>
      </c>
      <c r="BO44" s="12" t="s">
        <v>35</v>
      </c>
      <c r="BP44" s="20"/>
      <c r="BQ44" s="20" t="s">
        <v>1793</v>
      </c>
      <c r="BR44" s="20">
        <v>0</v>
      </c>
      <c r="BS44" s="20">
        <v>0</v>
      </c>
      <c r="BT44" s="20" t="s">
        <v>1794</v>
      </c>
      <c r="BU44" s="20" t="s">
        <v>1795</v>
      </c>
      <c r="BV44" s="20">
        <v>1</v>
      </c>
      <c r="BW44" s="20" t="s">
        <v>1251</v>
      </c>
      <c r="BX44" s="20">
        <v>0</v>
      </c>
      <c r="BY44" s="20" t="s">
        <v>112</v>
      </c>
      <c r="BZ44" s="20" t="s">
        <v>37</v>
      </c>
    </row>
    <row r="45" spans="1:78">
      <c r="A45">
        <v>10044</v>
      </c>
      <c r="B45" s="12"/>
      <c r="C45" s="12" t="s">
        <v>1252</v>
      </c>
      <c r="D45" s="14">
        <v>1</v>
      </c>
      <c r="E45" s="14">
        <v>1</v>
      </c>
      <c r="F45" s="12" t="s">
        <v>1253</v>
      </c>
      <c r="G45" s="13">
        <v>1</v>
      </c>
      <c r="H45" s="12" t="s">
        <v>1254</v>
      </c>
      <c r="I45" s="12" t="s">
        <v>43</v>
      </c>
      <c r="J45" s="15"/>
      <c r="K45" s="15" t="s">
        <v>1255</v>
      </c>
      <c r="L45" s="16">
        <v>1</v>
      </c>
      <c r="M45" s="16">
        <v>1</v>
      </c>
      <c r="N45" s="15" t="s">
        <v>1256</v>
      </c>
      <c r="O45" s="15" t="s">
        <v>1257</v>
      </c>
      <c r="P45" s="17">
        <v>1</v>
      </c>
      <c r="Q45" s="15" t="s">
        <v>1258</v>
      </c>
      <c r="R45" s="15">
        <v>0.5</v>
      </c>
      <c r="S45" s="15" t="s">
        <v>1259</v>
      </c>
      <c r="T45" s="15" t="s">
        <v>35</v>
      </c>
      <c r="U45" s="18"/>
      <c r="V45" s="18" t="s">
        <v>1260</v>
      </c>
      <c r="W45" s="19">
        <v>1</v>
      </c>
      <c r="X45" s="19">
        <v>0</v>
      </c>
      <c r="Y45" s="18" t="s">
        <v>1261</v>
      </c>
      <c r="Z45" s="18" t="s">
        <v>1262</v>
      </c>
      <c r="AA45" s="18">
        <v>2</v>
      </c>
      <c r="AB45" s="29" t="s">
        <v>114</v>
      </c>
      <c r="AC45" s="18">
        <v>0</v>
      </c>
      <c r="AD45" s="18" t="s">
        <v>71</v>
      </c>
      <c r="AE45" s="18" t="s">
        <v>35</v>
      </c>
      <c r="AF45" s="20"/>
      <c r="AG45" s="20" t="s">
        <v>1263</v>
      </c>
      <c r="AH45" s="21">
        <v>1</v>
      </c>
      <c r="AI45" s="21">
        <v>1</v>
      </c>
      <c r="AJ45" s="20" t="s">
        <v>1264</v>
      </c>
      <c r="AK45" s="20">
        <v>0</v>
      </c>
      <c r="AL45" s="20" t="s">
        <v>1265</v>
      </c>
      <c r="AM45" s="20" t="s">
        <v>35</v>
      </c>
      <c r="AN45" s="15"/>
      <c r="AO45" s="15" t="s">
        <v>1266</v>
      </c>
      <c r="AP45" s="16">
        <v>1</v>
      </c>
      <c r="AQ45" s="16">
        <v>1</v>
      </c>
      <c r="AR45" s="15" t="s">
        <v>1267</v>
      </c>
      <c r="AS45" s="15" t="s">
        <v>1268</v>
      </c>
      <c r="AT45" s="15">
        <v>1</v>
      </c>
      <c r="AU45" s="17">
        <v>0</v>
      </c>
      <c r="AV45" s="15" t="s">
        <v>114</v>
      </c>
      <c r="AW45" s="15">
        <v>1</v>
      </c>
      <c r="AX45" s="15" t="s">
        <v>93</v>
      </c>
      <c r="AY45" s="15" t="s">
        <v>37</v>
      </c>
      <c r="AZ45" s="18"/>
      <c r="BA45" s="18" t="s">
        <v>1269</v>
      </c>
      <c r="BB45" s="19">
        <v>0</v>
      </c>
      <c r="BC45" s="19">
        <v>1</v>
      </c>
      <c r="BD45" s="18" t="s">
        <v>1270</v>
      </c>
      <c r="BE45" s="18">
        <v>1</v>
      </c>
      <c r="BF45" s="18" t="s">
        <v>1271</v>
      </c>
      <c r="BG45" s="18" t="s">
        <v>35</v>
      </c>
      <c r="BH45" s="12"/>
      <c r="BI45" s="12" t="s">
        <v>1009</v>
      </c>
      <c r="BJ45" s="12">
        <v>1</v>
      </c>
      <c r="BK45" s="12">
        <v>1</v>
      </c>
      <c r="BL45" s="12" t="s">
        <v>1817</v>
      </c>
      <c r="BM45" s="12">
        <v>0.5</v>
      </c>
      <c r="BN45" s="12" t="s">
        <v>71</v>
      </c>
      <c r="BO45" s="12" t="s">
        <v>35</v>
      </c>
      <c r="BP45" s="20"/>
      <c r="BQ45" s="20" t="s">
        <v>3713</v>
      </c>
      <c r="BR45" s="20">
        <v>0</v>
      </c>
      <c r="BS45" s="20">
        <v>1</v>
      </c>
      <c r="BT45" s="20" t="s">
        <v>3714</v>
      </c>
      <c r="BU45" s="20" t="s">
        <v>3715</v>
      </c>
      <c r="BV45" s="20">
        <v>0</v>
      </c>
      <c r="BW45" s="20" t="s">
        <v>114</v>
      </c>
      <c r="BX45" s="20">
        <v>0</v>
      </c>
      <c r="BY45" s="20" t="s">
        <v>1276</v>
      </c>
      <c r="BZ45" s="20" t="s">
        <v>35</v>
      </c>
    </row>
    <row r="46" spans="1:78">
      <c r="A46">
        <v>10045</v>
      </c>
      <c r="B46" s="12"/>
      <c r="C46" s="12" t="s">
        <v>1277</v>
      </c>
      <c r="D46" s="14">
        <v>1</v>
      </c>
      <c r="E46" s="14">
        <v>1</v>
      </c>
      <c r="F46" s="12" t="s">
        <v>1278</v>
      </c>
      <c r="G46" s="13">
        <v>1</v>
      </c>
      <c r="H46" s="12" t="s">
        <v>1279</v>
      </c>
      <c r="I46" s="12" t="s">
        <v>37</v>
      </c>
      <c r="J46" s="15"/>
      <c r="K46" s="15" t="s">
        <v>1280</v>
      </c>
      <c r="L46" s="16">
        <v>1</v>
      </c>
      <c r="M46" s="16">
        <v>0</v>
      </c>
      <c r="N46" s="15" t="s">
        <v>1281</v>
      </c>
      <c r="O46" s="15" t="s">
        <v>1282</v>
      </c>
      <c r="P46" s="17">
        <v>1</v>
      </c>
      <c r="Q46" s="15" t="s">
        <v>1283</v>
      </c>
      <c r="R46" s="15">
        <v>0.5</v>
      </c>
      <c r="S46" s="15" t="s">
        <v>532</v>
      </c>
      <c r="T46" s="15" t="s">
        <v>37</v>
      </c>
      <c r="U46" s="18"/>
      <c r="V46" s="18" t="s">
        <v>1284</v>
      </c>
      <c r="W46" s="19">
        <v>0</v>
      </c>
      <c r="X46" s="19">
        <v>1</v>
      </c>
      <c r="Y46" s="18" t="s">
        <v>1285</v>
      </c>
      <c r="Z46" s="18" t="s">
        <v>1286</v>
      </c>
      <c r="AA46" s="18">
        <v>0</v>
      </c>
      <c r="AB46" s="29" t="s">
        <v>1287</v>
      </c>
      <c r="AC46" s="18">
        <v>0</v>
      </c>
      <c r="AD46" s="18" t="s">
        <v>1288</v>
      </c>
      <c r="AE46" s="18" t="s">
        <v>37</v>
      </c>
      <c r="AF46" s="20"/>
      <c r="AG46" s="20" t="s">
        <v>1289</v>
      </c>
      <c r="AH46" s="21">
        <v>1</v>
      </c>
      <c r="AI46" s="21">
        <v>0.5</v>
      </c>
      <c r="AJ46" s="20" t="s">
        <v>59</v>
      </c>
      <c r="AK46" s="20">
        <v>0</v>
      </c>
      <c r="AL46" s="20" t="s">
        <v>1290</v>
      </c>
      <c r="AM46" s="20" t="s">
        <v>63</v>
      </c>
      <c r="AN46" s="15"/>
      <c r="AO46" s="15" t="s">
        <v>1291</v>
      </c>
      <c r="AP46" s="16">
        <v>0</v>
      </c>
      <c r="AQ46" s="16">
        <v>1</v>
      </c>
      <c r="AR46" s="15" t="s">
        <v>1292</v>
      </c>
      <c r="AS46" s="15" t="s">
        <v>1293</v>
      </c>
      <c r="AT46" s="15">
        <v>3</v>
      </c>
      <c r="AU46" s="17">
        <v>0</v>
      </c>
      <c r="AV46" s="15" t="s">
        <v>1294</v>
      </c>
      <c r="AW46" s="15">
        <v>0</v>
      </c>
      <c r="AX46" s="15" t="s">
        <v>1295</v>
      </c>
      <c r="AY46" s="15" t="s">
        <v>36</v>
      </c>
      <c r="AZ46" s="18"/>
      <c r="BA46" s="18" t="s">
        <v>1296</v>
      </c>
      <c r="BB46" s="19">
        <v>1</v>
      </c>
      <c r="BC46" s="19">
        <v>0</v>
      </c>
      <c r="BD46" s="18" t="s">
        <v>1297</v>
      </c>
      <c r="BE46" s="18">
        <v>0</v>
      </c>
      <c r="BF46" s="18" t="s">
        <v>191</v>
      </c>
      <c r="BG46" s="18" t="s">
        <v>42</v>
      </c>
      <c r="BH46" s="12"/>
      <c r="BI46" s="12" t="s">
        <v>1138</v>
      </c>
      <c r="BJ46" s="12">
        <v>1</v>
      </c>
      <c r="BK46" s="12">
        <v>1</v>
      </c>
      <c r="BL46" s="12" t="s">
        <v>1139</v>
      </c>
      <c r="BM46" s="12">
        <v>0.5</v>
      </c>
      <c r="BN46" s="12" t="s">
        <v>1300</v>
      </c>
      <c r="BO46" s="12" t="s">
        <v>37</v>
      </c>
      <c r="BP46" s="20"/>
      <c r="BQ46" s="20" t="s">
        <v>331</v>
      </c>
      <c r="BR46" s="20">
        <v>1</v>
      </c>
      <c r="BS46" s="20">
        <v>1</v>
      </c>
      <c r="BT46" s="20" t="s">
        <v>3716</v>
      </c>
      <c r="BU46" s="20" t="s">
        <v>3717</v>
      </c>
      <c r="BV46" s="20">
        <v>0</v>
      </c>
      <c r="BW46" s="20" t="s">
        <v>1304</v>
      </c>
      <c r="BX46" s="20">
        <v>0</v>
      </c>
      <c r="BY46" s="20" t="s">
        <v>1305</v>
      </c>
      <c r="BZ46" s="20" t="s">
        <v>67</v>
      </c>
    </row>
    <row r="47" spans="1:78">
      <c r="A47">
        <v>10046</v>
      </c>
      <c r="B47" s="12"/>
      <c r="C47" s="12" t="s">
        <v>1200</v>
      </c>
      <c r="D47" s="14">
        <v>1</v>
      </c>
      <c r="E47" s="14">
        <v>1</v>
      </c>
      <c r="F47" s="12" t="s">
        <v>1306</v>
      </c>
      <c r="G47" s="13">
        <v>3</v>
      </c>
      <c r="H47" s="12" t="s">
        <v>1307</v>
      </c>
      <c r="I47" s="12" t="s">
        <v>35</v>
      </c>
      <c r="J47" s="15"/>
      <c r="K47" s="15" t="s">
        <v>1308</v>
      </c>
      <c r="L47" s="16">
        <v>1</v>
      </c>
      <c r="M47" s="16">
        <v>1</v>
      </c>
      <c r="N47" s="15" t="s">
        <v>1309</v>
      </c>
      <c r="O47" s="15" t="s">
        <v>1310</v>
      </c>
      <c r="P47" s="17">
        <v>0</v>
      </c>
      <c r="Q47" s="15" t="s">
        <v>52</v>
      </c>
      <c r="R47" s="15">
        <v>0.5</v>
      </c>
      <c r="S47" s="15" t="s">
        <v>1311</v>
      </c>
      <c r="T47" s="15" t="s">
        <v>35</v>
      </c>
      <c r="U47" s="18"/>
      <c r="V47" s="18" t="s">
        <v>263</v>
      </c>
      <c r="W47" s="19">
        <v>1</v>
      </c>
      <c r="X47" s="19">
        <v>1</v>
      </c>
      <c r="Y47" s="18" t="s">
        <v>1312</v>
      </c>
      <c r="Z47" s="18" t="s">
        <v>1313</v>
      </c>
      <c r="AA47" s="18">
        <v>2</v>
      </c>
      <c r="AB47" s="29" t="s">
        <v>68</v>
      </c>
      <c r="AC47" s="18">
        <v>0.5</v>
      </c>
      <c r="AD47" s="18" t="s">
        <v>1314</v>
      </c>
      <c r="AE47" s="18" t="s">
        <v>35</v>
      </c>
      <c r="AF47" s="20"/>
      <c r="AG47" s="20" t="s">
        <v>771</v>
      </c>
      <c r="AH47" s="21">
        <v>1</v>
      </c>
      <c r="AI47" s="21">
        <v>1</v>
      </c>
      <c r="AJ47" s="20" t="s">
        <v>79</v>
      </c>
      <c r="AK47" s="20">
        <v>0</v>
      </c>
      <c r="AL47" s="20" t="s">
        <v>1315</v>
      </c>
      <c r="AM47" s="20" t="s">
        <v>35</v>
      </c>
      <c r="AN47" s="15"/>
      <c r="AO47" s="15" t="s">
        <v>241</v>
      </c>
      <c r="AP47" s="16">
        <v>1</v>
      </c>
      <c r="AQ47" s="16">
        <v>1</v>
      </c>
      <c r="AR47" s="15" t="s">
        <v>1316</v>
      </c>
      <c r="AS47" s="15" t="s">
        <v>1317</v>
      </c>
      <c r="AT47" s="15">
        <v>3</v>
      </c>
      <c r="AU47" s="17">
        <v>0</v>
      </c>
      <c r="AV47" s="15" t="s">
        <v>105</v>
      </c>
      <c r="AW47" s="15">
        <v>1</v>
      </c>
      <c r="AX47" s="15" t="s">
        <v>1318</v>
      </c>
      <c r="AY47" s="15" t="s">
        <v>37</v>
      </c>
      <c r="AZ47" s="18"/>
      <c r="BA47" s="18" t="s">
        <v>273</v>
      </c>
      <c r="BB47" s="19">
        <v>1</v>
      </c>
      <c r="BC47" s="19">
        <v>1</v>
      </c>
      <c r="BD47" s="18" t="s">
        <v>81</v>
      </c>
      <c r="BE47" s="18">
        <v>0</v>
      </c>
      <c r="BF47" s="18" t="s">
        <v>1319</v>
      </c>
      <c r="BG47" s="18" t="s">
        <v>35</v>
      </c>
      <c r="BH47" s="12"/>
      <c r="BI47" s="12" t="s">
        <v>1115</v>
      </c>
      <c r="BJ47" s="12">
        <v>1</v>
      </c>
      <c r="BK47" s="12">
        <v>1</v>
      </c>
      <c r="BL47" s="12" t="s">
        <v>3718</v>
      </c>
      <c r="BM47" s="12">
        <v>0.5</v>
      </c>
      <c r="BN47" s="12"/>
      <c r="BO47" s="12" t="s">
        <v>37</v>
      </c>
      <c r="BP47" s="20"/>
      <c r="BQ47" s="20" t="s">
        <v>250</v>
      </c>
      <c r="BR47" s="20">
        <v>1</v>
      </c>
      <c r="BS47" s="20">
        <v>1</v>
      </c>
      <c r="BT47" s="20" t="s">
        <v>512</v>
      </c>
      <c r="BU47" s="20" t="s">
        <v>505</v>
      </c>
      <c r="BV47" s="20">
        <v>2</v>
      </c>
      <c r="BW47" s="20"/>
      <c r="BX47" s="20">
        <v>0</v>
      </c>
      <c r="BY47" s="20"/>
      <c r="BZ47" s="20" t="s">
        <v>37</v>
      </c>
    </row>
    <row r="48" spans="1:78">
      <c r="A48">
        <v>10047</v>
      </c>
      <c r="B48" s="12"/>
      <c r="C48" s="12" t="s">
        <v>1320</v>
      </c>
      <c r="D48" s="14">
        <v>1</v>
      </c>
      <c r="E48" s="14">
        <v>1</v>
      </c>
      <c r="F48" s="12" t="s">
        <v>1321</v>
      </c>
      <c r="G48" s="13">
        <v>3</v>
      </c>
      <c r="H48" s="12" t="s">
        <v>1322</v>
      </c>
      <c r="I48" s="12" t="s">
        <v>43</v>
      </c>
      <c r="J48" s="15"/>
      <c r="K48" s="15" t="s">
        <v>1323</v>
      </c>
      <c r="L48" s="16">
        <v>1</v>
      </c>
      <c r="M48" s="16">
        <v>1</v>
      </c>
      <c r="N48" s="15" t="s">
        <v>1324</v>
      </c>
      <c r="O48" s="15" t="s">
        <v>1325</v>
      </c>
      <c r="P48" s="17">
        <v>1</v>
      </c>
      <c r="Q48" s="15" t="s">
        <v>1326</v>
      </c>
      <c r="R48" s="15">
        <v>0.5</v>
      </c>
      <c r="S48" s="15" t="s">
        <v>1327</v>
      </c>
      <c r="T48" s="15" t="s">
        <v>42</v>
      </c>
      <c r="U48" s="18"/>
      <c r="V48" s="18" t="s">
        <v>263</v>
      </c>
      <c r="W48" s="19">
        <v>1</v>
      </c>
      <c r="X48" s="19">
        <v>1</v>
      </c>
      <c r="Y48" s="18" t="s">
        <v>1328</v>
      </c>
      <c r="Z48" s="18" t="s">
        <v>1329</v>
      </c>
      <c r="AA48" s="18">
        <v>2</v>
      </c>
      <c r="AB48" s="29" t="s">
        <v>1330</v>
      </c>
      <c r="AC48" s="18">
        <v>0.5</v>
      </c>
      <c r="AD48" s="18" t="s">
        <v>1331</v>
      </c>
      <c r="AE48" s="18" t="s">
        <v>43</v>
      </c>
      <c r="AF48" s="20"/>
      <c r="AG48" s="20" t="s">
        <v>1332</v>
      </c>
      <c r="AH48" s="21">
        <v>1</v>
      </c>
      <c r="AI48" s="21">
        <v>1</v>
      </c>
      <c r="AJ48" s="20" t="s">
        <v>1333</v>
      </c>
      <c r="AK48" s="20">
        <v>0</v>
      </c>
      <c r="AL48" s="20" t="s">
        <v>1334</v>
      </c>
      <c r="AM48" s="20" t="s">
        <v>43</v>
      </c>
      <c r="AN48" s="15"/>
      <c r="AO48" s="15" t="s">
        <v>450</v>
      </c>
      <c r="AP48" s="16">
        <v>1</v>
      </c>
      <c r="AQ48" s="16">
        <v>1</v>
      </c>
      <c r="AR48" s="15" t="s">
        <v>1335</v>
      </c>
      <c r="AS48" s="15" t="s">
        <v>1336</v>
      </c>
      <c r="AT48" s="15">
        <v>3</v>
      </c>
      <c r="AU48" s="17">
        <v>1</v>
      </c>
      <c r="AV48" s="15" t="s">
        <v>1337</v>
      </c>
      <c r="AW48" s="15">
        <v>0</v>
      </c>
      <c r="AX48" s="15" t="s">
        <v>1338</v>
      </c>
      <c r="AY48" s="15" t="s">
        <v>37</v>
      </c>
      <c r="AZ48" s="18"/>
      <c r="BA48" s="18" t="s">
        <v>1339</v>
      </c>
      <c r="BB48" s="19">
        <v>1</v>
      </c>
      <c r="BC48" s="19">
        <v>1</v>
      </c>
      <c r="BD48" s="18" t="s">
        <v>1340</v>
      </c>
      <c r="BE48" s="18">
        <v>0</v>
      </c>
      <c r="BF48" s="18" t="s">
        <v>1341</v>
      </c>
      <c r="BG48" s="18" t="s">
        <v>42</v>
      </c>
      <c r="BH48" s="12"/>
      <c r="BI48" s="12" t="s">
        <v>3688</v>
      </c>
      <c r="BJ48" s="12">
        <v>1</v>
      </c>
      <c r="BK48" s="12">
        <v>1</v>
      </c>
      <c r="BL48" s="12" t="s">
        <v>3689</v>
      </c>
      <c r="BM48" s="12">
        <v>0.5</v>
      </c>
      <c r="BN48" s="12" t="s">
        <v>1344</v>
      </c>
      <c r="BO48" s="12" t="s">
        <v>36</v>
      </c>
      <c r="BP48" s="20"/>
      <c r="BQ48" s="20" t="s">
        <v>383</v>
      </c>
      <c r="BR48" s="20">
        <v>1</v>
      </c>
      <c r="BS48" s="20">
        <v>1</v>
      </c>
      <c r="BT48" s="20" t="s">
        <v>3323</v>
      </c>
      <c r="BU48" s="20" t="s">
        <v>3324</v>
      </c>
      <c r="BV48" s="20">
        <v>2</v>
      </c>
      <c r="BW48" s="20" t="s">
        <v>1348</v>
      </c>
      <c r="BX48" s="20">
        <v>0</v>
      </c>
      <c r="BY48" s="20" t="s">
        <v>1349</v>
      </c>
      <c r="BZ48" s="20" t="s">
        <v>42</v>
      </c>
    </row>
    <row r="49" spans="1:78">
      <c r="A49">
        <v>10048</v>
      </c>
      <c r="B49" s="12"/>
      <c r="C49" s="12" t="s">
        <v>1350</v>
      </c>
      <c r="D49" s="14">
        <v>1</v>
      </c>
      <c r="E49" s="14">
        <v>1</v>
      </c>
      <c r="F49" s="12" t="s">
        <v>1351</v>
      </c>
      <c r="G49" s="13">
        <v>3</v>
      </c>
      <c r="H49" s="12" t="s">
        <v>1352</v>
      </c>
      <c r="I49" s="12" t="s">
        <v>37</v>
      </c>
      <c r="J49" s="15"/>
      <c r="K49" s="15" t="s">
        <v>1353</v>
      </c>
      <c r="L49" s="16">
        <v>1</v>
      </c>
      <c r="M49" s="16">
        <v>1</v>
      </c>
      <c r="N49" s="15" t="s">
        <v>1354</v>
      </c>
      <c r="O49" s="15" t="s">
        <v>1355</v>
      </c>
      <c r="P49" s="17">
        <v>1</v>
      </c>
      <c r="Q49" s="15" t="s">
        <v>1356</v>
      </c>
      <c r="R49" s="15">
        <v>0</v>
      </c>
      <c r="S49" s="15" t="s">
        <v>1357</v>
      </c>
      <c r="T49" s="15" t="s">
        <v>42</v>
      </c>
      <c r="U49" s="18"/>
      <c r="V49" s="18" t="s">
        <v>565</v>
      </c>
      <c r="W49" s="19">
        <v>1</v>
      </c>
      <c r="X49" s="19">
        <v>1</v>
      </c>
      <c r="Y49" s="18" t="s">
        <v>1358</v>
      </c>
      <c r="Z49" s="18" t="s">
        <v>1359</v>
      </c>
      <c r="AA49" s="18">
        <v>2</v>
      </c>
      <c r="AB49" s="29" t="s">
        <v>1360</v>
      </c>
      <c r="AC49" s="18">
        <v>0.5</v>
      </c>
      <c r="AD49" s="18" t="s">
        <v>1361</v>
      </c>
      <c r="AE49" s="18" t="s">
        <v>37</v>
      </c>
      <c r="AF49" s="20"/>
      <c r="AG49" s="20" t="s">
        <v>1362</v>
      </c>
      <c r="AH49" s="21">
        <v>1</v>
      </c>
      <c r="AI49" s="21">
        <v>1</v>
      </c>
      <c r="AJ49" s="20" t="s">
        <v>1363</v>
      </c>
      <c r="AK49" s="20">
        <v>0</v>
      </c>
      <c r="AL49" s="20" t="s">
        <v>1364</v>
      </c>
      <c r="AM49" s="20" t="s">
        <v>42</v>
      </c>
      <c r="AN49" s="15"/>
      <c r="AO49" s="15" t="s">
        <v>450</v>
      </c>
      <c r="AP49" s="16">
        <v>1</v>
      </c>
      <c r="AQ49" s="16">
        <v>1</v>
      </c>
      <c r="AR49" s="15" t="s">
        <v>1365</v>
      </c>
      <c r="AS49" s="15" t="s">
        <v>1366</v>
      </c>
      <c r="AT49" s="15">
        <v>3</v>
      </c>
      <c r="AU49" s="17">
        <v>0</v>
      </c>
      <c r="AV49" s="15" t="s">
        <v>1367</v>
      </c>
      <c r="AW49" s="15">
        <v>1</v>
      </c>
      <c r="AX49" s="15" t="s">
        <v>1368</v>
      </c>
      <c r="AY49" s="15" t="s">
        <v>35</v>
      </c>
      <c r="AZ49" s="18"/>
      <c r="BA49" s="18" t="s">
        <v>1369</v>
      </c>
      <c r="BB49" s="18">
        <v>0</v>
      </c>
      <c r="BC49" s="18">
        <v>0</v>
      </c>
      <c r="BD49" s="18" t="s">
        <v>1370</v>
      </c>
      <c r="BE49" s="18">
        <v>0</v>
      </c>
      <c r="BF49" s="18" t="s">
        <v>1371</v>
      </c>
      <c r="BG49" s="18" t="s">
        <v>42</v>
      </c>
      <c r="BH49" s="12"/>
      <c r="BI49" s="12" t="s">
        <v>3719</v>
      </c>
      <c r="BJ49" s="12">
        <v>1</v>
      </c>
      <c r="BK49" s="12">
        <v>1</v>
      </c>
      <c r="BL49" s="12" t="s">
        <v>3720</v>
      </c>
      <c r="BM49" s="12">
        <v>0.5</v>
      </c>
      <c r="BN49" s="12" t="s">
        <v>1373</v>
      </c>
      <c r="BO49" s="12" t="s">
        <v>37</v>
      </c>
      <c r="BP49" s="20"/>
      <c r="BQ49" s="20" t="s">
        <v>3721</v>
      </c>
      <c r="BR49" s="20">
        <v>1</v>
      </c>
      <c r="BS49" s="20">
        <v>1</v>
      </c>
      <c r="BT49" s="20" t="s">
        <v>3722</v>
      </c>
      <c r="BU49" s="20" t="s">
        <v>3723</v>
      </c>
      <c r="BV49" s="20">
        <v>2</v>
      </c>
      <c r="BW49" s="20" t="s">
        <v>1377</v>
      </c>
      <c r="BX49" s="20">
        <v>1</v>
      </c>
      <c r="BY49" s="20" t="s">
        <v>1378</v>
      </c>
      <c r="BZ49" s="20" t="s">
        <v>37</v>
      </c>
    </row>
    <row r="50" spans="1:78">
      <c r="A50">
        <v>10049</v>
      </c>
      <c r="B50" s="12"/>
      <c r="C50" s="12" t="s">
        <v>228</v>
      </c>
      <c r="D50" s="14">
        <v>1</v>
      </c>
      <c r="E50" s="14">
        <v>1</v>
      </c>
      <c r="F50" s="12" t="s">
        <v>101</v>
      </c>
      <c r="G50" s="13">
        <v>0</v>
      </c>
      <c r="H50" s="12" t="s">
        <v>119</v>
      </c>
      <c r="I50" s="12" t="s">
        <v>35</v>
      </c>
      <c r="J50" s="15"/>
      <c r="K50" s="15" t="s">
        <v>230</v>
      </c>
      <c r="L50" s="16">
        <v>1</v>
      </c>
      <c r="M50" s="16">
        <v>1</v>
      </c>
      <c r="N50" s="15" t="s">
        <v>101</v>
      </c>
      <c r="O50" s="15" t="s">
        <v>101</v>
      </c>
      <c r="P50" s="17">
        <v>0</v>
      </c>
      <c r="Q50" s="15" t="s">
        <v>47</v>
      </c>
      <c r="R50" s="15">
        <v>0.5</v>
      </c>
      <c r="S50" s="15" t="s">
        <v>93</v>
      </c>
      <c r="T50" s="15" t="s">
        <v>37</v>
      </c>
      <c r="U50" s="18"/>
      <c r="V50" s="18" t="s">
        <v>313</v>
      </c>
      <c r="W50" s="18">
        <v>1</v>
      </c>
      <c r="X50" s="18">
        <v>1</v>
      </c>
      <c r="Y50" s="18" t="s">
        <v>101</v>
      </c>
      <c r="Z50" s="18" t="s">
        <v>101</v>
      </c>
      <c r="AA50" s="18">
        <v>0</v>
      </c>
      <c r="AB50" s="29" t="s">
        <v>1103</v>
      </c>
      <c r="AC50" s="18">
        <v>0.5</v>
      </c>
      <c r="AD50" s="18" t="s">
        <v>119</v>
      </c>
      <c r="AE50" s="18" t="s">
        <v>35</v>
      </c>
      <c r="AF50" s="20"/>
      <c r="AG50" s="20" t="s">
        <v>238</v>
      </c>
      <c r="AH50" s="21">
        <v>1</v>
      </c>
      <c r="AI50" s="21">
        <v>1</v>
      </c>
      <c r="AJ50" s="20" t="s">
        <v>1379</v>
      </c>
      <c r="AK50" s="20">
        <v>0</v>
      </c>
      <c r="AL50" s="20" t="s">
        <v>119</v>
      </c>
      <c r="AM50" s="20" t="s">
        <v>35</v>
      </c>
      <c r="AN50" s="15"/>
      <c r="AO50" s="15" t="s">
        <v>591</v>
      </c>
      <c r="AP50" s="16">
        <v>1</v>
      </c>
      <c r="AQ50" s="16">
        <v>1</v>
      </c>
      <c r="AR50" s="15" t="s">
        <v>101</v>
      </c>
      <c r="AS50" s="15" t="s">
        <v>101</v>
      </c>
      <c r="AT50" s="15">
        <v>0</v>
      </c>
      <c r="AU50" s="17">
        <v>0</v>
      </c>
      <c r="AV50" s="15" t="s">
        <v>125</v>
      </c>
      <c r="AW50" s="15">
        <v>1</v>
      </c>
      <c r="AX50" s="15" t="s">
        <v>119</v>
      </c>
      <c r="AY50" s="15" t="s">
        <v>35</v>
      </c>
      <c r="AZ50" s="18"/>
      <c r="BA50" s="18" t="s">
        <v>1380</v>
      </c>
      <c r="BB50" s="19">
        <v>1</v>
      </c>
      <c r="BC50" s="19">
        <v>1</v>
      </c>
      <c r="BD50" s="18" t="s">
        <v>78</v>
      </c>
      <c r="BE50" s="18">
        <v>0</v>
      </c>
      <c r="BF50" s="18" t="s">
        <v>93</v>
      </c>
      <c r="BG50" s="18" t="s">
        <v>37</v>
      </c>
      <c r="BH50" s="12"/>
      <c r="BI50" s="12" t="s">
        <v>1791</v>
      </c>
      <c r="BJ50" s="12">
        <v>1</v>
      </c>
      <c r="BK50" s="12">
        <v>1</v>
      </c>
      <c r="BL50" s="12" t="s">
        <v>1792</v>
      </c>
      <c r="BM50" s="12">
        <v>0</v>
      </c>
      <c r="BN50" s="12" t="s">
        <v>93</v>
      </c>
      <c r="BO50" s="12" t="s">
        <v>37</v>
      </c>
      <c r="BP50" s="20"/>
      <c r="BQ50" s="20" t="s">
        <v>437</v>
      </c>
      <c r="BR50" s="20">
        <v>0</v>
      </c>
      <c r="BS50" s="20">
        <v>0</v>
      </c>
      <c r="BT50" s="20" t="s">
        <v>438</v>
      </c>
      <c r="BU50" s="20" t="s">
        <v>439</v>
      </c>
      <c r="BV50" s="20">
        <v>1</v>
      </c>
      <c r="BW50" s="20" t="s">
        <v>125</v>
      </c>
      <c r="BX50" s="20">
        <v>0</v>
      </c>
      <c r="BY50" s="20" t="s">
        <v>93</v>
      </c>
      <c r="BZ50" s="20" t="s">
        <v>37</v>
      </c>
    </row>
    <row r="51" spans="1:78">
      <c r="A51">
        <v>10050</v>
      </c>
      <c r="B51" s="12"/>
      <c r="C51" s="12" t="s">
        <v>1382</v>
      </c>
      <c r="D51" s="14">
        <v>1</v>
      </c>
      <c r="E51" s="14">
        <v>1</v>
      </c>
      <c r="F51" s="12" t="s">
        <v>1383</v>
      </c>
      <c r="G51" s="13">
        <v>1</v>
      </c>
      <c r="H51" s="12" t="s">
        <v>1384</v>
      </c>
      <c r="I51" s="12" t="s">
        <v>35</v>
      </c>
      <c r="J51" s="15"/>
      <c r="K51" s="15" t="s">
        <v>1385</v>
      </c>
      <c r="L51" s="16">
        <v>1</v>
      </c>
      <c r="M51" s="16">
        <v>1</v>
      </c>
      <c r="N51" s="15" t="s">
        <v>1386</v>
      </c>
      <c r="O51" s="15" t="s">
        <v>1387</v>
      </c>
      <c r="P51" s="17">
        <v>2</v>
      </c>
      <c r="Q51" s="15" t="s">
        <v>566</v>
      </c>
      <c r="R51" s="15">
        <v>0</v>
      </c>
      <c r="S51" s="15" t="s">
        <v>45</v>
      </c>
      <c r="T51" s="15" t="s">
        <v>42</v>
      </c>
      <c r="U51" s="18"/>
      <c r="V51" s="18" t="s">
        <v>565</v>
      </c>
      <c r="W51" s="19">
        <v>1</v>
      </c>
      <c r="X51" s="19">
        <v>1</v>
      </c>
      <c r="Y51" s="18" t="s">
        <v>1388</v>
      </c>
      <c r="Z51" s="18" t="s">
        <v>1389</v>
      </c>
      <c r="AA51" s="18">
        <v>0</v>
      </c>
      <c r="AB51" s="29" t="s">
        <v>1390</v>
      </c>
      <c r="AC51" s="18">
        <v>0</v>
      </c>
      <c r="AD51" s="18" t="s">
        <v>1391</v>
      </c>
      <c r="AE51" s="18" t="s">
        <v>42</v>
      </c>
      <c r="AF51" s="20"/>
      <c r="AG51" s="20" t="s">
        <v>238</v>
      </c>
      <c r="AH51" s="21">
        <v>1</v>
      </c>
      <c r="AI51" s="21">
        <v>1</v>
      </c>
      <c r="AJ51" s="20" t="s">
        <v>1392</v>
      </c>
      <c r="AK51" s="20">
        <v>0</v>
      </c>
      <c r="AL51" s="20" t="s">
        <v>1393</v>
      </c>
      <c r="AM51" s="20" t="s">
        <v>43</v>
      </c>
      <c r="AN51" s="15"/>
      <c r="AO51" s="15" t="s">
        <v>1394</v>
      </c>
      <c r="AP51" s="16">
        <v>1</v>
      </c>
      <c r="AQ51" s="16">
        <v>1</v>
      </c>
      <c r="AR51" s="15" t="s">
        <v>1395</v>
      </c>
      <c r="AS51" s="15" t="s">
        <v>1396</v>
      </c>
      <c r="AT51" s="15">
        <v>3</v>
      </c>
      <c r="AU51" s="17">
        <v>0</v>
      </c>
      <c r="AV51" s="15" t="s">
        <v>1397</v>
      </c>
      <c r="AW51" s="15">
        <v>0</v>
      </c>
      <c r="AX51" s="15" t="s">
        <v>1398</v>
      </c>
      <c r="AY51" s="15" t="s">
        <v>37</v>
      </c>
      <c r="AZ51" s="18"/>
      <c r="BA51" s="18" t="s">
        <v>1399</v>
      </c>
      <c r="BB51" s="19">
        <v>1</v>
      </c>
      <c r="BC51" s="19">
        <v>1</v>
      </c>
      <c r="BD51" s="18" t="s">
        <v>1400</v>
      </c>
      <c r="BE51" s="18">
        <v>1</v>
      </c>
      <c r="BF51" s="18" t="s">
        <v>1401</v>
      </c>
      <c r="BG51" s="18" t="s">
        <v>42</v>
      </c>
      <c r="BH51" s="12"/>
      <c r="BI51" s="12" t="s">
        <v>483</v>
      </c>
      <c r="BJ51" s="12">
        <v>1</v>
      </c>
      <c r="BK51" s="12">
        <v>1</v>
      </c>
      <c r="BL51" s="12" t="s">
        <v>2237</v>
      </c>
      <c r="BM51" s="12">
        <v>1</v>
      </c>
      <c r="BN51" s="12" t="s">
        <v>1403</v>
      </c>
      <c r="BO51" s="12" t="s">
        <v>43</v>
      </c>
      <c r="BP51" s="20"/>
      <c r="BQ51" s="20" t="s">
        <v>1932</v>
      </c>
      <c r="BR51" s="20">
        <v>1</v>
      </c>
      <c r="BS51" s="20">
        <v>1</v>
      </c>
      <c r="BT51" s="20" t="s">
        <v>1933</v>
      </c>
      <c r="BU51" s="20" t="s">
        <v>1934</v>
      </c>
      <c r="BV51" s="20">
        <v>1</v>
      </c>
      <c r="BW51" s="20" t="s">
        <v>1407</v>
      </c>
      <c r="BX51" s="20">
        <v>0</v>
      </c>
      <c r="BY51" s="20" t="s">
        <v>1408</v>
      </c>
      <c r="BZ51" s="20" t="s">
        <v>42</v>
      </c>
    </row>
    <row r="52" spans="1:78">
      <c r="A52">
        <v>10051</v>
      </c>
      <c r="B52" s="12"/>
      <c r="C52" s="12" t="s">
        <v>1200</v>
      </c>
      <c r="D52" s="14">
        <v>1</v>
      </c>
      <c r="E52" s="14">
        <v>1</v>
      </c>
      <c r="F52" s="12" t="s">
        <v>1409</v>
      </c>
      <c r="G52" s="13">
        <v>1</v>
      </c>
      <c r="H52" s="12" t="s">
        <v>1410</v>
      </c>
      <c r="I52" s="12" t="s">
        <v>42</v>
      </c>
      <c r="J52" s="15"/>
      <c r="K52" s="15" t="s">
        <v>708</v>
      </c>
      <c r="L52" s="16">
        <v>1</v>
      </c>
      <c r="M52" s="16">
        <v>1</v>
      </c>
      <c r="N52" s="15" t="s">
        <v>1411</v>
      </c>
      <c r="O52" s="15" t="s">
        <v>1412</v>
      </c>
      <c r="P52" s="17">
        <v>1</v>
      </c>
      <c r="Q52" s="15" t="s">
        <v>1413</v>
      </c>
      <c r="R52" s="15">
        <v>0.5</v>
      </c>
      <c r="S52" s="15" t="s">
        <v>1414</v>
      </c>
      <c r="T52" s="15" t="s">
        <v>37</v>
      </c>
      <c r="U52" s="18"/>
      <c r="V52" s="18" t="s">
        <v>609</v>
      </c>
      <c r="W52" s="18">
        <v>1</v>
      </c>
      <c r="X52" s="18">
        <v>1</v>
      </c>
      <c r="Y52" s="18" t="s">
        <v>1415</v>
      </c>
      <c r="Z52" s="18" t="s">
        <v>1416</v>
      </c>
      <c r="AA52" s="18">
        <v>1</v>
      </c>
      <c r="AB52" s="29" t="s">
        <v>1417</v>
      </c>
      <c r="AC52" s="18">
        <v>0.5</v>
      </c>
      <c r="AD52" s="18" t="s">
        <v>1418</v>
      </c>
      <c r="AE52" s="18" t="s">
        <v>43</v>
      </c>
      <c r="AF52" s="20"/>
      <c r="AG52" s="20" t="s">
        <v>771</v>
      </c>
      <c r="AH52" s="21">
        <v>1</v>
      </c>
      <c r="AI52" s="21">
        <v>1</v>
      </c>
      <c r="AJ52" s="20" t="s">
        <v>1419</v>
      </c>
      <c r="AK52" s="20">
        <v>1</v>
      </c>
      <c r="AL52" s="20" t="s">
        <v>1420</v>
      </c>
      <c r="AM52" s="20" t="s">
        <v>37</v>
      </c>
      <c r="AN52" s="15"/>
      <c r="AO52" s="15" t="s">
        <v>352</v>
      </c>
      <c r="AP52" s="16">
        <v>1</v>
      </c>
      <c r="AQ52" s="16">
        <v>1</v>
      </c>
      <c r="AR52" s="15" t="s">
        <v>1421</v>
      </c>
      <c r="AS52" s="15" t="s">
        <v>1422</v>
      </c>
      <c r="AT52" s="15">
        <v>1</v>
      </c>
      <c r="AU52" s="17">
        <v>0</v>
      </c>
      <c r="AV52" s="15" t="s">
        <v>122</v>
      </c>
      <c r="AW52" s="15">
        <v>1</v>
      </c>
      <c r="AX52" s="15" t="s">
        <v>1423</v>
      </c>
      <c r="AY52" s="15" t="s">
        <v>36</v>
      </c>
      <c r="AZ52" s="18"/>
      <c r="BA52" s="18" t="s">
        <v>1424</v>
      </c>
      <c r="BB52" s="19">
        <v>1</v>
      </c>
      <c r="BC52" s="19">
        <v>1</v>
      </c>
      <c r="BD52" s="18" t="s">
        <v>1425</v>
      </c>
      <c r="BE52" s="18">
        <v>1</v>
      </c>
      <c r="BF52" s="18" t="s">
        <v>1426</v>
      </c>
      <c r="BG52" s="18" t="s">
        <v>37</v>
      </c>
      <c r="BH52" s="12"/>
      <c r="BI52" s="12" t="s">
        <v>1009</v>
      </c>
      <c r="BJ52" s="12">
        <v>1</v>
      </c>
      <c r="BK52" s="12">
        <v>1</v>
      </c>
      <c r="BL52" s="12" t="s">
        <v>1427</v>
      </c>
      <c r="BM52" s="12">
        <v>0.5</v>
      </c>
      <c r="BN52" s="12" t="s">
        <v>1428</v>
      </c>
      <c r="BO52" s="12" t="s">
        <v>37</v>
      </c>
      <c r="BP52" s="20"/>
      <c r="BQ52" s="20" t="s">
        <v>655</v>
      </c>
      <c r="BR52" s="20">
        <v>1</v>
      </c>
      <c r="BS52" s="20">
        <v>1</v>
      </c>
      <c r="BT52" s="20" t="s">
        <v>2068</v>
      </c>
      <c r="BU52" s="20" t="s">
        <v>2069</v>
      </c>
      <c r="BV52" s="20">
        <v>1</v>
      </c>
      <c r="BW52" s="20" t="s">
        <v>1432</v>
      </c>
      <c r="BX52" s="20">
        <v>0</v>
      </c>
      <c r="BY52" s="20" t="s">
        <v>1433</v>
      </c>
      <c r="BZ52" s="20" t="s">
        <v>43</v>
      </c>
    </row>
    <row r="53" spans="1:78">
      <c r="A53">
        <v>10052</v>
      </c>
      <c r="B53" s="12"/>
      <c r="C53" s="12" t="s">
        <v>1434</v>
      </c>
      <c r="D53" s="14">
        <v>1</v>
      </c>
      <c r="E53" s="14">
        <v>1</v>
      </c>
      <c r="F53" s="12" t="s">
        <v>1435</v>
      </c>
      <c r="G53" s="13">
        <v>3</v>
      </c>
      <c r="H53" s="12" t="s">
        <v>1436</v>
      </c>
      <c r="I53" s="12" t="s">
        <v>43</v>
      </c>
      <c r="J53" s="15"/>
      <c r="K53" s="15" t="s">
        <v>1437</v>
      </c>
      <c r="L53" s="16">
        <v>1</v>
      </c>
      <c r="M53" s="16">
        <v>1</v>
      </c>
      <c r="N53" s="15" t="s">
        <v>1438</v>
      </c>
      <c r="O53" s="15" t="s">
        <v>1439</v>
      </c>
      <c r="P53" s="17">
        <v>0</v>
      </c>
      <c r="Q53" s="15" t="s">
        <v>1440</v>
      </c>
      <c r="R53" s="15">
        <v>0</v>
      </c>
      <c r="S53" s="15" t="s">
        <v>1441</v>
      </c>
      <c r="T53" s="15" t="s">
        <v>43</v>
      </c>
      <c r="U53" s="18"/>
      <c r="V53" s="18" t="s">
        <v>1442</v>
      </c>
      <c r="W53" s="19">
        <v>1</v>
      </c>
      <c r="X53" s="19">
        <v>1</v>
      </c>
      <c r="Y53" s="18" t="s">
        <v>1443</v>
      </c>
      <c r="Z53" s="18" t="s">
        <v>1444</v>
      </c>
      <c r="AA53" s="18">
        <v>3</v>
      </c>
      <c r="AB53" s="29" t="s">
        <v>125</v>
      </c>
      <c r="AC53" s="18">
        <v>0</v>
      </c>
      <c r="AD53" s="18" t="s">
        <v>1445</v>
      </c>
      <c r="AE53" s="18" t="s">
        <v>43</v>
      </c>
      <c r="AF53" s="20"/>
      <c r="AG53" s="20" t="s">
        <v>1446</v>
      </c>
      <c r="AH53" s="21">
        <v>1</v>
      </c>
      <c r="AI53" s="21">
        <v>1</v>
      </c>
      <c r="AJ53" s="20" t="s">
        <v>1447</v>
      </c>
      <c r="AK53" s="20">
        <v>0</v>
      </c>
      <c r="AL53" s="20" t="s">
        <v>1448</v>
      </c>
      <c r="AM53" s="20" t="s">
        <v>37</v>
      </c>
      <c r="AN53" s="15"/>
      <c r="AO53" s="15" t="s">
        <v>1449</v>
      </c>
      <c r="AP53" s="16">
        <v>1</v>
      </c>
      <c r="AQ53" s="16">
        <v>1</v>
      </c>
      <c r="AR53" s="15" t="s">
        <v>1450</v>
      </c>
      <c r="AS53" s="15" t="s">
        <v>1451</v>
      </c>
      <c r="AT53" s="15">
        <v>2</v>
      </c>
      <c r="AU53" s="17">
        <v>0</v>
      </c>
      <c r="AV53" s="15" t="s">
        <v>62</v>
      </c>
      <c r="AW53" s="15">
        <v>1</v>
      </c>
      <c r="AX53" s="15" t="s">
        <v>1452</v>
      </c>
      <c r="AY53" s="15" t="s">
        <v>35</v>
      </c>
      <c r="AZ53" s="18"/>
      <c r="BA53" s="18" t="s">
        <v>1453</v>
      </c>
      <c r="BB53" s="19">
        <v>1</v>
      </c>
      <c r="BC53" s="19">
        <v>1</v>
      </c>
      <c r="BD53" s="18" t="s">
        <v>1454</v>
      </c>
      <c r="BE53" s="18">
        <v>0</v>
      </c>
      <c r="BF53" s="18" t="s">
        <v>1455</v>
      </c>
      <c r="BG53" s="18" t="s">
        <v>35</v>
      </c>
      <c r="BH53" s="12"/>
      <c r="BI53" s="12" t="s">
        <v>248</v>
      </c>
      <c r="BJ53" s="12">
        <v>1</v>
      </c>
      <c r="BK53" s="12">
        <v>1</v>
      </c>
      <c r="BL53" s="12" t="s">
        <v>2447</v>
      </c>
      <c r="BM53" s="12">
        <v>0.5</v>
      </c>
      <c r="BN53" s="12" t="s">
        <v>1457</v>
      </c>
      <c r="BO53" s="12" t="s">
        <v>37</v>
      </c>
      <c r="BP53" s="20"/>
      <c r="BQ53" s="20" t="s">
        <v>3724</v>
      </c>
      <c r="BR53" s="20">
        <v>1</v>
      </c>
      <c r="BS53" s="20">
        <v>1</v>
      </c>
      <c r="BT53" s="20" t="s">
        <v>3725</v>
      </c>
      <c r="BU53" s="20" t="s">
        <v>3726</v>
      </c>
      <c r="BV53" s="20">
        <v>0</v>
      </c>
      <c r="BW53" s="20" t="s">
        <v>62</v>
      </c>
      <c r="BX53" s="20">
        <v>0</v>
      </c>
      <c r="BY53" s="20" t="s">
        <v>1461</v>
      </c>
      <c r="BZ53" s="20" t="s">
        <v>35</v>
      </c>
    </row>
    <row r="54" spans="1:78">
      <c r="A54">
        <v>10053</v>
      </c>
      <c r="B54" s="12"/>
      <c r="C54" s="12" t="s">
        <v>1462</v>
      </c>
      <c r="D54" s="14">
        <v>1</v>
      </c>
      <c r="E54" s="14">
        <v>1</v>
      </c>
      <c r="F54" s="12" t="s">
        <v>1463</v>
      </c>
      <c r="G54" s="13">
        <v>0</v>
      </c>
      <c r="H54" s="12" t="s">
        <v>93</v>
      </c>
      <c r="I54" s="12" t="s">
        <v>37</v>
      </c>
      <c r="J54" s="15"/>
      <c r="K54" s="15" t="s">
        <v>1464</v>
      </c>
      <c r="L54" s="16">
        <v>1</v>
      </c>
      <c r="M54" s="16">
        <v>1</v>
      </c>
      <c r="N54" s="15" t="s">
        <v>1465</v>
      </c>
      <c r="O54" s="15" t="s">
        <v>1466</v>
      </c>
      <c r="P54" s="17">
        <v>0</v>
      </c>
      <c r="Q54" s="15" t="s">
        <v>1467</v>
      </c>
      <c r="R54" s="15">
        <v>0.5</v>
      </c>
      <c r="S54" s="15" t="s">
        <v>1468</v>
      </c>
      <c r="T54" s="15" t="s">
        <v>35</v>
      </c>
      <c r="U54" s="18"/>
      <c r="V54" s="18" t="s">
        <v>1469</v>
      </c>
      <c r="W54" s="19">
        <v>1</v>
      </c>
      <c r="X54" s="19">
        <v>1</v>
      </c>
      <c r="Y54" s="18" t="s">
        <v>1470</v>
      </c>
      <c r="Z54" s="18" t="s">
        <v>1471</v>
      </c>
      <c r="AA54" s="18">
        <v>2</v>
      </c>
      <c r="AB54" s="29" t="s">
        <v>1472</v>
      </c>
      <c r="AC54" s="18">
        <v>0.5</v>
      </c>
      <c r="AD54" s="18" t="s">
        <v>98</v>
      </c>
      <c r="AE54" s="18" t="s">
        <v>43</v>
      </c>
      <c r="AF54" s="20"/>
      <c r="AG54" s="20" t="s">
        <v>1473</v>
      </c>
      <c r="AH54" s="21">
        <v>1</v>
      </c>
      <c r="AI54" s="21">
        <v>1</v>
      </c>
      <c r="AJ54" s="20" t="s">
        <v>104</v>
      </c>
      <c r="AK54" s="20">
        <v>0</v>
      </c>
      <c r="AL54" s="20" t="s">
        <v>1474</v>
      </c>
      <c r="AM54" s="20" t="s">
        <v>37</v>
      </c>
      <c r="AN54" s="15"/>
      <c r="AO54" s="15" t="s">
        <v>1475</v>
      </c>
      <c r="AP54" s="16">
        <v>1</v>
      </c>
      <c r="AQ54" s="16">
        <v>1</v>
      </c>
      <c r="AR54" s="15" t="s">
        <v>1476</v>
      </c>
      <c r="AS54" s="15" t="s">
        <v>1477</v>
      </c>
      <c r="AT54" s="15">
        <v>0</v>
      </c>
      <c r="AU54" s="17">
        <v>0</v>
      </c>
      <c r="AV54" s="15" t="s">
        <v>1478</v>
      </c>
      <c r="AW54" s="15">
        <v>0</v>
      </c>
      <c r="AX54" s="15" t="s">
        <v>1474</v>
      </c>
      <c r="AY54" s="15" t="s">
        <v>37</v>
      </c>
      <c r="AZ54" s="18"/>
      <c r="BA54" s="18" t="s">
        <v>1479</v>
      </c>
      <c r="BB54" s="19">
        <v>1</v>
      </c>
      <c r="BC54" s="19">
        <v>1</v>
      </c>
      <c r="BD54" s="18" t="s">
        <v>1480</v>
      </c>
      <c r="BE54" s="18">
        <v>0</v>
      </c>
      <c r="BF54" s="18" t="s">
        <v>93</v>
      </c>
      <c r="BG54" s="18" t="s">
        <v>37</v>
      </c>
      <c r="BH54" s="12"/>
      <c r="BI54" s="12" t="s">
        <v>1481</v>
      </c>
      <c r="BJ54" s="12">
        <v>1</v>
      </c>
      <c r="BK54" s="12">
        <v>1</v>
      </c>
      <c r="BL54" s="12" t="s">
        <v>1482</v>
      </c>
      <c r="BM54" s="12">
        <v>0.5</v>
      </c>
      <c r="BN54" s="12" t="s">
        <v>93</v>
      </c>
      <c r="BO54" s="12" t="s">
        <v>37</v>
      </c>
      <c r="BP54" s="20"/>
      <c r="BQ54" s="20" t="s">
        <v>304</v>
      </c>
      <c r="BR54" s="20">
        <v>0</v>
      </c>
      <c r="BS54" s="20">
        <v>1</v>
      </c>
      <c r="BT54" s="20" t="s">
        <v>145</v>
      </c>
      <c r="BU54" s="20" t="s">
        <v>305</v>
      </c>
      <c r="BV54" s="20">
        <v>0</v>
      </c>
      <c r="BW54" s="20" t="s">
        <v>1486</v>
      </c>
      <c r="BX54" s="20">
        <v>0</v>
      </c>
      <c r="BY54" s="20" t="s">
        <v>91</v>
      </c>
      <c r="BZ54" s="20" t="s">
        <v>37</v>
      </c>
    </row>
    <row r="55" spans="1:78">
      <c r="A55">
        <v>10054</v>
      </c>
      <c r="B55" s="12"/>
      <c r="C55" s="12" t="s">
        <v>228</v>
      </c>
      <c r="D55" s="14">
        <v>1</v>
      </c>
      <c r="E55" s="14">
        <v>1</v>
      </c>
      <c r="F55" s="12" t="s">
        <v>1487</v>
      </c>
      <c r="G55" s="13">
        <v>3</v>
      </c>
      <c r="H55" s="12" t="s">
        <v>1488</v>
      </c>
      <c r="I55" s="12" t="s">
        <v>43</v>
      </c>
      <c r="J55" s="15"/>
      <c r="K55" s="15" t="s">
        <v>230</v>
      </c>
      <c r="L55" s="16">
        <v>1</v>
      </c>
      <c r="M55" s="16">
        <v>1</v>
      </c>
      <c r="N55" s="15" t="s">
        <v>1489</v>
      </c>
      <c r="O55" s="15" t="s">
        <v>132</v>
      </c>
      <c r="P55" s="17">
        <v>3</v>
      </c>
      <c r="Q55" s="15" t="s">
        <v>608</v>
      </c>
      <c r="R55" s="15">
        <v>0.5</v>
      </c>
      <c r="S55" s="15" t="s">
        <v>1490</v>
      </c>
      <c r="T55" s="15" t="s">
        <v>42</v>
      </c>
      <c r="U55" s="18"/>
      <c r="V55" s="18" t="s">
        <v>313</v>
      </c>
      <c r="W55" s="19">
        <v>1</v>
      </c>
      <c r="X55" s="19">
        <v>1</v>
      </c>
      <c r="Y55" s="18" t="s">
        <v>1491</v>
      </c>
      <c r="Z55" s="18" t="s">
        <v>132</v>
      </c>
      <c r="AA55" s="18">
        <v>1</v>
      </c>
      <c r="AB55" s="29" t="s">
        <v>1492</v>
      </c>
      <c r="AC55" s="18">
        <v>0.5</v>
      </c>
      <c r="AD55" s="18" t="s">
        <v>1493</v>
      </c>
      <c r="AE55" s="18" t="s">
        <v>43</v>
      </c>
      <c r="AF55" s="20"/>
      <c r="AG55" s="20" t="s">
        <v>238</v>
      </c>
      <c r="AH55" s="21">
        <v>1</v>
      </c>
      <c r="AI55" s="21">
        <v>1</v>
      </c>
      <c r="AJ55" s="20" t="s">
        <v>1494</v>
      </c>
      <c r="AK55" s="20">
        <v>0</v>
      </c>
      <c r="AL55" s="20" t="s">
        <v>1495</v>
      </c>
      <c r="AM55" s="20" t="s">
        <v>63</v>
      </c>
      <c r="AN55" s="15"/>
      <c r="AO55" s="15" t="s">
        <v>1238</v>
      </c>
      <c r="AP55" s="16">
        <v>1</v>
      </c>
      <c r="AQ55" s="16">
        <v>1</v>
      </c>
      <c r="AR55" s="15" t="s">
        <v>1496</v>
      </c>
      <c r="AS55" s="15" t="s">
        <v>193</v>
      </c>
      <c r="AT55" s="15">
        <v>2</v>
      </c>
      <c r="AU55" s="17">
        <v>0</v>
      </c>
      <c r="AV55" s="15" t="s">
        <v>1497</v>
      </c>
      <c r="AW55" s="15">
        <v>0</v>
      </c>
      <c r="AX55" s="15" t="s">
        <v>1498</v>
      </c>
      <c r="AY55" s="15" t="s">
        <v>36</v>
      </c>
      <c r="AZ55" s="18"/>
      <c r="BA55" s="18" t="s">
        <v>1499</v>
      </c>
      <c r="BB55" s="19">
        <v>1</v>
      </c>
      <c r="BC55" s="19">
        <v>1</v>
      </c>
      <c r="BD55" s="18" t="s">
        <v>1500</v>
      </c>
      <c r="BE55" s="18">
        <v>0</v>
      </c>
      <c r="BF55" s="18" t="s">
        <v>1501</v>
      </c>
      <c r="BG55" s="18" t="s">
        <v>67</v>
      </c>
      <c r="BH55" s="12"/>
      <c r="BI55" s="12" t="s">
        <v>328</v>
      </c>
      <c r="BJ55" s="12">
        <v>1</v>
      </c>
      <c r="BK55" s="12">
        <v>1</v>
      </c>
      <c r="BL55" s="12" t="s">
        <v>329</v>
      </c>
      <c r="BM55" s="12">
        <v>1</v>
      </c>
      <c r="BN55" s="12" t="s">
        <v>1503</v>
      </c>
      <c r="BO55" s="12" t="s">
        <v>42</v>
      </c>
      <c r="BP55" s="20"/>
      <c r="BQ55" s="20" t="s">
        <v>250</v>
      </c>
      <c r="BR55" s="20">
        <v>1</v>
      </c>
      <c r="BS55" s="20">
        <v>1</v>
      </c>
      <c r="BT55" s="20" t="s">
        <v>879</v>
      </c>
      <c r="BU55" s="20" t="s">
        <v>880</v>
      </c>
      <c r="BV55" s="20">
        <v>2</v>
      </c>
      <c r="BW55" s="20" t="s">
        <v>1506</v>
      </c>
      <c r="BX55" s="20">
        <v>0</v>
      </c>
      <c r="BY55" s="20" t="s">
        <v>1507</v>
      </c>
      <c r="BZ55" s="20" t="s">
        <v>43</v>
      </c>
    </row>
    <row r="56" spans="1:78">
      <c r="A56">
        <v>10055</v>
      </c>
      <c r="B56" s="12"/>
      <c r="C56" s="12" t="s">
        <v>1508</v>
      </c>
      <c r="D56" s="14">
        <v>1</v>
      </c>
      <c r="E56" s="14">
        <v>1</v>
      </c>
      <c r="F56" s="12" t="s">
        <v>1509</v>
      </c>
      <c r="G56" s="13">
        <v>3</v>
      </c>
      <c r="H56" s="12" t="s">
        <v>1510</v>
      </c>
      <c r="I56" s="12" t="s">
        <v>37</v>
      </c>
      <c r="J56" s="15"/>
      <c r="K56" s="15" t="s">
        <v>1511</v>
      </c>
      <c r="L56" s="16">
        <v>1</v>
      </c>
      <c r="M56" s="16">
        <v>1</v>
      </c>
      <c r="N56" s="15" t="s">
        <v>1512</v>
      </c>
      <c r="O56" s="15" t="s">
        <v>1513</v>
      </c>
      <c r="P56" s="17">
        <v>1</v>
      </c>
      <c r="Q56" s="15" t="s">
        <v>1514</v>
      </c>
      <c r="R56" s="15">
        <v>0.5</v>
      </c>
      <c r="S56" s="15" t="s">
        <v>1515</v>
      </c>
      <c r="T56" s="15" t="s">
        <v>35</v>
      </c>
      <c r="U56" s="18"/>
      <c r="V56" s="18" t="s">
        <v>1516</v>
      </c>
      <c r="W56" s="19">
        <v>1</v>
      </c>
      <c r="X56" s="19">
        <v>1</v>
      </c>
      <c r="Y56" s="18" t="s">
        <v>1517</v>
      </c>
      <c r="Z56" s="18" t="s">
        <v>1518</v>
      </c>
      <c r="AA56" s="18">
        <v>3</v>
      </c>
      <c r="AB56" s="29" t="s">
        <v>1519</v>
      </c>
      <c r="AC56" s="18">
        <v>0.5</v>
      </c>
      <c r="AD56" s="18" t="s">
        <v>1510</v>
      </c>
      <c r="AE56" s="18" t="s">
        <v>37</v>
      </c>
      <c r="AF56" s="20"/>
      <c r="AG56" s="20" t="s">
        <v>1520</v>
      </c>
      <c r="AH56" s="21">
        <v>1</v>
      </c>
      <c r="AI56" s="21">
        <v>1</v>
      </c>
      <c r="AJ56" s="20" t="s">
        <v>1521</v>
      </c>
      <c r="AK56" s="20">
        <v>0</v>
      </c>
      <c r="AL56" s="20" t="s">
        <v>1522</v>
      </c>
      <c r="AM56" s="20" t="s">
        <v>35</v>
      </c>
      <c r="AN56" s="15"/>
      <c r="AO56" s="15" t="s">
        <v>1523</v>
      </c>
      <c r="AP56" s="16">
        <v>1</v>
      </c>
      <c r="AQ56" s="16">
        <v>1</v>
      </c>
      <c r="AR56" s="15" t="s">
        <v>1524</v>
      </c>
      <c r="AS56" s="15" t="s">
        <v>1525</v>
      </c>
      <c r="AT56" s="15">
        <v>0</v>
      </c>
      <c r="AU56" s="17">
        <v>0</v>
      </c>
      <c r="AV56" s="15" t="s">
        <v>62</v>
      </c>
      <c r="AW56" s="15">
        <v>1</v>
      </c>
      <c r="AX56" s="15" t="s">
        <v>1526</v>
      </c>
      <c r="AY56" s="15" t="s">
        <v>35</v>
      </c>
      <c r="AZ56" s="18"/>
      <c r="BA56" s="18" t="s">
        <v>1527</v>
      </c>
      <c r="BB56" s="19">
        <v>1</v>
      </c>
      <c r="BC56" s="19">
        <v>1</v>
      </c>
      <c r="BD56" s="18" t="s">
        <v>1528</v>
      </c>
      <c r="BE56" s="18">
        <v>0</v>
      </c>
      <c r="BF56" s="18" t="s">
        <v>1529</v>
      </c>
      <c r="BG56" s="18" t="s">
        <v>35</v>
      </c>
      <c r="BH56" s="12"/>
      <c r="BI56" s="12" t="s">
        <v>248</v>
      </c>
      <c r="BJ56" s="12">
        <v>1</v>
      </c>
      <c r="BK56" s="12">
        <v>1</v>
      </c>
      <c r="BL56" s="12" t="s">
        <v>2673</v>
      </c>
      <c r="BM56" s="12">
        <v>0.5</v>
      </c>
      <c r="BN56" s="12" t="s">
        <v>1532</v>
      </c>
      <c r="BO56" s="12" t="s">
        <v>43</v>
      </c>
      <c r="BP56" s="20"/>
      <c r="BQ56" s="20"/>
      <c r="BR56" s="20">
        <v>0</v>
      </c>
      <c r="BS56" s="20">
        <v>0</v>
      </c>
      <c r="BT56" s="20"/>
      <c r="BU56" s="20"/>
      <c r="BV56" s="20">
        <v>0</v>
      </c>
      <c r="BW56" s="20" t="s">
        <v>62</v>
      </c>
      <c r="BX56" s="20">
        <v>0</v>
      </c>
      <c r="BY56" s="20" t="s">
        <v>1536</v>
      </c>
      <c r="BZ56" s="20" t="s">
        <v>37</v>
      </c>
    </row>
    <row r="57" spans="1:78">
      <c r="A57">
        <v>10056</v>
      </c>
      <c r="B57" s="12"/>
      <c r="C57" s="12" t="s">
        <v>1537</v>
      </c>
      <c r="D57" s="14">
        <v>1</v>
      </c>
      <c r="E57" s="14">
        <v>1</v>
      </c>
      <c r="F57" s="12" t="s">
        <v>1538</v>
      </c>
      <c r="G57" s="13">
        <v>2</v>
      </c>
      <c r="H57" s="12" t="s">
        <v>1539</v>
      </c>
      <c r="I57" s="12" t="s">
        <v>43</v>
      </c>
      <c r="J57" s="15"/>
      <c r="K57" s="15" t="s">
        <v>1540</v>
      </c>
      <c r="L57" s="16">
        <v>1</v>
      </c>
      <c r="M57" s="16">
        <v>1</v>
      </c>
      <c r="N57" s="15" t="s">
        <v>1541</v>
      </c>
      <c r="O57" s="15" t="s">
        <v>1542</v>
      </c>
      <c r="P57" s="17">
        <v>0</v>
      </c>
      <c r="Q57" s="15" t="s">
        <v>1543</v>
      </c>
      <c r="R57" s="15">
        <v>1</v>
      </c>
      <c r="S57" s="15" t="s">
        <v>1544</v>
      </c>
      <c r="T57" s="15" t="s">
        <v>37</v>
      </c>
      <c r="U57" s="18"/>
      <c r="V57" s="18" t="s">
        <v>565</v>
      </c>
      <c r="W57" s="19">
        <v>1</v>
      </c>
      <c r="X57" s="19">
        <v>1</v>
      </c>
      <c r="Y57" s="18" t="s">
        <v>1545</v>
      </c>
      <c r="Z57" s="18" t="s">
        <v>1546</v>
      </c>
      <c r="AA57" s="18">
        <v>0</v>
      </c>
      <c r="AB57" s="29" t="s">
        <v>1547</v>
      </c>
      <c r="AC57" s="18">
        <v>0.5</v>
      </c>
      <c r="AD57" s="18" t="s">
        <v>1548</v>
      </c>
      <c r="AE57" s="18" t="s">
        <v>36</v>
      </c>
      <c r="AF57" s="20"/>
      <c r="AG57" s="20" t="s">
        <v>1549</v>
      </c>
      <c r="AH57" s="21">
        <v>1</v>
      </c>
      <c r="AI57" s="21">
        <v>1</v>
      </c>
      <c r="AJ57" s="20" t="s">
        <v>1550</v>
      </c>
      <c r="AK57" s="20">
        <v>0</v>
      </c>
      <c r="AL57" s="20" t="s">
        <v>1551</v>
      </c>
      <c r="AM57" s="20" t="s">
        <v>43</v>
      </c>
      <c r="AN57" s="15"/>
      <c r="AO57" s="15" t="s">
        <v>1552</v>
      </c>
      <c r="AP57" s="16">
        <v>1</v>
      </c>
      <c r="AQ57" s="16">
        <v>1</v>
      </c>
      <c r="AR57" s="15" t="s">
        <v>135</v>
      </c>
      <c r="AS57" s="15" t="s">
        <v>1553</v>
      </c>
      <c r="AT57" s="15">
        <v>0</v>
      </c>
      <c r="AU57" s="17">
        <v>0</v>
      </c>
      <c r="AV57" s="15" t="s">
        <v>80</v>
      </c>
      <c r="AW57" s="15">
        <v>1</v>
      </c>
      <c r="AX57" s="15" t="s">
        <v>1554</v>
      </c>
      <c r="AY57" s="15" t="s">
        <v>42</v>
      </c>
      <c r="AZ57" s="18"/>
      <c r="BA57" s="18" t="s">
        <v>1555</v>
      </c>
      <c r="BB57" s="19">
        <v>1</v>
      </c>
      <c r="BC57" s="19">
        <v>1</v>
      </c>
      <c r="BD57" s="18" t="s">
        <v>81</v>
      </c>
      <c r="BE57" s="18">
        <v>0</v>
      </c>
      <c r="BF57" s="18" t="s">
        <v>3727</v>
      </c>
      <c r="BG57" s="18" t="s">
        <v>43</v>
      </c>
      <c r="BH57" s="12"/>
      <c r="BI57" s="12" t="s">
        <v>3436</v>
      </c>
      <c r="BJ57" s="12">
        <v>1</v>
      </c>
      <c r="BK57" s="12">
        <v>1</v>
      </c>
      <c r="BL57" s="12" t="s">
        <v>3437</v>
      </c>
      <c r="BM57" s="12">
        <v>0.5</v>
      </c>
      <c r="BN57" s="12" t="s">
        <v>1559</v>
      </c>
      <c r="BO57" s="12" t="s">
        <v>42</v>
      </c>
      <c r="BP57" s="20"/>
      <c r="BQ57" s="20" t="s">
        <v>383</v>
      </c>
      <c r="BR57" s="20">
        <v>1</v>
      </c>
      <c r="BS57" s="20">
        <v>1</v>
      </c>
      <c r="BT57" s="20" t="s">
        <v>1504</v>
      </c>
      <c r="BU57" s="20" t="s">
        <v>1505</v>
      </c>
      <c r="BV57" s="20">
        <v>1</v>
      </c>
      <c r="BW57" s="20" t="s">
        <v>1563</v>
      </c>
      <c r="BX57" s="20">
        <v>0</v>
      </c>
      <c r="BY57" s="20" t="s">
        <v>711</v>
      </c>
      <c r="BZ57" s="20" t="s">
        <v>43</v>
      </c>
    </row>
    <row r="58" spans="1:78">
      <c r="A58">
        <v>10057</v>
      </c>
      <c r="B58" s="12"/>
      <c r="C58" s="12" t="s">
        <v>228</v>
      </c>
      <c r="D58" s="14">
        <v>1</v>
      </c>
      <c r="E58" s="14">
        <v>1</v>
      </c>
      <c r="F58" s="12" t="s">
        <v>1564</v>
      </c>
      <c r="G58" s="13">
        <v>0</v>
      </c>
      <c r="H58" s="12" t="s">
        <v>1565</v>
      </c>
      <c r="I58" s="12" t="s">
        <v>35</v>
      </c>
      <c r="J58" s="15"/>
      <c r="K58" s="15" t="s">
        <v>230</v>
      </c>
      <c r="L58" s="16">
        <v>1</v>
      </c>
      <c r="M58" s="16">
        <v>1</v>
      </c>
      <c r="N58" s="15" t="s">
        <v>1566</v>
      </c>
      <c r="O58" s="15" t="s">
        <v>1567</v>
      </c>
      <c r="P58" s="17">
        <v>1</v>
      </c>
      <c r="Q58" s="15" t="s">
        <v>1568</v>
      </c>
      <c r="R58" s="15">
        <v>1</v>
      </c>
      <c r="S58" s="15" t="s">
        <v>1569</v>
      </c>
      <c r="T58" s="15" t="s">
        <v>37</v>
      </c>
      <c r="U58" s="18"/>
      <c r="V58" s="18" t="s">
        <v>313</v>
      </c>
      <c r="W58" s="19">
        <v>1</v>
      </c>
      <c r="X58" s="19">
        <v>1</v>
      </c>
      <c r="Y58" s="18" t="s">
        <v>1570</v>
      </c>
      <c r="Z58" s="18" t="s">
        <v>1571</v>
      </c>
      <c r="AA58" s="18">
        <v>2</v>
      </c>
      <c r="AB58" s="29" t="s">
        <v>1572</v>
      </c>
      <c r="AC58" s="18">
        <v>0.5</v>
      </c>
      <c r="AD58" s="18" t="s">
        <v>1573</v>
      </c>
      <c r="AE58" s="18" t="s">
        <v>67</v>
      </c>
      <c r="AF58" s="20"/>
      <c r="AG58" s="20" t="s">
        <v>1574</v>
      </c>
      <c r="AH58" s="21">
        <v>1</v>
      </c>
      <c r="AI58" s="21">
        <v>1</v>
      </c>
      <c r="AJ58" s="20" t="s">
        <v>1575</v>
      </c>
      <c r="AK58" s="20">
        <v>1</v>
      </c>
      <c r="AL58" s="20" t="s">
        <v>1576</v>
      </c>
      <c r="AM58" s="20" t="s">
        <v>35</v>
      </c>
      <c r="AN58" s="15"/>
      <c r="AO58" s="15" t="s">
        <v>591</v>
      </c>
      <c r="AP58" s="16">
        <v>1</v>
      </c>
      <c r="AQ58" s="16">
        <v>1</v>
      </c>
      <c r="AR58" s="15" t="s">
        <v>1577</v>
      </c>
      <c r="AS58" s="15" t="s">
        <v>1578</v>
      </c>
      <c r="AT58" s="15">
        <v>3</v>
      </c>
      <c r="AU58" s="17">
        <v>0</v>
      </c>
      <c r="AV58" s="15" t="s">
        <v>1579</v>
      </c>
      <c r="AW58" s="15">
        <v>0</v>
      </c>
      <c r="AX58" s="15" t="s">
        <v>1580</v>
      </c>
      <c r="AY58" s="15" t="s">
        <v>43</v>
      </c>
      <c r="AZ58" s="18"/>
      <c r="BA58" s="18" t="s">
        <v>1380</v>
      </c>
      <c r="BB58" s="19">
        <v>1</v>
      </c>
      <c r="BC58" s="19">
        <v>1</v>
      </c>
      <c r="BD58" s="18" t="s">
        <v>1581</v>
      </c>
      <c r="BE58" s="18">
        <v>0</v>
      </c>
      <c r="BF58" s="18" t="s">
        <v>1582</v>
      </c>
      <c r="BG58" s="18" t="s">
        <v>43</v>
      </c>
      <c r="BH58" s="12"/>
      <c r="BI58" s="12" t="s">
        <v>844</v>
      </c>
      <c r="BJ58" s="12">
        <v>1</v>
      </c>
      <c r="BK58" s="12">
        <v>1</v>
      </c>
      <c r="BL58" s="12" t="s">
        <v>2967</v>
      </c>
      <c r="BM58" s="12">
        <v>0.5</v>
      </c>
      <c r="BN58" s="12" t="s">
        <v>1584</v>
      </c>
      <c r="BO58" s="12" t="s">
        <v>43</v>
      </c>
      <c r="BP58" s="20"/>
      <c r="BQ58" s="20" t="s">
        <v>383</v>
      </c>
      <c r="BR58" s="20">
        <v>1</v>
      </c>
      <c r="BS58" s="20">
        <v>1</v>
      </c>
      <c r="BT58" s="20" t="s">
        <v>1585</v>
      </c>
      <c r="BU58" s="20" t="s">
        <v>1586</v>
      </c>
      <c r="BV58" s="20">
        <v>1</v>
      </c>
      <c r="BW58" s="20" t="s">
        <v>1587</v>
      </c>
      <c r="BX58" s="20">
        <v>1</v>
      </c>
      <c r="BY58" s="20" t="s">
        <v>1588</v>
      </c>
      <c r="BZ58" s="20" t="s">
        <v>43</v>
      </c>
    </row>
    <row r="59" spans="1:78">
      <c r="A59">
        <v>10058</v>
      </c>
      <c r="B59" s="12"/>
      <c r="C59" s="12" t="s">
        <v>228</v>
      </c>
      <c r="D59" s="14">
        <v>1</v>
      </c>
      <c r="E59" s="14">
        <v>1</v>
      </c>
      <c r="F59" s="12" t="s">
        <v>1589</v>
      </c>
      <c r="G59" s="13">
        <v>3</v>
      </c>
      <c r="H59" s="12" t="s">
        <v>1590</v>
      </c>
      <c r="I59" s="12" t="s">
        <v>37</v>
      </c>
      <c r="J59" s="15"/>
      <c r="K59" s="15" t="s">
        <v>230</v>
      </c>
      <c r="L59" s="16">
        <v>1</v>
      </c>
      <c r="M59" s="16">
        <v>1</v>
      </c>
      <c r="N59" s="15" t="s">
        <v>1591</v>
      </c>
      <c r="O59" s="15" t="s">
        <v>1592</v>
      </c>
      <c r="P59" s="17">
        <v>1</v>
      </c>
      <c r="Q59" s="15" t="s">
        <v>148</v>
      </c>
      <c r="R59" s="15">
        <v>0.5</v>
      </c>
      <c r="S59" s="15" t="s">
        <v>1593</v>
      </c>
      <c r="T59" s="15" t="s">
        <v>35</v>
      </c>
      <c r="U59" s="18"/>
      <c r="V59" s="18" t="s">
        <v>313</v>
      </c>
      <c r="W59" s="19">
        <v>1</v>
      </c>
      <c r="X59" s="19">
        <v>1</v>
      </c>
      <c r="Y59" s="18" t="s">
        <v>1594</v>
      </c>
      <c r="Z59" s="18" t="s">
        <v>1595</v>
      </c>
      <c r="AA59" s="18">
        <v>3</v>
      </c>
      <c r="AB59" s="29" t="s">
        <v>125</v>
      </c>
      <c r="AC59" s="18">
        <v>0</v>
      </c>
      <c r="AD59" s="18" t="s">
        <v>1596</v>
      </c>
      <c r="AE59" s="18" t="s">
        <v>37</v>
      </c>
      <c r="AF59" s="20"/>
      <c r="AG59" s="20" t="s">
        <v>1597</v>
      </c>
      <c r="AH59" s="21">
        <v>1</v>
      </c>
      <c r="AI59" s="21">
        <v>1</v>
      </c>
      <c r="AJ59" s="20" t="s">
        <v>137</v>
      </c>
      <c r="AK59" s="20">
        <v>0</v>
      </c>
      <c r="AL59" s="20" t="s">
        <v>1598</v>
      </c>
      <c r="AM59" s="20" t="s">
        <v>67</v>
      </c>
      <c r="AN59" s="15"/>
      <c r="AO59" s="15" t="s">
        <v>320</v>
      </c>
      <c r="AP59" s="16">
        <v>1</v>
      </c>
      <c r="AQ59" s="16">
        <v>1</v>
      </c>
      <c r="AR59" s="15" t="s">
        <v>1599</v>
      </c>
      <c r="AS59" s="15" t="s">
        <v>1600</v>
      </c>
      <c r="AT59" s="15">
        <v>2</v>
      </c>
      <c r="AU59" s="17">
        <v>1</v>
      </c>
      <c r="AV59" s="15" t="s">
        <v>125</v>
      </c>
      <c r="AW59" s="15">
        <v>1</v>
      </c>
      <c r="AX59" s="15" t="s">
        <v>1601</v>
      </c>
      <c r="AY59" s="15" t="s">
        <v>35</v>
      </c>
      <c r="AZ59" s="18"/>
      <c r="BA59" s="18" t="s">
        <v>1602</v>
      </c>
      <c r="BB59" s="19">
        <v>1</v>
      </c>
      <c r="BC59" s="19">
        <v>1</v>
      </c>
      <c r="BD59" s="18" t="s">
        <v>69</v>
      </c>
      <c r="BE59" s="18">
        <v>0</v>
      </c>
      <c r="BF59" s="18" t="s">
        <v>1603</v>
      </c>
      <c r="BG59" s="18" t="s">
        <v>35</v>
      </c>
      <c r="BH59" s="12"/>
      <c r="BI59" s="12" t="s">
        <v>276</v>
      </c>
      <c r="BJ59" s="12">
        <v>1</v>
      </c>
      <c r="BK59" s="12">
        <v>1</v>
      </c>
      <c r="BL59" s="12" t="s">
        <v>62</v>
      </c>
      <c r="BM59" s="12"/>
      <c r="BN59" s="12" t="s">
        <v>1605</v>
      </c>
      <c r="BO59" s="12" t="s">
        <v>37</v>
      </c>
      <c r="BP59" s="20"/>
      <c r="BQ59" s="20" t="s">
        <v>3218</v>
      </c>
      <c r="BR59" s="20">
        <v>1</v>
      </c>
      <c r="BS59" s="20">
        <v>1</v>
      </c>
      <c r="BT59" s="20" t="s">
        <v>3219</v>
      </c>
      <c r="BU59" s="20" t="s">
        <v>175</v>
      </c>
      <c r="BV59" s="20">
        <v>1</v>
      </c>
      <c r="BW59" s="20" t="s">
        <v>1608</v>
      </c>
      <c r="BX59" s="20">
        <v>0</v>
      </c>
      <c r="BY59" s="20" t="s">
        <v>1609</v>
      </c>
      <c r="BZ59" s="20" t="s">
        <v>43</v>
      </c>
    </row>
    <row r="60" spans="1:78">
      <c r="A60">
        <v>10059</v>
      </c>
      <c r="B60" s="12"/>
      <c r="C60" s="12" t="s">
        <v>1610</v>
      </c>
      <c r="D60" s="14">
        <v>1</v>
      </c>
      <c r="E60" s="14">
        <v>1</v>
      </c>
      <c r="F60" s="12" t="s">
        <v>1611</v>
      </c>
      <c r="G60" s="13">
        <v>3</v>
      </c>
      <c r="H60" s="12" t="s">
        <v>1612</v>
      </c>
      <c r="I60" s="12" t="s">
        <v>43</v>
      </c>
      <c r="J60" s="15"/>
      <c r="K60" s="15" t="s">
        <v>230</v>
      </c>
      <c r="L60" s="16">
        <v>1</v>
      </c>
      <c r="M60" s="16">
        <v>1</v>
      </c>
      <c r="N60" s="15" t="s">
        <v>1613</v>
      </c>
      <c r="O60" s="15" t="s">
        <v>1614</v>
      </c>
      <c r="P60" s="17">
        <v>1</v>
      </c>
      <c r="Q60" s="15" t="s">
        <v>1615</v>
      </c>
      <c r="R60" s="15">
        <v>0.5</v>
      </c>
      <c r="S60" s="15" t="s">
        <v>1616</v>
      </c>
      <c r="T60" s="15" t="s">
        <v>43</v>
      </c>
      <c r="U60" s="18"/>
      <c r="V60" s="18" t="s">
        <v>609</v>
      </c>
      <c r="W60" s="19">
        <v>1</v>
      </c>
      <c r="X60" s="19">
        <v>1</v>
      </c>
      <c r="Y60" s="18" t="s">
        <v>1617</v>
      </c>
      <c r="Z60" s="18" t="s">
        <v>1618</v>
      </c>
      <c r="AA60" s="18">
        <v>0</v>
      </c>
      <c r="AB60" s="29" t="s">
        <v>1619</v>
      </c>
      <c r="AC60" s="18">
        <v>0.5</v>
      </c>
      <c r="AD60" s="18" t="s">
        <v>1620</v>
      </c>
      <c r="AE60" s="18" t="s">
        <v>42</v>
      </c>
      <c r="AF60" s="20"/>
      <c r="AG60" s="20" t="s">
        <v>1621</v>
      </c>
      <c r="AH60" s="21">
        <v>1</v>
      </c>
      <c r="AI60" s="21">
        <v>1</v>
      </c>
      <c r="AJ60" s="20" t="s">
        <v>1622</v>
      </c>
      <c r="AK60" s="20">
        <v>1</v>
      </c>
      <c r="AL60" s="20" t="s">
        <v>1623</v>
      </c>
      <c r="AM60" s="20" t="s">
        <v>43</v>
      </c>
      <c r="AN60" s="15"/>
      <c r="AO60" s="15" t="s">
        <v>1624</v>
      </c>
      <c r="AP60" s="16">
        <v>1</v>
      </c>
      <c r="AQ60" s="16">
        <v>1</v>
      </c>
      <c r="AR60" s="15" t="s">
        <v>1625</v>
      </c>
      <c r="AS60" s="15" t="s">
        <v>1626</v>
      </c>
      <c r="AT60" s="15">
        <v>1</v>
      </c>
      <c r="AU60" s="17">
        <v>2</v>
      </c>
      <c r="AV60" s="15" t="s">
        <v>1627</v>
      </c>
      <c r="AW60" s="15">
        <v>1</v>
      </c>
      <c r="AX60" s="15" t="s">
        <v>1628</v>
      </c>
      <c r="AY60" s="15" t="s">
        <v>43</v>
      </c>
      <c r="AZ60" s="18"/>
      <c r="BA60" s="18" t="s">
        <v>1629</v>
      </c>
      <c r="BB60" s="19">
        <v>1</v>
      </c>
      <c r="BC60" s="19">
        <v>1</v>
      </c>
      <c r="BD60" s="18" t="s">
        <v>1630</v>
      </c>
      <c r="BE60" s="18">
        <v>1</v>
      </c>
      <c r="BF60" s="18" t="s">
        <v>1631</v>
      </c>
      <c r="BG60" s="18" t="s">
        <v>37</v>
      </c>
      <c r="BH60" s="12"/>
      <c r="BI60" s="12" t="s">
        <v>483</v>
      </c>
      <c r="BJ60" s="12">
        <v>1</v>
      </c>
      <c r="BK60" s="12">
        <v>1</v>
      </c>
      <c r="BL60" s="12" t="s">
        <v>1632</v>
      </c>
      <c r="BM60" s="12">
        <v>0.5</v>
      </c>
      <c r="BN60" s="12" t="s">
        <v>1633</v>
      </c>
      <c r="BO60" s="12" t="s">
        <v>43</v>
      </c>
      <c r="BP60" s="20"/>
      <c r="BQ60" s="20" t="s">
        <v>1634</v>
      </c>
      <c r="BR60" s="20">
        <v>0</v>
      </c>
      <c r="BS60" s="20">
        <v>1</v>
      </c>
      <c r="BT60" s="20" t="s">
        <v>1635</v>
      </c>
      <c r="BU60" s="20" t="s">
        <v>1636</v>
      </c>
      <c r="BV60" s="20">
        <v>1</v>
      </c>
      <c r="BW60" s="20" t="s">
        <v>1637</v>
      </c>
      <c r="BX60" s="20">
        <v>0</v>
      </c>
      <c r="BY60" s="20" t="s">
        <v>1638</v>
      </c>
      <c r="BZ60" s="20" t="s">
        <v>43</v>
      </c>
    </row>
    <row r="61" spans="1:78">
      <c r="A61">
        <v>10060</v>
      </c>
      <c r="B61" s="12"/>
      <c r="C61" s="12" t="s">
        <v>1639</v>
      </c>
      <c r="D61" s="14">
        <v>1</v>
      </c>
      <c r="E61" s="14">
        <v>1</v>
      </c>
      <c r="F61" s="12" t="s">
        <v>1640</v>
      </c>
      <c r="G61" s="13">
        <v>2</v>
      </c>
      <c r="H61" s="12" t="s">
        <v>1641</v>
      </c>
      <c r="I61" s="12" t="s">
        <v>67</v>
      </c>
      <c r="J61" s="15"/>
      <c r="K61" s="15" t="s">
        <v>1642</v>
      </c>
      <c r="L61" s="16">
        <v>1</v>
      </c>
      <c r="M61" s="16">
        <v>1</v>
      </c>
      <c r="N61" s="15" t="s">
        <v>1643</v>
      </c>
      <c r="O61" s="15" t="s">
        <v>1644</v>
      </c>
      <c r="P61" s="17">
        <v>2</v>
      </c>
      <c r="Q61" s="15" t="s">
        <v>151</v>
      </c>
      <c r="R61" s="15">
        <v>0.5</v>
      </c>
      <c r="S61" s="15" t="s">
        <v>1645</v>
      </c>
      <c r="T61" s="15" t="s">
        <v>36</v>
      </c>
      <c r="U61" s="18"/>
      <c r="V61" s="18" t="s">
        <v>1646</v>
      </c>
      <c r="W61" s="18">
        <v>1</v>
      </c>
      <c r="X61" s="18">
        <v>1</v>
      </c>
      <c r="Y61" s="18" t="s">
        <v>1647</v>
      </c>
      <c r="Z61" s="18" t="s">
        <v>1648</v>
      </c>
      <c r="AA61" s="18">
        <v>1</v>
      </c>
      <c r="AB61" s="29" t="s">
        <v>62</v>
      </c>
      <c r="AC61" s="18">
        <v>0</v>
      </c>
      <c r="AD61" s="18" t="s">
        <v>1649</v>
      </c>
      <c r="AE61" s="18" t="s">
        <v>42</v>
      </c>
      <c r="AF61" s="20"/>
      <c r="AG61" s="20" t="s">
        <v>1650</v>
      </c>
      <c r="AH61" s="21">
        <v>1</v>
      </c>
      <c r="AI61" s="21">
        <v>1</v>
      </c>
      <c r="AJ61" s="20" t="s">
        <v>151</v>
      </c>
      <c r="AK61" s="20">
        <v>0</v>
      </c>
      <c r="AL61" s="20" t="s">
        <v>1651</v>
      </c>
      <c r="AM61" s="20" t="s">
        <v>67</v>
      </c>
      <c r="AN61" s="15"/>
      <c r="AO61" s="15" t="s">
        <v>1652</v>
      </c>
      <c r="AP61" s="16">
        <v>1</v>
      </c>
      <c r="AQ61" s="16">
        <v>1</v>
      </c>
      <c r="AR61" s="15" t="s">
        <v>1653</v>
      </c>
      <c r="AS61" s="15" t="s">
        <v>1654</v>
      </c>
      <c r="AT61" s="15">
        <v>3</v>
      </c>
      <c r="AU61" s="17">
        <v>0</v>
      </c>
      <c r="AV61" s="15" t="s">
        <v>62</v>
      </c>
      <c r="AW61" s="15">
        <v>1</v>
      </c>
      <c r="AX61" s="15" t="s">
        <v>1655</v>
      </c>
      <c r="AY61" s="15" t="s">
        <v>67</v>
      </c>
      <c r="AZ61" s="18"/>
      <c r="BA61" s="18" t="s">
        <v>1656</v>
      </c>
      <c r="BB61" s="19">
        <v>1</v>
      </c>
      <c r="BC61" s="19">
        <v>1</v>
      </c>
      <c r="BD61" s="18" t="s">
        <v>151</v>
      </c>
      <c r="BE61" s="18">
        <v>0</v>
      </c>
      <c r="BF61" s="18" t="s">
        <v>1657</v>
      </c>
      <c r="BG61" s="18" t="s">
        <v>37</v>
      </c>
      <c r="BH61" s="12"/>
      <c r="BI61" s="12" t="s">
        <v>3163</v>
      </c>
      <c r="BJ61" s="12">
        <v>1</v>
      </c>
      <c r="BK61" s="12">
        <v>1</v>
      </c>
      <c r="BL61" s="12" t="s">
        <v>3164</v>
      </c>
      <c r="BM61" s="12">
        <v>0</v>
      </c>
      <c r="BN61" s="12" t="s">
        <v>1659</v>
      </c>
      <c r="BO61" s="12" t="s">
        <v>43</v>
      </c>
      <c r="BP61" s="20"/>
      <c r="BQ61" s="20" t="s">
        <v>3728</v>
      </c>
      <c r="BR61" s="20">
        <v>1</v>
      </c>
      <c r="BS61" s="20">
        <v>1</v>
      </c>
      <c r="BT61" s="20" t="s">
        <v>3729</v>
      </c>
      <c r="BU61" s="20" t="s">
        <v>3730</v>
      </c>
      <c r="BV61" s="20">
        <v>1</v>
      </c>
      <c r="BW61" s="20" t="s">
        <v>62</v>
      </c>
      <c r="BX61" s="20">
        <v>0</v>
      </c>
      <c r="BY61" s="20" t="s">
        <v>1663</v>
      </c>
      <c r="BZ61" s="20" t="s">
        <v>37</v>
      </c>
    </row>
    <row r="62" spans="1:78">
      <c r="A62">
        <v>10061</v>
      </c>
      <c r="B62" s="12"/>
      <c r="C62" s="12" t="s">
        <v>1664</v>
      </c>
      <c r="D62" s="14">
        <v>1</v>
      </c>
      <c r="E62" s="14">
        <v>1</v>
      </c>
      <c r="F62" s="12" t="s">
        <v>1665</v>
      </c>
      <c r="G62" s="13">
        <v>3</v>
      </c>
      <c r="H62" s="12" t="s">
        <v>1666</v>
      </c>
      <c r="I62" s="12" t="s">
        <v>36</v>
      </c>
      <c r="J62" s="15"/>
      <c r="K62" s="15" t="s">
        <v>1667</v>
      </c>
      <c r="L62" s="16">
        <v>1</v>
      </c>
      <c r="M62" s="16">
        <v>0</v>
      </c>
      <c r="N62" s="15" t="s">
        <v>1668</v>
      </c>
      <c r="O62" s="15" t="s">
        <v>1669</v>
      </c>
      <c r="P62" s="17">
        <v>0</v>
      </c>
      <c r="Q62" s="15" t="s">
        <v>1670</v>
      </c>
      <c r="R62" s="15">
        <v>1</v>
      </c>
      <c r="S62" s="15" t="s">
        <v>1671</v>
      </c>
      <c r="T62" s="15" t="s">
        <v>36</v>
      </c>
      <c r="U62" s="18"/>
      <c r="V62" s="18" t="s">
        <v>1672</v>
      </c>
      <c r="W62" s="19">
        <v>1</v>
      </c>
      <c r="X62" s="19">
        <v>1</v>
      </c>
      <c r="Y62" s="18" t="s">
        <v>1673</v>
      </c>
      <c r="Z62" s="18" t="s">
        <v>1674</v>
      </c>
      <c r="AA62" s="18">
        <v>2</v>
      </c>
      <c r="AB62" s="29" t="s">
        <v>1675</v>
      </c>
      <c r="AC62" s="18">
        <v>0</v>
      </c>
      <c r="AD62" s="18" t="s">
        <v>1676</v>
      </c>
      <c r="AE62" s="18" t="s">
        <v>35</v>
      </c>
      <c r="AF62" s="20"/>
      <c r="AG62" s="20" t="s">
        <v>1677</v>
      </c>
      <c r="AH62" s="21">
        <v>1</v>
      </c>
      <c r="AI62" s="21">
        <v>0.5</v>
      </c>
      <c r="AJ62" s="20" t="s">
        <v>1678</v>
      </c>
      <c r="AK62" s="20">
        <v>1</v>
      </c>
      <c r="AL62" s="20" t="s">
        <v>1679</v>
      </c>
      <c r="AM62" s="20" t="s">
        <v>37</v>
      </c>
      <c r="AN62" s="15"/>
      <c r="AO62" s="15" t="s">
        <v>1680</v>
      </c>
      <c r="AP62" s="16">
        <v>0</v>
      </c>
      <c r="AQ62" s="16">
        <v>0</v>
      </c>
      <c r="AR62" s="15" t="s">
        <v>1681</v>
      </c>
      <c r="AS62" s="15" t="s">
        <v>1682</v>
      </c>
      <c r="AT62" s="15">
        <v>3</v>
      </c>
      <c r="AU62" s="17">
        <v>0</v>
      </c>
      <c r="AV62" s="15" t="s">
        <v>1683</v>
      </c>
      <c r="AW62" s="15">
        <v>1</v>
      </c>
      <c r="AX62" s="15" t="s">
        <v>1684</v>
      </c>
      <c r="AY62" s="15" t="s">
        <v>37</v>
      </c>
      <c r="AZ62" s="18"/>
      <c r="BA62" s="18" t="s">
        <v>1685</v>
      </c>
      <c r="BB62" s="19">
        <v>1</v>
      </c>
      <c r="BC62" s="19">
        <v>0</v>
      </c>
      <c r="BD62" s="18" t="s">
        <v>1686</v>
      </c>
      <c r="BE62" s="18">
        <v>1</v>
      </c>
      <c r="BF62" s="18" t="s">
        <v>1676</v>
      </c>
      <c r="BG62" s="18" t="s">
        <v>43</v>
      </c>
      <c r="BH62" s="12"/>
      <c r="BI62" s="12" t="s">
        <v>725</v>
      </c>
      <c r="BJ62" s="12">
        <v>1</v>
      </c>
      <c r="BK62" s="12">
        <v>1</v>
      </c>
      <c r="BL62" s="12" t="s">
        <v>726</v>
      </c>
      <c r="BM62" s="12">
        <v>0.5</v>
      </c>
      <c r="BN62" s="12" t="s">
        <v>1689</v>
      </c>
      <c r="BO62" s="12" t="s">
        <v>37</v>
      </c>
      <c r="BP62" s="20"/>
      <c r="BQ62" s="20" t="s">
        <v>3438</v>
      </c>
      <c r="BR62" s="20">
        <v>1</v>
      </c>
      <c r="BS62" s="20">
        <v>1</v>
      </c>
      <c r="BT62" s="20" t="s">
        <v>3439</v>
      </c>
      <c r="BU62" s="20" t="s">
        <v>3440</v>
      </c>
      <c r="BV62" s="20">
        <v>1</v>
      </c>
      <c r="BW62" s="20" t="s">
        <v>1693</v>
      </c>
      <c r="BX62" s="20">
        <v>0</v>
      </c>
      <c r="BY62" s="20" t="s">
        <v>1694</v>
      </c>
      <c r="BZ62" s="20" t="s">
        <v>43</v>
      </c>
    </row>
    <row r="63" spans="1:78">
      <c r="A63">
        <v>10062</v>
      </c>
      <c r="B63" s="12"/>
      <c r="C63" s="12" t="s">
        <v>228</v>
      </c>
      <c r="D63" s="14">
        <v>1</v>
      </c>
      <c r="E63" s="14">
        <v>1</v>
      </c>
      <c r="F63" s="12" t="s">
        <v>1695</v>
      </c>
      <c r="G63" s="13">
        <v>0</v>
      </c>
      <c r="H63" s="12" t="s">
        <v>1696</v>
      </c>
      <c r="I63" s="12" t="s">
        <v>42</v>
      </c>
      <c r="J63" s="15"/>
      <c r="K63" s="15" t="s">
        <v>230</v>
      </c>
      <c r="L63" s="16">
        <v>1</v>
      </c>
      <c r="M63" s="16">
        <v>1</v>
      </c>
      <c r="N63" s="15" t="s">
        <v>1697</v>
      </c>
      <c r="O63" s="15" t="s">
        <v>1698</v>
      </c>
      <c r="P63" s="17">
        <v>1</v>
      </c>
      <c r="Q63" s="15" t="s">
        <v>1699</v>
      </c>
      <c r="R63" s="15">
        <v>0.5</v>
      </c>
      <c r="S63" s="15" t="s">
        <v>1700</v>
      </c>
      <c r="T63" s="15" t="s">
        <v>99</v>
      </c>
      <c r="U63" s="18"/>
      <c r="V63" s="18" t="s">
        <v>1231</v>
      </c>
      <c r="W63" s="19">
        <v>1</v>
      </c>
      <c r="X63" s="19">
        <v>1</v>
      </c>
      <c r="Y63" s="18" t="s">
        <v>142</v>
      </c>
      <c r="Z63" s="18" t="s">
        <v>143</v>
      </c>
      <c r="AA63" s="18">
        <v>0</v>
      </c>
      <c r="AB63" s="29" t="s">
        <v>1701</v>
      </c>
      <c r="AC63" s="18">
        <v>0.5</v>
      </c>
      <c r="AD63" s="18" t="s">
        <v>1702</v>
      </c>
      <c r="AE63" s="18" t="s">
        <v>35</v>
      </c>
      <c r="AF63" s="20"/>
      <c r="AG63" s="20" t="s">
        <v>238</v>
      </c>
      <c r="AH63" s="21">
        <v>1</v>
      </c>
      <c r="AI63" s="21">
        <v>1</v>
      </c>
      <c r="AJ63" s="20" t="s">
        <v>1703</v>
      </c>
      <c r="AK63" s="20">
        <v>1</v>
      </c>
      <c r="AL63" s="20" t="s">
        <v>1704</v>
      </c>
      <c r="AM63" s="20" t="s">
        <v>63</v>
      </c>
      <c r="AN63" s="15"/>
      <c r="AO63" s="15" t="s">
        <v>1238</v>
      </c>
      <c r="AP63" s="16">
        <v>1</v>
      </c>
      <c r="AQ63" s="16">
        <v>1</v>
      </c>
      <c r="AR63" s="15" t="s">
        <v>1705</v>
      </c>
      <c r="AS63" s="15" t="s">
        <v>1706</v>
      </c>
      <c r="AT63" s="15">
        <v>3</v>
      </c>
      <c r="AU63" s="17">
        <v>0</v>
      </c>
      <c r="AV63" s="15" t="s">
        <v>125</v>
      </c>
      <c r="AW63" s="15">
        <v>1</v>
      </c>
      <c r="AX63" s="15" t="s">
        <v>1707</v>
      </c>
      <c r="AY63" s="15" t="s">
        <v>37</v>
      </c>
      <c r="AZ63" s="18"/>
      <c r="BA63" s="18" t="s">
        <v>1708</v>
      </c>
      <c r="BB63" s="19">
        <v>1</v>
      </c>
      <c r="BC63" s="19">
        <v>1</v>
      </c>
      <c r="BD63" s="18" t="s">
        <v>1709</v>
      </c>
      <c r="BE63" s="18">
        <v>0</v>
      </c>
      <c r="BF63" s="18" t="s">
        <v>1710</v>
      </c>
      <c r="BG63" s="18" t="s">
        <v>37</v>
      </c>
      <c r="BH63" s="12"/>
      <c r="BI63" s="12" t="s">
        <v>2736</v>
      </c>
      <c r="BJ63" s="12">
        <v>1</v>
      </c>
      <c r="BK63" s="12">
        <v>0</v>
      </c>
      <c r="BL63" s="12" t="s">
        <v>52</v>
      </c>
      <c r="BM63" s="12">
        <v>0.5</v>
      </c>
      <c r="BN63" s="12" t="s">
        <v>1711</v>
      </c>
      <c r="BO63" s="12" t="s">
        <v>63</v>
      </c>
      <c r="BP63" s="20"/>
      <c r="BQ63" s="20" t="s">
        <v>331</v>
      </c>
      <c r="BR63" s="20">
        <v>1</v>
      </c>
      <c r="BS63" s="20">
        <v>1</v>
      </c>
      <c r="BT63" s="20" t="s">
        <v>1712</v>
      </c>
      <c r="BU63" s="20" t="s">
        <v>1713</v>
      </c>
      <c r="BV63" s="20">
        <v>0</v>
      </c>
      <c r="BW63" s="20" t="s">
        <v>1714</v>
      </c>
      <c r="BX63" s="20">
        <v>0</v>
      </c>
      <c r="BY63" s="20" t="s">
        <v>1715</v>
      </c>
      <c r="BZ63" s="20" t="s">
        <v>43</v>
      </c>
    </row>
    <row r="64" spans="1:78">
      <c r="A64">
        <v>10063</v>
      </c>
      <c r="B64" s="12"/>
      <c r="C64" s="12" t="s">
        <v>1716</v>
      </c>
      <c r="D64" s="14">
        <v>1</v>
      </c>
      <c r="E64" s="14">
        <v>1</v>
      </c>
      <c r="F64" s="12" t="s">
        <v>1717</v>
      </c>
      <c r="G64" s="13">
        <v>3</v>
      </c>
      <c r="H64" s="12" t="s">
        <v>1718</v>
      </c>
      <c r="I64" s="12" t="s">
        <v>43</v>
      </c>
      <c r="J64" s="15"/>
      <c r="K64" s="15" t="s">
        <v>1719</v>
      </c>
      <c r="L64" s="16">
        <v>1</v>
      </c>
      <c r="M64" s="16">
        <v>1</v>
      </c>
      <c r="N64" s="15" t="s">
        <v>1720</v>
      </c>
      <c r="O64" s="15" t="s">
        <v>1721</v>
      </c>
      <c r="P64" s="17">
        <v>1</v>
      </c>
      <c r="Q64" s="15" t="s">
        <v>1722</v>
      </c>
      <c r="R64" s="15">
        <v>1</v>
      </c>
      <c r="S64" s="15" t="s">
        <v>1723</v>
      </c>
      <c r="T64" s="15" t="s">
        <v>43</v>
      </c>
      <c r="U64" s="18"/>
      <c r="V64" s="18" t="s">
        <v>1724</v>
      </c>
      <c r="W64" s="19">
        <v>1</v>
      </c>
      <c r="X64" s="19">
        <v>0</v>
      </c>
      <c r="Y64" s="18" t="s">
        <v>1725</v>
      </c>
      <c r="Z64" s="18" t="s">
        <v>1726</v>
      </c>
      <c r="AA64" s="18">
        <v>2</v>
      </c>
      <c r="AB64" s="29" t="s">
        <v>1727</v>
      </c>
      <c r="AC64" s="18">
        <v>1</v>
      </c>
      <c r="AD64" s="18" t="s">
        <v>1728</v>
      </c>
      <c r="AE64" s="18" t="s">
        <v>37</v>
      </c>
      <c r="AF64" s="20"/>
      <c r="AG64" s="20" t="s">
        <v>1729</v>
      </c>
      <c r="AH64" s="21">
        <v>1</v>
      </c>
      <c r="AI64" s="21">
        <v>1</v>
      </c>
      <c r="AJ64" s="20" t="s">
        <v>1730</v>
      </c>
      <c r="AK64" s="20">
        <v>0</v>
      </c>
      <c r="AL64" s="20" t="s">
        <v>1731</v>
      </c>
      <c r="AM64" s="20" t="s">
        <v>42</v>
      </c>
      <c r="AN64" s="15"/>
      <c r="AO64" s="15" t="s">
        <v>1732</v>
      </c>
      <c r="AP64" s="16">
        <v>1</v>
      </c>
      <c r="AQ64" s="16">
        <v>1</v>
      </c>
      <c r="AR64" s="15" t="s">
        <v>1733</v>
      </c>
      <c r="AS64" s="15" t="s">
        <v>1734</v>
      </c>
      <c r="AT64" s="15">
        <v>3</v>
      </c>
      <c r="AU64" s="17">
        <v>0</v>
      </c>
      <c r="AV64" s="15" t="s">
        <v>1735</v>
      </c>
      <c r="AW64" s="15">
        <v>0</v>
      </c>
      <c r="AX64" s="15" t="s">
        <v>1736</v>
      </c>
      <c r="AY64" s="15" t="s">
        <v>36</v>
      </c>
      <c r="AZ64" s="18"/>
      <c r="BA64" s="18" t="s">
        <v>1737</v>
      </c>
      <c r="BB64" s="19">
        <v>1</v>
      </c>
      <c r="BC64" s="19">
        <v>1</v>
      </c>
      <c r="BD64" s="18" t="s">
        <v>81</v>
      </c>
      <c r="BE64" s="18">
        <v>0</v>
      </c>
      <c r="BF64" s="18" t="s">
        <v>144</v>
      </c>
      <c r="BG64" s="18" t="s">
        <v>42</v>
      </c>
      <c r="BH64" s="12"/>
      <c r="BI64" s="12" t="s">
        <v>248</v>
      </c>
      <c r="BJ64" s="12">
        <v>1</v>
      </c>
      <c r="BK64" s="12">
        <v>1</v>
      </c>
      <c r="BL64" s="12" t="s">
        <v>575</v>
      </c>
      <c r="BM64" s="12">
        <v>0.5</v>
      </c>
      <c r="BN64" s="12" t="s">
        <v>1731</v>
      </c>
      <c r="BO64" s="12" t="s">
        <v>37</v>
      </c>
      <c r="BP64" s="20"/>
      <c r="BQ64" s="20" t="s">
        <v>3289</v>
      </c>
      <c r="BR64" s="20">
        <v>1</v>
      </c>
      <c r="BS64" s="20">
        <v>1</v>
      </c>
      <c r="BT64" s="20" t="s">
        <v>3290</v>
      </c>
      <c r="BU64" s="20" t="s">
        <v>3291</v>
      </c>
      <c r="BV64" s="20">
        <v>1</v>
      </c>
      <c r="BW64" s="20" t="s">
        <v>1741</v>
      </c>
      <c r="BX64" s="20">
        <v>0</v>
      </c>
      <c r="BY64" s="20" t="s">
        <v>1742</v>
      </c>
      <c r="BZ64" s="20" t="s">
        <v>35</v>
      </c>
    </row>
    <row r="65" spans="1:78">
      <c r="A65">
        <v>10064</v>
      </c>
      <c r="B65" s="12"/>
      <c r="C65" s="12" t="s">
        <v>1743</v>
      </c>
      <c r="D65" s="14">
        <v>1</v>
      </c>
      <c r="E65" s="14">
        <v>1</v>
      </c>
      <c r="F65" s="12" t="s">
        <v>1744</v>
      </c>
      <c r="G65" s="13">
        <v>3</v>
      </c>
      <c r="H65" s="12" t="s">
        <v>93</v>
      </c>
      <c r="I65" s="12" t="s">
        <v>37</v>
      </c>
      <c r="J65" s="15"/>
      <c r="K65" s="15" t="s">
        <v>837</v>
      </c>
      <c r="L65" s="16">
        <v>1</v>
      </c>
      <c r="M65" s="16">
        <v>1</v>
      </c>
      <c r="N65" s="15" t="s">
        <v>1745</v>
      </c>
      <c r="O65" s="15" t="s">
        <v>1746</v>
      </c>
      <c r="P65" s="17">
        <v>1</v>
      </c>
      <c r="Q65" s="15" t="s">
        <v>1219</v>
      </c>
      <c r="R65" s="15">
        <v>0.5</v>
      </c>
      <c r="S65" s="15" t="s">
        <v>93</v>
      </c>
      <c r="T65" s="15" t="s">
        <v>37</v>
      </c>
      <c r="U65" s="18"/>
      <c r="V65" s="18" t="s">
        <v>1747</v>
      </c>
      <c r="W65" s="19">
        <v>1</v>
      </c>
      <c r="X65" s="19">
        <v>0</v>
      </c>
      <c r="Y65" s="18" t="s">
        <v>1748</v>
      </c>
      <c r="Z65" s="18" t="s">
        <v>131</v>
      </c>
      <c r="AA65" s="18">
        <v>2</v>
      </c>
      <c r="AB65" s="29" t="s">
        <v>84</v>
      </c>
      <c r="AC65" s="18">
        <v>0</v>
      </c>
      <c r="AD65" s="18" t="s">
        <v>93</v>
      </c>
      <c r="AE65" s="18" t="s">
        <v>37</v>
      </c>
      <c r="AF65" s="20"/>
      <c r="AG65" s="20" t="s">
        <v>941</v>
      </c>
      <c r="AH65" s="21">
        <v>1</v>
      </c>
      <c r="AI65" s="21">
        <v>0</v>
      </c>
      <c r="AJ65" s="20" t="s">
        <v>84</v>
      </c>
      <c r="AK65" s="20">
        <v>0</v>
      </c>
      <c r="AL65" s="20" t="s">
        <v>93</v>
      </c>
      <c r="AM65" s="20" t="s">
        <v>37</v>
      </c>
      <c r="AN65" s="15"/>
      <c r="AO65" s="15" t="s">
        <v>1624</v>
      </c>
      <c r="AP65" s="16">
        <v>1</v>
      </c>
      <c r="AQ65" s="16">
        <v>1</v>
      </c>
      <c r="AR65" s="15" t="s">
        <v>1749</v>
      </c>
      <c r="AS65" s="15" t="s">
        <v>128</v>
      </c>
      <c r="AT65" s="15">
        <v>0</v>
      </c>
      <c r="AU65" s="17">
        <v>0</v>
      </c>
      <c r="AV65" s="15" t="s">
        <v>84</v>
      </c>
      <c r="AW65" s="15">
        <v>0</v>
      </c>
      <c r="AX65" s="15" t="s">
        <v>93</v>
      </c>
      <c r="AY65" s="15" t="s">
        <v>37</v>
      </c>
      <c r="AZ65" s="18"/>
      <c r="BA65" s="18" t="s">
        <v>1750</v>
      </c>
      <c r="BB65" s="19">
        <v>1</v>
      </c>
      <c r="BC65" s="19">
        <v>1</v>
      </c>
      <c r="BD65" s="18" t="s">
        <v>84</v>
      </c>
      <c r="BE65" s="18">
        <v>0</v>
      </c>
      <c r="BF65" s="18" t="s">
        <v>93</v>
      </c>
      <c r="BG65" s="18" t="s">
        <v>37</v>
      </c>
      <c r="BH65" s="12"/>
      <c r="BI65" s="12" t="s">
        <v>1751</v>
      </c>
      <c r="BJ65" s="12">
        <v>1</v>
      </c>
      <c r="BK65" s="12">
        <v>1</v>
      </c>
      <c r="BL65" s="12" t="s">
        <v>84</v>
      </c>
      <c r="BM65" s="12">
        <v>0</v>
      </c>
      <c r="BN65" s="12" t="s">
        <v>93</v>
      </c>
      <c r="BO65" s="12" t="s">
        <v>37</v>
      </c>
      <c r="BP65" s="20"/>
      <c r="BQ65" s="20" t="s">
        <v>633</v>
      </c>
      <c r="BR65" s="20">
        <v>0</v>
      </c>
      <c r="BS65" s="20">
        <v>1</v>
      </c>
      <c r="BT65" s="20" t="s">
        <v>634</v>
      </c>
      <c r="BU65" s="20" t="s">
        <v>635</v>
      </c>
      <c r="BV65" s="20">
        <v>1</v>
      </c>
      <c r="BW65" s="20" t="s">
        <v>84</v>
      </c>
      <c r="BX65" s="20">
        <v>0</v>
      </c>
      <c r="BY65" s="20" t="s">
        <v>93</v>
      </c>
      <c r="BZ65" s="20" t="s">
        <v>37</v>
      </c>
    </row>
    <row r="66" spans="1:78">
      <c r="A66">
        <v>10065</v>
      </c>
      <c r="B66" s="12"/>
      <c r="C66" s="12" t="s">
        <v>1754</v>
      </c>
      <c r="D66" s="14">
        <v>1</v>
      </c>
      <c r="E66" s="14">
        <v>1</v>
      </c>
      <c r="F66" s="12" t="s">
        <v>1755</v>
      </c>
      <c r="G66" s="13">
        <v>3</v>
      </c>
      <c r="H66" s="12" t="s">
        <v>1756</v>
      </c>
      <c r="I66" s="12" t="s">
        <v>43</v>
      </c>
      <c r="J66" s="15"/>
      <c r="K66" s="15" t="s">
        <v>258</v>
      </c>
      <c r="L66" s="16">
        <v>1</v>
      </c>
      <c r="M66" s="16">
        <v>1</v>
      </c>
      <c r="N66" s="15" t="s">
        <v>1757</v>
      </c>
      <c r="O66" s="15" t="s">
        <v>1758</v>
      </c>
      <c r="P66" s="17">
        <v>2</v>
      </c>
      <c r="Q66" s="15" t="s">
        <v>52</v>
      </c>
      <c r="R66" s="15">
        <v>0.5</v>
      </c>
      <c r="S66" s="15" t="s">
        <v>1059</v>
      </c>
      <c r="T66" s="15" t="s">
        <v>43</v>
      </c>
      <c r="U66" s="18"/>
      <c r="V66" s="18" t="s">
        <v>263</v>
      </c>
      <c r="W66" s="19">
        <v>1</v>
      </c>
      <c r="X66" s="19">
        <v>1</v>
      </c>
      <c r="Y66" s="18" t="s">
        <v>1759</v>
      </c>
      <c r="Z66" s="18" t="s">
        <v>1760</v>
      </c>
      <c r="AA66" s="18">
        <v>0</v>
      </c>
      <c r="AB66" s="29" t="s">
        <v>68</v>
      </c>
      <c r="AC66" s="18">
        <v>0.5</v>
      </c>
      <c r="AD66" s="18" t="s">
        <v>1761</v>
      </c>
      <c r="AE66" s="18" t="s">
        <v>37</v>
      </c>
      <c r="AF66" s="20"/>
      <c r="AG66" s="20" t="s">
        <v>1105</v>
      </c>
      <c r="AH66" s="21">
        <v>1</v>
      </c>
      <c r="AI66" s="21">
        <v>1</v>
      </c>
      <c r="AJ66" s="20" t="s">
        <v>79</v>
      </c>
      <c r="AK66" s="20">
        <v>0</v>
      </c>
      <c r="AL66" s="20" t="s">
        <v>1059</v>
      </c>
      <c r="AM66" s="20" t="s">
        <v>43</v>
      </c>
      <c r="AN66" s="15"/>
      <c r="AO66" s="15" t="s">
        <v>1762</v>
      </c>
      <c r="AP66" s="16">
        <v>1</v>
      </c>
      <c r="AQ66" s="16">
        <v>1</v>
      </c>
      <c r="AR66" s="15" t="s">
        <v>1763</v>
      </c>
      <c r="AS66" s="15" t="s">
        <v>1764</v>
      </c>
      <c r="AT66" s="15">
        <v>2</v>
      </c>
      <c r="AU66" s="17">
        <v>3</v>
      </c>
      <c r="AV66" s="15" t="s">
        <v>62</v>
      </c>
      <c r="AW66" s="15">
        <v>1</v>
      </c>
      <c r="AX66" s="15" t="s">
        <v>174</v>
      </c>
      <c r="AY66" s="15" t="s">
        <v>37</v>
      </c>
      <c r="AZ66" s="18"/>
      <c r="BA66" s="18" t="s">
        <v>1765</v>
      </c>
      <c r="BB66" s="19">
        <v>1</v>
      </c>
      <c r="BC66" s="19">
        <v>1</v>
      </c>
      <c r="BD66" s="18" t="s">
        <v>81</v>
      </c>
      <c r="BE66" s="18">
        <v>0</v>
      </c>
      <c r="BF66" s="18" t="s">
        <v>1766</v>
      </c>
      <c r="BG66" s="18" t="s">
        <v>43</v>
      </c>
      <c r="BH66" s="12"/>
      <c r="BI66" s="12" t="s">
        <v>248</v>
      </c>
      <c r="BJ66" s="12">
        <v>1</v>
      </c>
      <c r="BK66" s="12">
        <v>1</v>
      </c>
      <c r="BL66" s="12" t="s">
        <v>3731</v>
      </c>
      <c r="BM66" s="12">
        <v>0.5</v>
      </c>
      <c r="BN66" s="12" t="s">
        <v>1059</v>
      </c>
      <c r="BO66" s="12" t="s">
        <v>43</v>
      </c>
      <c r="BP66" s="20"/>
      <c r="BQ66" s="20" t="s">
        <v>383</v>
      </c>
      <c r="BR66" s="20">
        <v>1</v>
      </c>
      <c r="BS66" s="20">
        <v>1</v>
      </c>
      <c r="BT66" s="20" t="s">
        <v>1767</v>
      </c>
      <c r="BU66" s="20" t="s">
        <v>1768</v>
      </c>
      <c r="BV66" s="20">
        <v>1</v>
      </c>
      <c r="BW66" s="20" t="s">
        <v>62</v>
      </c>
      <c r="BX66" s="20">
        <v>0</v>
      </c>
      <c r="BY66" s="20" t="s">
        <v>1059</v>
      </c>
      <c r="BZ66" s="20" t="s">
        <v>43</v>
      </c>
    </row>
    <row r="67" spans="1:78">
      <c r="A67">
        <v>10066</v>
      </c>
      <c r="B67" s="12"/>
      <c r="C67" s="12" t="s">
        <v>1769</v>
      </c>
      <c r="D67" s="14">
        <v>1</v>
      </c>
      <c r="E67" s="14">
        <v>1</v>
      </c>
      <c r="F67" s="12" t="s">
        <v>1770</v>
      </c>
      <c r="G67" s="13">
        <v>0</v>
      </c>
      <c r="H67" s="12" t="s">
        <v>1771</v>
      </c>
      <c r="I67" s="12" t="s">
        <v>99</v>
      </c>
      <c r="J67" s="15"/>
      <c r="K67" s="15" t="s">
        <v>1772</v>
      </c>
      <c r="L67" s="16">
        <v>0</v>
      </c>
      <c r="M67" s="16">
        <v>0</v>
      </c>
      <c r="N67" s="15" t="s">
        <v>1773</v>
      </c>
      <c r="O67" s="15" t="s">
        <v>1774</v>
      </c>
      <c r="P67" s="17">
        <v>2</v>
      </c>
      <c r="Q67" s="15" t="s">
        <v>1775</v>
      </c>
      <c r="R67" s="15">
        <v>0.5</v>
      </c>
      <c r="S67" s="15" t="s">
        <v>1776</v>
      </c>
      <c r="T67" s="15" t="s">
        <v>42</v>
      </c>
      <c r="U67" s="18"/>
      <c r="V67" s="18" t="s">
        <v>1777</v>
      </c>
      <c r="W67" s="18">
        <v>0</v>
      </c>
      <c r="X67" s="18">
        <v>1</v>
      </c>
      <c r="Y67" s="18" t="s">
        <v>1778</v>
      </c>
      <c r="Z67" s="18" t="s">
        <v>1779</v>
      </c>
      <c r="AA67" s="18">
        <v>0</v>
      </c>
      <c r="AB67" s="29" t="s">
        <v>1780</v>
      </c>
      <c r="AC67" s="18">
        <v>0.5</v>
      </c>
      <c r="AD67" s="18" t="s">
        <v>1781</v>
      </c>
      <c r="AE67" s="18" t="s">
        <v>43</v>
      </c>
      <c r="AF67" s="20"/>
      <c r="AG67" s="20" t="s">
        <v>1782</v>
      </c>
      <c r="AH67" s="21"/>
      <c r="AI67" s="21"/>
      <c r="AJ67" s="20" t="s">
        <v>1783</v>
      </c>
      <c r="AK67" s="20">
        <v>0</v>
      </c>
      <c r="AL67" s="20" t="s">
        <v>107</v>
      </c>
      <c r="AM67" s="20" t="s">
        <v>35</v>
      </c>
      <c r="AN67" s="15"/>
      <c r="AO67" s="15" t="s">
        <v>1784</v>
      </c>
      <c r="AP67" s="16">
        <v>1</v>
      </c>
      <c r="AQ67" s="16">
        <v>1</v>
      </c>
      <c r="AR67" s="15" t="s">
        <v>120</v>
      </c>
      <c r="AS67" s="15" t="s">
        <v>1785</v>
      </c>
      <c r="AT67" s="15">
        <v>1</v>
      </c>
      <c r="AU67" s="17">
        <v>0</v>
      </c>
      <c r="AV67" s="15" t="s">
        <v>1786</v>
      </c>
      <c r="AW67" s="15">
        <v>1</v>
      </c>
      <c r="AX67" s="15" t="s">
        <v>1787</v>
      </c>
      <c r="AY67" s="15" t="s">
        <v>37</v>
      </c>
      <c r="AZ67" s="18"/>
      <c r="BA67" s="18" t="s">
        <v>1788</v>
      </c>
      <c r="BB67" s="18">
        <v>1</v>
      </c>
      <c r="BC67" s="18">
        <v>0</v>
      </c>
      <c r="BD67" s="18" t="s">
        <v>1789</v>
      </c>
      <c r="BE67" s="18">
        <v>0</v>
      </c>
      <c r="BF67" s="18" t="s">
        <v>1790</v>
      </c>
      <c r="BG67" s="18" t="s">
        <v>37</v>
      </c>
      <c r="BH67" s="12"/>
      <c r="BI67" s="12" t="s">
        <v>2992</v>
      </c>
      <c r="BJ67" s="12">
        <v>1</v>
      </c>
      <c r="BK67" s="12">
        <v>0</v>
      </c>
      <c r="BL67" s="12" t="s">
        <v>47</v>
      </c>
      <c r="BM67" s="12">
        <v>0.5</v>
      </c>
      <c r="BN67" s="12" t="s">
        <v>72</v>
      </c>
      <c r="BO67" s="12" t="s">
        <v>35</v>
      </c>
      <c r="BP67" s="20"/>
      <c r="BQ67" s="20" t="s">
        <v>1012</v>
      </c>
      <c r="BR67" s="20">
        <v>0</v>
      </c>
      <c r="BS67" s="20">
        <v>1</v>
      </c>
      <c r="BT67" s="20" t="s">
        <v>1013</v>
      </c>
      <c r="BU67" s="20" t="s">
        <v>1014</v>
      </c>
      <c r="BV67" s="20">
        <v>1</v>
      </c>
      <c r="BW67" s="20" t="s">
        <v>1796</v>
      </c>
      <c r="BX67" s="20">
        <v>0</v>
      </c>
      <c r="BY67" s="20" t="s">
        <v>1797</v>
      </c>
      <c r="BZ67" s="20" t="s">
        <v>43</v>
      </c>
    </row>
    <row r="68" spans="1:78">
      <c r="A68">
        <v>10067</v>
      </c>
      <c r="B68" s="12"/>
      <c r="C68" s="12" t="s">
        <v>255</v>
      </c>
      <c r="D68" s="14">
        <v>1</v>
      </c>
      <c r="E68" s="14">
        <v>1</v>
      </c>
      <c r="F68" s="12" t="s">
        <v>1798</v>
      </c>
      <c r="G68" s="13">
        <v>1</v>
      </c>
      <c r="H68" s="12" t="s">
        <v>1799</v>
      </c>
      <c r="I68" s="12" t="s">
        <v>37</v>
      </c>
      <c r="J68" s="15"/>
      <c r="K68" s="15" t="s">
        <v>465</v>
      </c>
      <c r="L68" s="16">
        <v>1</v>
      </c>
      <c r="M68" s="16">
        <v>1</v>
      </c>
      <c r="N68" s="15" t="s">
        <v>1800</v>
      </c>
      <c r="O68" s="15" t="s">
        <v>1801</v>
      </c>
      <c r="P68" s="17">
        <v>0</v>
      </c>
      <c r="Q68" s="15" t="s">
        <v>1802</v>
      </c>
      <c r="R68" s="15">
        <v>0.5</v>
      </c>
      <c r="S68" s="15" t="s">
        <v>1803</v>
      </c>
      <c r="T68" s="15" t="s">
        <v>37</v>
      </c>
      <c r="U68" s="18"/>
      <c r="V68" s="18" t="s">
        <v>609</v>
      </c>
      <c r="W68" s="18">
        <v>1</v>
      </c>
      <c r="X68" s="18">
        <v>1</v>
      </c>
      <c r="Y68" s="18" t="s">
        <v>1804</v>
      </c>
      <c r="Z68" s="18" t="s">
        <v>1805</v>
      </c>
      <c r="AA68" s="18">
        <v>0</v>
      </c>
      <c r="AB68" s="29" t="s">
        <v>1806</v>
      </c>
      <c r="AC68" s="18">
        <v>0.5</v>
      </c>
      <c r="AD68" s="18" t="s">
        <v>1807</v>
      </c>
      <c r="AE68" s="18" t="s">
        <v>43</v>
      </c>
      <c r="AF68" s="20"/>
      <c r="AG68" s="20" t="s">
        <v>771</v>
      </c>
      <c r="AH68" s="21">
        <v>1</v>
      </c>
      <c r="AI68" s="21">
        <v>1</v>
      </c>
      <c r="AJ68" s="20" t="s">
        <v>1808</v>
      </c>
      <c r="AK68" s="20">
        <v>0</v>
      </c>
      <c r="AL68" s="20" t="s">
        <v>1809</v>
      </c>
      <c r="AM68" s="20" t="s">
        <v>37</v>
      </c>
      <c r="AN68" s="15"/>
      <c r="AO68" s="15" t="s">
        <v>1810</v>
      </c>
      <c r="AP68" s="16">
        <v>1</v>
      </c>
      <c r="AQ68" s="16">
        <v>1</v>
      </c>
      <c r="AR68" s="15" t="s">
        <v>1811</v>
      </c>
      <c r="AS68" s="15" t="s">
        <v>1812</v>
      </c>
      <c r="AT68" s="15">
        <v>3</v>
      </c>
      <c r="AU68" s="17">
        <v>0</v>
      </c>
      <c r="AV68" s="15" t="s">
        <v>84</v>
      </c>
      <c r="AW68" s="15">
        <v>0</v>
      </c>
      <c r="AX68" s="15" t="s">
        <v>1813</v>
      </c>
      <c r="AY68" s="15" t="s">
        <v>37</v>
      </c>
      <c r="AZ68" s="18"/>
      <c r="BA68" s="18" t="s">
        <v>1814</v>
      </c>
      <c r="BB68" s="19">
        <v>1</v>
      </c>
      <c r="BC68" s="19">
        <v>1</v>
      </c>
      <c r="BD68" s="18" t="s">
        <v>1815</v>
      </c>
      <c r="BE68" s="18">
        <v>0</v>
      </c>
      <c r="BF68" s="18" t="s">
        <v>1816</v>
      </c>
      <c r="BG68" s="18" t="s">
        <v>35</v>
      </c>
      <c r="BH68" s="12"/>
      <c r="BI68" s="12" t="s">
        <v>248</v>
      </c>
      <c r="BJ68" s="12">
        <v>1</v>
      </c>
      <c r="BK68" s="12">
        <v>1</v>
      </c>
      <c r="BL68" s="12" t="s">
        <v>3488</v>
      </c>
      <c r="BM68" s="12">
        <v>0.5</v>
      </c>
      <c r="BN68" s="12" t="s">
        <v>1818</v>
      </c>
      <c r="BO68" s="12" t="s">
        <v>67</v>
      </c>
      <c r="BP68" s="20"/>
      <c r="BQ68" s="20" t="s">
        <v>1345</v>
      </c>
      <c r="BR68" s="20">
        <v>1</v>
      </c>
      <c r="BS68" s="20">
        <v>1</v>
      </c>
      <c r="BT68" s="20" t="s">
        <v>1346</v>
      </c>
      <c r="BU68" s="20" t="s">
        <v>1347</v>
      </c>
      <c r="BV68" s="20">
        <v>3</v>
      </c>
      <c r="BW68" s="20" t="s">
        <v>84</v>
      </c>
      <c r="BX68" s="20">
        <v>0</v>
      </c>
      <c r="BY68" s="20" t="s">
        <v>1821</v>
      </c>
      <c r="BZ68" s="20" t="s">
        <v>43</v>
      </c>
    </row>
    <row r="69" spans="1:78">
      <c r="A69">
        <v>10068</v>
      </c>
      <c r="B69" s="12"/>
      <c r="C69" s="12" t="s">
        <v>1822</v>
      </c>
      <c r="D69" s="14">
        <v>1</v>
      </c>
      <c r="E69" s="14">
        <v>1</v>
      </c>
      <c r="F69" s="12" t="s">
        <v>1823</v>
      </c>
      <c r="G69" s="13">
        <v>2</v>
      </c>
      <c r="H69" s="12" t="s">
        <v>1824</v>
      </c>
      <c r="I69" s="12" t="s">
        <v>42</v>
      </c>
      <c r="J69" s="15"/>
      <c r="K69" s="15" t="s">
        <v>1825</v>
      </c>
      <c r="L69" s="16">
        <v>1</v>
      </c>
      <c r="M69" s="16">
        <v>0</v>
      </c>
      <c r="N69" s="15" t="s">
        <v>1826</v>
      </c>
      <c r="O69" s="15" t="s">
        <v>1827</v>
      </c>
      <c r="P69" s="17">
        <v>0</v>
      </c>
      <c r="Q69" s="15" t="s">
        <v>1604</v>
      </c>
      <c r="R69" s="15">
        <v>0.5</v>
      </c>
      <c r="S69" s="15" t="s">
        <v>1828</v>
      </c>
      <c r="T69" s="15" t="s">
        <v>35</v>
      </c>
      <c r="U69" s="18"/>
      <c r="V69" s="18" t="s">
        <v>1829</v>
      </c>
      <c r="W69" s="19">
        <v>1</v>
      </c>
      <c r="X69" s="19">
        <v>1</v>
      </c>
      <c r="Y69" s="18" t="s">
        <v>1830</v>
      </c>
      <c r="Z69" s="18" t="s">
        <v>1831</v>
      </c>
      <c r="AA69" s="18">
        <v>2</v>
      </c>
      <c r="AB69" s="29" t="s">
        <v>1832</v>
      </c>
      <c r="AC69" s="18">
        <v>0.5</v>
      </c>
      <c r="AD69" s="18" t="s">
        <v>1833</v>
      </c>
      <c r="AE69" s="18" t="s">
        <v>35</v>
      </c>
      <c r="AF69" s="20"/>
      <c r="AG69" s="20" t="s">
        <v>1834</v>
      </c>
      <c r="AH69" s="21">
        <v>1</v>
      </c>
      <c r="AI69" s="21">
        <v>1</v>
      </c>
      <c r="AJ69" s="20" t="s">
        <v>1835</v>
      </c>
      <c r="AK69" s="20">
        <v>0</v>
      </c>
      <c r="AL69" s="20" t="s">
        <v>1836</v>
      </c>
      <c r="AM69" s="20" t="s">
        <v>42</v>
      </c>
      <c r="AN69" s="15"/>
      <c r="AO69" s="15" t="s">
        <v>1837</v>
      </c>
      <c r="AP69" s="16">
        <v>1</v>
      </c>
      <c r="AQ69" s="16">
        <v>1</v>
      </c>
      <c r="AR69" s="15" t="s">
        <v>1838</v>
      </c>
      <c r="AS69" s="15" t="s">
        <v>1839</v>
      </c>
      <c r="AT69" s="15">
        <v>2</v>
      </c>
      <c r="AU69" s="17">
        <v>0</v>
      </c>
      <c r="AV69" s="15" t="s">
        <v>1840</v>
      </c>
      <c r="AW69" s="15">
        <v>0</v>
      </c>
      <c r="AX69" s="15" t="s">
        <v>1841</v>
      </c>
      <c r="AY69" s="15" t="s">
        <v>37</v>
      </c>
      <c r="AZ69" s="18"/>
      <c r="BA69" s="18" t="s">
        <v>1842</v>
      </c>
      <c r="BB69" s="19">
        <v>0</v>
      </c>
      <c r="BC69" s="19">
        <v>0</v>
      </c>
      <c r="BD69" s="18" t="s">
        <v>115</v>
      </c>
      <c r="BE69" s="18">
        <v>0</v>
      </c>
      <c r="BF69" s="18" t="s">
        <v>1843</v>
      </c>
      <c r="BG69" s="18" t="s">
        <v>42</v>
      </c>
      <c r="BH69" s="12"/>
      <c r="BI69" s="12" t="s">
        <v>328</v>
      </c>
      <c r="BJ69" s="12">
        <v>1</v>
      </c>
      <c r="BK69" s="12">
        <v>1</v>
      </c>
      <c r="BL69" s="12" t="s">
        <v>1502</v>
      </c>
      <c r="BM69" s="12">
        <v>0.5</v>
      </c>
      <c r="BN69" s="12" t="s">
        <v>1846</v>
      </c>
      <c r="BO69" s="12" t="s">
        <v>37</v>
      </c>
      <c r="BP69" s="20"/>
      <c r="BQ69" s="20" t="s">
        <v>2650</v>
      </c>
      <c r="BR69" s="20">
        <v>1</v>
      </c>
      <c r="BS69" s="20">
        <v>1</v>
      </c>
      <c r="BT69" s="20" t="s">
        <v>2651</v>
      </c>
      <c r="BU69" s="20" t="s">
        <v>2652</v>
      </c>
      <c r="BV69" s="20">
        <v>1</v>
      </c>
      <c r="BW69" s="20" t="s">
        <v>1850</v>
      </c>
      <c r="BX69" s="20">
        <v>0</v>
      </c>
      <c r="BY69" s="20" t="s">
        <v>1851</v>
      </c>
      <c r="BZ69" s="20" t="s">
        <v>35</v>
      </c>
    </row>
    <row r="70" spans="1:78">
      <c r="A70">
        <v>10069</v>
      </c>
      <c r="B70" s="12"/>
      <c r="C70" s="12" t="s">
        <v>760</v>
      </c>
      <c r="D70" s="14">
        <v>1</v>
      </c>
      <c r="E70" s="14">
        <v>1</v>
      </c>
      <c r="F70" s="12" t="s">
        <v>1852</v>
      </c>
      <c r="G70" s="13">
        <v>3</v>
      </c>
      <c r="H70" s="12" t="s">
        <v>1853</v>
      </c>
      <c r="I70" s="12" t="s">
        <v>37</v>
      </c>
      <c r="J70" s="15"/>
      <c r="K70" s="15" t="s">
        <v>230</v>
      </c>
      <c r="L70" s="16">
        <v>1</v>
      </c>
      <c r="M70" s="16">
        <v>1</v>
      </c>
      <c r="N70" s="15" t="s">
        <v>1854</v>
      </c>
      <c r="O70" s="15" t="s">
        <v>1855</v>
      </c>
      <c r="P70" s="17">
        <v>1</v>
      </c>
      <c r="Q70" s="15" t="s">
        <v>1856</v>
      </c>
      <c r="R70" s="15">
        <v>0.5</v>
      </c>
      <c r="S70" s="15" t="s">
        <v>1857</v>
      </c>
      <c r="T70" s="15" t="s">
        <v>37</v>
      </c>
      <c r="U70" s="18"/>
      <c r="V70" s="18" t="s">
        <v>565</v>
      </c>
      <c r="W70" s="18">
        <v>1</v>
      </c>
      <c r="X70" s="18">
        <v>1</v>
      </c>
      <c r="Y70" s="18" t="s">
        <v>1858</v>
      </c>
      <c r="Z70" s="18" t="s">
        <v>1859</v>
      </c>
      <c r="AA70" s="18">
        <v>1</v>
      </c>
      <c r="AB70" s="29" t="s">
        <v>1860</v>
      </c>
      <c r="AC70" s="18">
        <v>0</v>
      </c>
      <c r="AD70" s="18" t="s">
        <v>1861</v>
      </c>
      <c r="AE70" s="18" t="s">
        <v>37</v>
      </c>
      <c r="AF70" s="20"/>
      <c r="AG70" s="20" t="s">
        <v>612</v>
      </c>
      <c r="AH70" s="21">
        <v>1</v>
      </c>
      <c r="AI70" s="21">
        <v>1</v>
      </c>
      <c r="AJ70" s="20" t="s">
        <v>206</v>
      </c>
      <c r="AK70" s="20">
        <v>0</v>
      </c>
      <c r="AL70" s="20" t="s">
        <v>150</v>
      </c>
      <c r="AM70" s="20" t="s">
        <v>37</v>
      </c>
      <c r="AN70" s="15"/>
      <c r="AO70" s="15" t="s">
        <v>450</v>
      </c>
      <c r="AP70" s="16">
        <v>1</v>
      </c>
      <c r="AQ70" s="16">
        <v>1</v>
      </c>
      <c r="AR70" s="15" t="s">
        <v>1862</v>
      </c>
      <c r="AS70" s="15" t="s">
        <v>154</v>
      </c>
      <c r="AT70" s="15">
        <v>0</v>
      </c>
      <c r="AU70" s="17">
        <v>0</v>
      </c>
      <c r="AV70" s="15" t="s">
        <v>187</v>
      </c>
      <c r="AW70" s="15">
        <v>1</v>
      </c>
      <c r="AX70" s="15" t="s">
        <v>150</v>
      </c>
      <c r="AY70" s="15" t="s">
        <v>37</v>
      </c>
      <c r="AZ70" s="18"/>
      <c r="BA70" s="18" t="s">
        <v>1863</v>
      </c>
      <c r="BB70" s="19">
        <v>1</v>
      </c>
      <c r="BC70" s="19">
        <v>1</v>
      </c>
      <c r="BD70" s="18" t="s">
        <v>206</v>
      </c>
      <c r="BE70" s="18">
        <v>0</v>
      </c>
      <c r="BF70" s="18" t="s">
        <v>1864</v>
      </c>
      <c r="BG70" s="18" t="s">
        <v>35</v>
      </c>
      <c r="BH70" s="12"/>
      <c r="BI70" s="12" t="s">
        <v>1456</v>
      </c>
      <c r="BJ70" s="12">
        <v>1</v>
      </c>
      <c r="BK70" s="12">
        <v>1</v>
      </c>
      <c r="BL70" s="12" t="s">
        <v>123</v>
      </c>
      <c r="BM70" s="12">
        <v>0.5</v>
      </c>
      <c r="BN70" s="12" t="s">
        <v>150</v>
      </c>
      <c r="BO70" s="12" t="s">
        <v>37</v>
      </c>
      <c r="BP70" s="20"/>
      <c r="BQ70" s="20" t="s">
        <v>1429</v>
      </c>
      <c r="BR70" s="20">
        <v>1</v>
      </c>
      <c r="BS70" s="20">
        <v>1</v>
      </c>
      <c r="BT70" s="20" t="s">
        <v>1430</v>
      </c>
      <c r="BU70" s="20" t="s">
        <v>1431</v>
      </c>
      <c r="BV70" s="20">
        <v>3</v>
      </c>
      <c r="BW70" s="20" t="s">
        <v>149</v>
      </c>
      <c r="BX70" s="20">
        <v>0</v>
      </c>
      <c r="BY70" s="20" t="s">
        <v>150</v>
      </c>
      <c r="BZ70" s="20" t="s">
        <v>37</v>
      </c>
    </row>
    <row r="71" spans="1:78">
      <c r="A71">
        <v>10070</v>
      </c>
      <c r="B71" s="12"/>
      <c r="C71" s="12" t="s">
        <v>1868</v>
      </c>
      <c r="D71" s="14">
        <v>1</v>
      </c>
      <c r="E71" s="14">
        <v>1</v>
      </c>
      <c r="F71" s="12" t="s">
        <v>1869</v>
      </c>
      <c r="G71" s="13">
        <v>1</v>
      </c>
      <c r="H71" s="12" t="s">
        <v>1870</v>
      </c>
      <c r="I71" s="12" t="s">
        <v>42</v>
      </c>
      <c r="J71" s="15"/>
      <c r="K71" s="15" t="s">
        <v>465</v>
      </c>
      <c r="L71" s="16">
        <v>1</v>
      </c>
      <c r="M71" s="16">
        <v>1</v>
      </c>
      <c r="N71" s="15" t="s">
        <v>1871</v>
      </c>
      <c r="O71" s="15" t="s">
        <v>1872</v>
      </c>
      <c r="P71" s="17">
        <v>1</v>
      </c>
      <c r="Q71" s="15" t="s">
        <v>1873</v>
      </c>
      <c r="R71" s="15">
        <v>0.5</v>
      </c>
      <c r="S71" s="15" t="s">
        <v>1874</v>
      </c>
      <c r="T71" s="15" t="s">
        <v>35</v>
      </c>
      <c r="U71" s="18"/>
      <c r="V71" s="18" t="s">
        <v>712</v>
      </c>
      <c r="W71" s="19">
        <v>1</v>
      </c>
      <c r="X71" s="19">
        <v>1</v>
      </c>
      <c r="Y71" s="18" t="s">
        <v>1875</v>
      </c>
      <c r="Z71" s="18" t="s">
        <v>1876</v>
      </c>
      <c r="AA71" s="18">
        <v>1</v>
      </c>
      <c r="AB71" s="29" t="s">
        <v>1877</v>
      </c>
      <c r="AC71" s="18">
        <v>0.5</v>
      </c>
      <c r="AD71" s="18" t="s">
        <v>1878</v>
      </c>
      <c r="AE71" s="18" t="s">
        <v>42</v>
      </c>
      <c r="AF71" s="20"/>
      <c r="AG71" s="20" t="s">
        <v>267</v>
      </c>
      <c r="AH71" s="21">
        <v>1</v>
      </c>
      <c r="AI71" s="21">
        <v>1</v>
      </c>
      <c r="AJ71" s="20" t="s">
        <v>1879</v>
      </c>
      <c r="AK71" s="20">
        <v>0</v>
      </c>
      <c r="AL71" s="20" t="s">
        <v>1880</v>
      </c>
      <c r="AM71" s="20" t="s">
        <v>35</v>
      </c>
      <c r="AN71" s="15"/>
      <c r="AO71" s="15" t="s">
        <v>1881</v>
      </c>
      <c r="AP71" s="16">
        <v>1</v>
      </c>
      <c r="AQ71" s="16">
        <v>1</v>
      </c>
      <c r="AR71" s="15" t="s">
        <v>97</v>
      </c>
      <c r="AS71" s="15" t="s">
        <v>1882</v>
      </c>
      <c r="AT71" s="15">
        <v>1</v>
      </c>
      <c r="AU71" s="17">
        <v>0</v>
      </c>
      <c r="AV71" s="15" t="s">
        <v>41</v>
      </c>
      <c r="AW71" s="15">
        <v>1</v>
      </c>
      <c r="AX71" s="15" t="s">
        <v>1883</v>
      </c>
      <c r="AY71" s="15" t="s">
        <v>35</v>
      </c>
      <c r="AZ71" s="18"/>
      <c r="BA71" s="18" t="s">
        <v>1884</v>
      </c>
      <c r="BB71" s="19">
        <v>1</v>
      </c>
      <c r="BC71" s="19">
        <v>1</v>
      </c>
      <c r="BD71" s="18" t="s">
        <v>61</v>
      </c>
      <c r="BE71" s="18">
        <v>0</v>
      </c>
      <c r="BF71" s="18" t="s">
        <v>1885</v>
      </c>
      <c r="BG71" s="18" t="s">
        <v>35</v>
      </c>
      <c r="BH71" s="12"/>
      <c r="BI71" s="12" t="s">
        <v>248</v>
      </c>
      <c r="BJ71" s="12">
        <v>1</v>
      </c>
      <c r="BK71" s="12">
        <v>1</v>
      </c>
      <c r="BL71" s="12" t="s">
        <v>3550</v>
      </c>
      <c r="BM71" s="12">
        <v>0.5</v>
      </c>
      <c r="BN71" s="12" t="s">
        <v>1888</v>
      </c>
      <c r="BO71" s="12" t="s">
        <v>35</v>
      </c>
      <c r="BP71" s="20"/>
      <c r="BQ71" s="20" t="s">
        <v>363</v>
      </c>
      <c r="BR71" s="20">
        <v>0</v>
      </c>
      <c r="BS71" s="20">
        <v>1</v>
      </c>
      <c r="BT71" s="20" t="s">
        <v>364</v>
      </c>
      <c r="BU71" s="20" t="s">
        <v>365</v>
      </c>
      <c r="BV71" s="20">
        <v>1</v>
      </c>
      <c r="BW71" s="20" t="s">
        <v>109</v>
      </c>
      <c r="BX71" s="20">
        <v>0</v>
      </c>
      <c r="BY71" s="20" t="s">
        <v>1891</v>
      </c>
      <c r="BZ71" s="20" t="s">
        <v>35</v>
      </c>
    </row>
    <row r="72" spans="1:78">
      <c r="A72">
        <v>10071</v>
      </c>
      <c r="B72" s="12"/>
      <c r="C72" s="12" t="s">
        <v>228</v>
      </c>
      <c r="D72" s="14">
        <v>1</v>
      </c>
      <c r="E72" s="14">
        <v>1</v>
      </c>
      <c r="F72" s="12" t="s">
        <v>1892</v>
      </c>
      <c r="G72" s="13">
        <v>0</v>
      </c>
      <c r="H72" s="12" t="s">
        <v>1893</v>
      </c>
      <c r="I72" s="12" t="s">
        <v>35</v>
      </c>
      <c r="J72" s="15"/>
      <c r="K72" s="15" t="s">
        <v>230</v>
      </c>
      <c r="L72" s="16">
        <v>1</v>
      </c>
      <c r="M72" s="16">
        <v>1</v>
      </c>
      <c r="N72" s="15" t="s">
        <v>1894</v>
      </c>
      <c r="O72" s="15" t="s">
        <v>1895</v>
      </c>
      <c r="P72" s="17">
        <v>1</v>
      </c>
      <c r="Q72" s="15" t="s">
        <v>141</v>
      </c>
      <c r="R72" s="15">
        <v>0</v>
      </c>
      <c r="S72" s="15" t="s">
        <v>1896</v>
      </c>
      <c r="T72" s="15" t="s">
        <v>35</v>
      </c>
      <c r="U72" s="18"/>
      <c r="V72" s="18" t="s">
        <v>1231</v>
      </c>
      <c r="W72" s="19">
        <v>1</v>
      </c>
      <c r="X72" s="19">
        <v>1</v>
      </c>
      <c r="Y72" s="18" t="s">
        <v>1897</v>
      </c>
      <c r="Z72" s="18" t="s">
        <v>1898</v>
      </c>
      <c r="AA72" s="18">
        <v>0</v>
      </c>
      <c r="AB72" s="29" t="s">
        <v>1850</v>
      </c>
      <c r="AC72" s="18">
        <v>0.5</v>
      </c>
      <c r="AD72" s="18" t="s">
        <v>1899</v>
      </c>
      <c r="AE72" s="18" t="s">
        <v>35</v>
      </c>
      <c r="AF72" s="20"/>
      <c r="AG72" s="20" t="s">
        <v>238</v>
      </c>
      <c r="AH72" s="21">
        <v>1</v>
      </c>
      <c r="AI72" s="21">
        <v>1</v>
      </c>
      <c r="AJ72" s="20" t="s">
        <v>1900</v>
      </c>
      <c r="AK72" s="20">
        <v>0</v>
      </c>
      <c r="AL72" s="20" t="s">
        <v>1901</v>
      </c>
      <c r="AM72" s="20" t="s">
        <v>35</v>
      </c>
      <c r="AN72" s="15"/>
      <c r="AO72" s="15" t="s">
        <v>1902</v>
      </c>
      <c r="AP72" s="16">
        <v>1</v>
      </c>
      <c r="AQ72" s="16">
        <v>1</v>
      </c>
      <c r="AR72" s="15" t="s">
        <v>1903</v>
      </c>
      <c r="AS72" s="15" t="s">
        <v>1904</v>
      </c>
      <c r="AT72" s="15">
        <v>2</v>
      </c>
      <c r="AU72" s="17">
        <v>2</v>
      </c>
      <c r="AV72" s="15" t="s">
        <v>141</v>
      </c>
      <c r="AW72" s="15">
        <v>1</v>
      </c>
      <c r="AX72" s="15" t="s">
        <v>1905</v>
      </c>
      <c r="AY72" s="15" t="s">
        <v>37</v>
      </c>
      <c r="AZ72" s="18"/>
      <c r="BA72" s="18" t="s">
        <v>1906</v>
      </c>
      <c r="BB72" s="19">
        <v>1</v>
      </c>
      <c r="BC72" s="19">
        <v>1</v>
      </c>
      <c r="BD72" s="18" t="s">
        <v>81</v>
      </c>
      <c r="BE72" s="18">
        <v>0</v>
      </c>
      <c r="BF72" s="18" t="s">
        <v>1907</v>
      </c>
      <c r="BG72" s="18" t="s">
        <v>35</v>
      </c>
      <c r="BH72" s="12"/>
      <c r="BI72" s="12" t="s">
        <v>652</v>
      </c>
      <c r="BJ72" s="12">
        <v>1</v>
      </c>
      <c r="BK72" s="12">
        <v>1</v>
      </c>
      <c r="BL72" s="12" t="s">
        <v>2066</v>
      </c>
      <c r="BM72" s="12">
        <v>0.5</v>
      </c>
      <c r="BN72" s="12" t="s">
        <v>93</v>
      </c>
      <c r="BO72" s="12" t="s">
        <v>37</v>
      </c>
      <c r="BP72" s="20"/>
      <c r="BQ72" s="20" t="s">
        <v>1140</v>
      </c>
      <c r="BR72" s="20">
        <v>1</v>
      </c>
      <c r="BS72" s="20">
        <v>1</v>
      </c>
      <c r="BT72" s="20" t="s">
        <v>1141</v>
      </c>
      <c r="BU72" s="20" t="s">
        <v>1129</v>
      </c>
      <c r="BV72" s="20">
        <v>0</v>
      </c>
      <c r="BW72" s="20" t="s">
        <v>158</v>
      </c>
      <c r="BX72" s="20">
        <v>0</v>
      </c>
      <c r="BY72" s="20" t="s">
        <v>1912</v>
      </c>
      <c r="BZ72" s="20" t="s">
        <v>35</v>
      </c>
    </row>
    <row r="73" spans="1:78">
      <c r="A73">
        <v>10072</v>
      </c>
      <c r="B73" s="12"/>
      <c r="C73" s="12" t="s">
        <v>1913</v>
      </c>
      <c r="D73" s="14">
        <v>1</v>
      </c>
      <c r="E73" s="14">
        <v>1</v>
      </c>
      <c r="F73" s="12" t="s">
        <v>1914</v>
      </c>
      <c r="G73" s="13">
        <v>3</v>
      </c>
      <c r="H73" s="12" t="s">
        <v>1915</v>
      </c>
      <c r="I73" s="12" t="s">
        <v>43</v>
      </c>
      <c r="J73" s="15"/>
      <c r="K73" s="15" t="s">
        <v>1916</v>
      </c>
      <c r="L73" s="15">
        <v>1</v>
      </c>
      <c r="M73" s="15">
        <v>0</v>
      </c>
      <c r="N73" s="15" t="s">
        <v>1917</v>
      </c>
      <c r="O73" s="15" t="s">
        <v>1918</v>
      </c>
      <c r="P73" s="17">
        <v>1</v>
      </c>
      <c r="Q73" s="15" t="s">
        <v>52</v>
      </c>
      <c r="R73" s="15">
        <v>0.5</v>
      </c>
      <c r="S73" s="15" t="s">
        <v>1919</v>
      </c>
      <c r="T73" s="15" t="s">
        <v>42</v>
      </c>
      <c r="U73" s="18"/>
      <c r="V73" s="18" t="s">
        <v>1920</v>
      </c>
      <c r="W73" s="19">
        <v>1</v>
      </c>
      <c r="X73" s="19">
        <v>1</v>
      </c>
      <c r="Y73" s="18" t="s">
        <v>1921</v>
      </c>
      <c r="Z73" s="18" t="s">
        <v>1922</v>
      </c>
      <c r="AA73" s="18">
        <v>2</v>
      </c>
      <c r="AB73" s="29" t="s">
        <v>109</v>
      </c>
      <c r="AC73" s="18">
        <v>0</v>
      </c>
      <c r="AD73" s="18" t="s">
        <v>1923</v>
      </c>
      <c r="AE73" s="18" t="s">
        <v>37</v>
      </c>
      <c r="AF73" s="20"/>
      <c r="AG73" s="20" t="s">
        <v>1924</v>
      </c>
      <c r="AH73" s="21">
        <v>1</v>
      </c>
      <c r="AI73" s="21">
        <v>1</v>
      </c>
      <c r="AJ73" s="20" t="s">
        <v>59</v>
      </c>
      <c r="AK73" s="20">
        <v>0</v>
      </c>
      <c r="AL73" s="20" t="s">
        <v>1925</v>
      </c>
      <c r="AM73" s="20" t="s">
        <v>37</v>
      </c>
      <c r="AN73" s="15"/>
      <c r="AO73" s="15" t="s">
        <v>1926</v>
      </c>
      <c r="AP73" s="16">
        <v>1</v>
      </c>
      <c r="AQ73" s="16">
        <v>1</v>
      </c>
      <c r="AR73" s="15" t="s">
        <v>1927</v>
      </c>
      <c r="AS73" s="15" t="s">
        <v>97</v>
      </c>
      <c r="AT73" s="15">
        <v>1</v>
      </c>
      <c r="AU73" s="17">
        <v>0</v>
      </c>
      <c r="AV73" s="15" t="s">
        <v>41</v>
      </c>
      <c r="AW73" s="15">
        <v>1</v>
      </c>
      <c r="AX73" s="15" t="s">
        <v>1928</v>
      </c>
      <c r="AY73" s="15" t="s">
        <v>43</v>
      </c>
      <c r="AZ73" s="18"/>
      <c r="BA73" s="18" t="s">
        <v>1929</v>
      </c>
      <c r="BB73" s="19">
        <v>1</v>
      </c>
      <c r="BC73" s="19">
        <v>1</v>
      </c>
      <c r="BD73" s="18" t="s">
        <v>81</v>
      </c>
      <c r="BE73" s="18">
        <v>0</v>
      </c>
      <c r="BF73" s="18" t="s">
        <v>1930</v>
      </c>
      <c r="BG73" s="18" t="s">
        <v>42</v>
      </c>
      <c r="BH73" s="12"/>
      <c r="BI73" s="12" t="s">
        <v>248</v>
      </c>
      <c r="BJ73" s="12">
        <v>1</v>
      </c>
      <c r="BK73" s="12">
        <v>1</v>
      </c>
      <c r="BL73" s="12" t="s">
        <v>62</v>
      </c>
      <c r="BM73" s="12">
        <v>0</v>
      </c>
      <c r="BN73" s="12" t="s">
        <v>107</v>
      </c>
      <c r="BO73" s="12" t="s">
        <v>35</v>
      </c>
      <c r="BP73" s="20"/>
      <c r="BQ73" s="20" t="s">
        <v>250</v>
      </c>
      <c r="BR73" s="20">
        <v>1</v>
      </c>
      <c r="BS73" s="20">
        <v>1</v>
      </c>
      <c r="BT73" s="20" t="s">
        <v>135</v>
      </c>
      <c r="BU73" s="20" t="s">
        <v>132</v>
      </c>
      <c r="BV73" s="20">
        <v>0</v>
      </c>
      <c r="BW73" s="20" t="s">
        <v>109</v>
      </c>
      <c r="BX73" s="20">
        <v>0</v>
      </c>
      <c r="BY73" s="20" t="s">
        <v>107</v>
      </c>
      <c r="BZ73" s="20" t="s">
        <v>35</v>
      </c>
    </row>
    <row r="74" spans="1:78">
      <c r="A74">
        <v>10073</v>
      </c>
      <c r="B74" s="12"/>
      <c r="C74" s="12" t="s">
        <v>1935</v>
      </c>
      <c r="D74" s="14">
        <v>1</v>
      </c>
      <c r="E74" s="14">
        <v>1</v>
      </c>
      <c r="F74" s="12" t="s">
        <v>1936</v>
      </c>
      <c r="G74" s="13">
        <v>3</v>
      </c>
      <c r="H74" s="12" t="s">
        <v>1937</v>
      </c>
      <c r="I74" s="12" t="s">
        <v>35</v>
      </c>
      <c r="J74" s="15"/>
      <c r="K74" s="15" t="s">
        <v>1938</v>
      </c>
      <c r="L74" s="16">
        <v>1</v>
      </c>
      <c r="M74" s="16">
        <v>1</v>
      </c>
      <c r="N74" s="15" t="s">
        <v>1939</v>
      </c>
      <c r="O74" s="15" t="s">
        <v>1940</v>
      </c>
      <c r="P74" s="17">
        <v>3</v>
      </c>
      <c r="Q74" s="15" t="s">
        <v>608</v>
      </c>
      <c r="R74" s="15">
        <v>0.5</v>
      </c>
      <c r="S74" s="15" t="s">
        <v>1941</v>
      </c>
      <c r="T74" s="15" t="s">
        <v>43</v>
      </c>
      <c r="U74" s="18"/>
      <c r="V74" s="18" t="s">
        <v>1942</v>
      </c>
      <c r="W74" s="19">
        <v>1</v>
      </c>
      <c r="X74" s="19">
        <v>1</v>
      </c>
      <c r="Y74" s="18" t="s">
        <v>1943</v>
      </c>
      <c r="Z74" s="18" t="s">
        <v>1944</v>
      </c>
      <c r="AA74" s="18">
        <v>1</v>
      </c>
      <c r="AB74" s="29" t="s">
        <v>1945</v>
      </c>
      <c r="AC74" s="18">
        <v>0.5</v>
      </c>
      <c r="AD74" s="18" t="s">
        <v>1946</v>
      </c>
      <c r="AE74" s="18" t="s">
        <v>35</v>
      </c>
      <c r="AF74" s="20"/>
      <c r="AG74" s="20" t="s">
        <v>1947</v>
      </c>
      <c r="AH74" s="21">
        <v>1</v>
      </c>
      <c r="AI74" s="21">
        <v>1</v>
      </c>
      <c r="AJ74" s="20" t="s">
        <v>1948</v>
      </c>
      <c r="AK74" s="20">
        <v>0</v>
      </c>
      <c r="AL74" s="20" t="s">
        <v>1949</v>
      </c>
      <c r="AM74" s="20" t="s">
        <v>37</v>
      </c>
      <c r="AN74" s="15"/>
      <c r="AO74" s="15" t="s">
        <v>1902</v>
      </c>
      <c r="AP74" s="16">
        <v>1</v>
      </c>
      <c r="AQ74" s="16">
        <v>1</v>
      </c>
      <c r="AR74" s="15" t="s">
        <v>1950</v>
      </c>
      <c r="AS74" s="15" t="s">
        <v>1951</v>
      </c>
      <c r="AT74" s="15">
        <v>3</v>
      </c>
      <c r="AU74" s="17">
        <v>0</v>
      </c>
      <c r="AV74" s="15" t="s">
        <v>1952</v>
      </c>
      <c r="AW74" s="15">
        <v>1</v>
      </c>
      <c r="AX74" s="15" t="s">
        <v>1953</v>
      </c>
      <c r="AY74" s="15" t="s">
        <v>37</v>
      </c>
      <c r="AZ74" s="18"/>
      <c r="BA74" s="18" t="s">
        <v>1954</v>
      </c>
      <c r="BB74" s="19">
        <v>1</v>
      </c>
      <c r="BC74" s="19">
        <v>1</v>
      </c>
      <c r="BD74" s="18" t="s">
        <v>1955</v>
      </c>
      <c r="BE74" s="18">
        <v>0</v>
      </c>
      <c r="BF74" s="18" t="s">
        <v>1956</v>
      </c>
      <c r="BG74" s="18" t="s">
        <v>35</v>
      </c>
      <c r="BH74" s="12"/>
      <c r="BI74" s="12" t="s">
        <v>1530</v>
      </c>
      <c r="BJ74" s="12">
        <v>1</v>
      </c>
      <c r="BK74" s="12">
        <v>1</v>
      </c>
      <c r="BL74" s="12" t="s">
        <v>1531</v>
      </c>
      <c r="BM74" s="12">
        <v>1</v>
      </c>
      <c r="BN74" s="12" t="s">
        <v>1959</v>
      </c>
      <c r="BO74" s="12" t="s">
        <v>43</v>
      </c>
      <c r="BP74" s="20"/>
      <c r="BQ74" s="20" t="s">
        <v>1560</v>
      </c>
      <c r="BR74" s="20">
        <v>1</v>
      </c>
      <c r="BS74" s="20">
        <v>1</v>
      </c>
      <c r="BT74" s="20" t="s">
        <v>1561</v>
      </c>
      <c r="BU74" s="20" t="s">
        <v>1562</v>
      </c>
      <c r="BV74" s="20">
        <v>0</v>
      </c>
      <c r="BW74" s="20" t="s">
        <v>1963</v>
      </c>
      <c r="BX74" s="20">
        <v>0</v>
      </c>
      <c r="BY74" s="20" t="s">
        <v>1964</v>
      </c>
      <c r="BZ74" s="20" t="s">
        <v>43</v>
      </c>
    </row>
    <row r="75" spans="1:78">
      <c r="A75">
        <v>10074</v>
      </c>
      <c r="B75" s="12"/>
      <c r="C75" s="12" t="s">
        <v>1965</v>
      </c>
      <c r="D75" s="14">
        <v>1</v>
      </c>
      <c r="E75" s="14">
        <v>1</v>
      </c>
      <c r="F75" s="12" t="s">
        <v>1966</v>
      </c>
      <c r="G75" s="13">
        <v>3</v>
      </c>
      <c r="H75" s="12" t="s">
        <v>1967</v>
      </c>
      <c r="I75" s="12" t="s">
        <v>43</v>
      </c>
      <c r="J75" s="15"/>
      <c r="K75" s="15" t="s">
        <v>1968</v>
      </c>
      <c r="L75" s="16">
        <v>1</v>
      </c>
      <c r="M75" s="16">
        <v>1</v>
      </c>
      <c r="N75" s="15" t="s">
        <v>1969</v>
      </c>
      <c r="O75" s="15" t="s">
        <v>1970</v>
      </c>
      <c r="P75" s="17">
        <v>1</v>
      </c>
      <c r="Q75" s="15" t="s">
        <v>1971</v>
      </c>
      <c r="R75" s="15">
        <v>1</v>
      </c>
      <c r="S75" s="15" t="s">
        <v>1972</v>
      </c>
      <c r="T75" s="15" t="s">
        <v>36</v>
      </c>
      <c r="U75" s="18"/>
      <c r="V75" s="18" t="s">
        <v>1973</v>
      </c>
      <c r="W75" s="18">
        <v>1</v>
      </c>
      <c r="X75" s="18">
        <v>1</v>
      </c>
      <c r="Y75" s="18" t="s">
        <v>1974</v>
      </c>
      <c r="Z75" s="18" t="s">
        <v>1975</v>
      </c>
      <c r="AA75" s="18">
        <v>0</v>
      </c>
      <c r="AB75" s="29" t="s">
        <v>141</v>
      </c>
      <c r="AC75" s="18">
        <v>0</v>
      </c>
      <c r="AD75" s="18" t="s">
        <v>1976</v>
      </c>
      <c r="AE75" s="18" t="s">
        <v>43</v>
      </c>
      <c r="AF75" s="20"/>
      <c r="AG75" s="20" t="s">
        <v>1977</v>
      </c>
      <c r="AH75" s="21">
        <v>1</v>
      </c>
      <c r="AI75" s="21">
        <v>1</v>
      </c>
      <c r="AJ75" s="20" t="s">
        <v>1978</v>
      </c>
      <c r="AK75" s="20">
        <v>1</v>
      </c>
      <c r="AL75" s="20" t="s">
        <v>1979</v>
      </c>
      <c r="AM75" s="20" t="s">
        <v>43</v>
      </c>
      <c r="AN75" s="15"/>
      <c r="AO75" s="15" t="s">
        <v>1980</v>
      </c>
      <c r="AP75" s="16">
        <v>1</v>
      </c>
      <c r="AQ75" s="16">
        <v>1</v>
      </c>
      <c r="AR75" s="15" t="s">
        <v>1981</v>
      </c>
      <c r="AS75" s="15" t="s">
        <v>1982</v>
      </c>
      <c r="AT75" s="15">
        <v>3</v>
      </c>
      <c r="AU75" s="17">
        <v>1</v>
      </c>
      <c r="AV75" s="15" t="s">
        <v>140</v>
      </c>
      <c r="AW75" s="15">
        <v>1</v>
      </c>
      <c r="AX75" s="15" t="s">
        <v>1983</v>
      </c>
      <c r="AY75" s="15" t="s">
        <v>43</v>
      </c>
      <c r="AZ75" s="18"/>
      <c r="BA75" s="18" t="s">
        <v>1984</v>
      </c>
      <c r="BB75" s="19">
        <v>1</v>
      </c>
      <c r="BC75" s="19">
        <v>1</v>
      </c>
      <c r="BD75" s="18" t="s">
        <v>1985</v>
      </c>
      <c r="BE75" s="18">
        <v>1</v>
      </c>
      <c r="BF75" s="18" t="s">
        <v>1986</v>
      </c>
      <c r="BG75" s="18" t="s">
        <v>37</v>
      </c>
      <c r="BH75" s="12"/>
      <c r="BI75" s="12" t="s">
        <v>248</v>
      </c>
      <c r="BJ75" s="12">
        <v>1</v>
      </c>
      <c r="BK75" s="12">
        <v>1</v>
      </c>
      <c r="BL75" s="12" t="s">
        <v>2606</v>
      </c>
      <c r="BM75" s="12">
        <v>0.5</v>
      </c>
      <c r="BN75" s="12" t="s">
        <v>1989</v>
      </c>
      <c r="BO75" s="12" t="s">
        <v>43</v>
      </c>
      <c r="BP75" s="20"/>
      <c r="BQ75" s="20" t="s">
        <v>1990</v>
      </c>
      <c r="BR75" s="20">
        <v>1</v>
      </c>
      <c r="BS75" s="20">
        <v>1</v>
      </c>
      <c r="BT75" s="20" t="s">
        <v>1991</v>
      </c>
      <c r="BU75" s="20" t="s">
        <v>1992</v>
      </c>
      <c r="BV75" s="20">
        <v>1</v>
      </c>
      <c r="BW75" s="20" t="s">
        <v>141</v>
      </c>
      <c r="BX75" s="20">
        <v>0</v>
      </c>
      <c r="BY75" s="20" t="s">
        <v>1993</v>
      </c>
      <c r="BZ75" s="20" t="s">
        <v>43</v>
      </c>
    </row>
    <row r="76" spans="1:78">
      <c r="A76">
        <v>10075</v>
      </c>
      <c r="B76" s="12"/>
      <c r="C76" s="12" t="s">
        <v>255</v>
      </c>
      <c r="D76" s="14">
        <v>1</v>
      </c>
      <c r="E76" s="14">
        <v>1</v>
      </c>
      <c r="F76" s="12" t="s">
        <v>1994</v>
      </c>
      <c r="G76" s="13">
        <v>2</v>
      </c>
      <c r="H76" s="12" t="s">
        <v>1995</v>
      </c>
      <c r="I76" s="12" t="s">
        <v>37</v>
      </c>
      <c r="J76" s="15"/>
      <c r="K76" s="15" t="s">
        <v>230</v>
      </c>
      <c r="L76" s="16">
        <v>1</v>
      </c>
      <c r="M76" s="16">
        <v>1</v>
      </c>
      <c r="N76" s="15" t="s">
        <v>1996</v>
      </c>
      <c r="O76" s="15" t="s">
        <v>1997</v>
      </c>
      <c r="P76" s="17">
        <v>0</v>
      </c>
      <c r="Q76" s="15" t="s">
        <v>1998</v>
      </c>
      <c r="R76" s="15">
        <v>1</v>
      </c>
      <c r="S76" s="15" t="s">
        <v>1999</v>
      </c>
      <c r="T76" s="15" t="s">
        <v>36</v>
      </c>
      <c r="U76" s="18"/>
      <c r="V76" s="18" t="s">
        <v>2000</v>
      </c>
      <c r="W76" s="18">
        <v>1</v>
      </c>
      <c r="X76" s="18">
        <v>1</v>
      </c>
      <c r="Y76" s="18" t="s">
        <v>2001</v>
      </c>
      <c r="Z76" s="18" t="s">
        <v>2002</v>
      </c>
      <c r="AA76" s="18">
        <v>1</v>
      </c>
      <c r="AB76" s="29" t="s">
        <v>2003</v>
      </c>
      <c r="AC76" s="18">
        <v>0.5</v>
      </c>
      <c r="AD76" s="18" t="s">
        <v>2004</v>
      </c>
      <c r="AE76" s="18" t="s">
        <v>36</v>
      </c>
      <c r="AF76" s="20"/>
      <c r="AG76" s="20" t="s">
        <v>238</v>
      </c>
      <c r="AH76" s="21">
        <v>1</v>
      </c>
      <c r="AI76" s="21">
        <v>1</v>
      </c>
      <c r="AJ76" s="20" t="s">
        <v>2005</v>
      </c>
      <c r="AK76" s="20">
        <v>0</v>
      </c>
      <c r="AL76" s="20" t="s">
        <v>2006</v>
      </c>
      <c r="AM76" s="20" t="s">
        <v>37</v>
      </c>
      <c r="AN76" s="15"/>
      <c r="AO76" s="15" t="s">
        <v>241</v>
      </c>
      <c r="AP76" s="16">
        <v>1</v>
      </c>
      <c r="AQ76" s="16">
        <v>1</v>
      </c>
      <c r="AR76" s="15" t="s">
        <v>2007</v>
      </c>
      <c r="AS76" s="15" t="s">
        <v>2008</v>
      </c>
      <c r="AT76" s="15">
        <v>1</v>
      </c>
      <c r="AU76" s="17">
        <v>0</v>
      </c>
      <c r="AV76" s="15" t="s">
        <v>2009</v>
      </c>
      <c r="AW76" s="15">
        <v>0</v>
      </c>
      <c r="AX76" s="15" t="s">
        <v>2010</v>
      </c>
      <c r="AY76" s="15" t="s">
        <v>36</v>
      </c>
      <c r="AZ76" s="18"/>
      <c r="BA76" s="18" t="s">
        <v>2011</v>
      </c>
      <c r="BB76" s="19">
        <v>1</v>
      </c>
      <c r="BC76" s="19">
        <v>1</v>
      </c>
      <c r="BD76" s="18" t="s">
        <v>2012</v>
      </c>
      <c r="BE76" s="18">
        <v>1</v>
      </c>
      <c r="BF76" s="18" t="s">
        <v>2013</v>
      </c>
      <c r="BG76" s="18" t="s">
        <v>37</v>
      </c>
      <c r="BH76" s="12"/>
      <c r="BI76" s="12" t="s">
        <v>248</v>
      </c>
      <c r="BJ76" s="12">
        <v>1</v>
      </c>
      <c r="BK76" s="12">
        <v>1</v>
      </c>
      <c r="BL76" s="12" t="s">
        <v>2014</v>
      </c>
      <c r="BM76" s="12">
        <v>0.5</v>
      </c>
      <c r="BN76" s="12" t="s">
        <v>2015</v>
      </c>
      <c r="BO76" s="12" t="s">
        <v>43</v>
      </c>
      <c r="BP76" s="20"/>
      <c r="BQ76" s="20" t="s">
        <v>250</v>
      </c>
      <c r="BR76" s="20">
        <v>1</v>
      </c>
      <c r="BS76" s="20">
        <v>1</v>
      </c>
      <c r="BT76" s="20" t="s">
        <v>251</v>
      </c>
      <c r="BU76" s="20" t="s">
        <v>252</v>
      </c>
      <c r="BV76" s="20">
        <v>1</v>
      </c>
      <c r="BW76" s="20" t="s">
        <v>2018</v>
      </c>
      <c r="BX76" s="20">
        <v>0</v>
      </c>
      <c r="BY76" s="20" t="s">
        <v>2019</v>
      </c>
      <c r="BZ76" s="20" t="s">
        <v>64</v>
      </c>
    </row>
    <row r="77" spans="1:78">
      <c r="A77">
        <v>10076</v>
      </c>
      <c r="B77" s="12"/>
      <c r="C77" s="12" t="s">
        <v>2020</v>
      </c>
      <c r="D77" s="14">
        <v>1</v>
      </c>
      <c r="E77" s="14">
        <v>1</v>
      </c>
      <c r="F77" s="12" t="s">
        <v>2021</v>
      </c>
      <c r="G77" s="13">
        <v>3</v>
      </c>
      <c r="H77" s="12" t="s">
        <v>2022</v>
      </c>
      <c r="I77" s="12" t="s">
        <v>43</v>
      </c>
      <c r="J77" s="15"/>
      <c r="K77" s="15" t="s">
        <v>2023</v>
      </c>
      <c r="L77" s="16">
        <v>1</v>
      </c>
      <c r="M77" s="16">
        <v>1</v>
      </c>
      <c r="N77" s="15" t="s">
        <v>2024</v>
      </c>
      <c r="O77" s="15" t="s">
        <v>2025</v>
      </c>
      <c r="P77" s="17">
        <v>2</v>
      </c>
      <c r="Q77" s="15" t="s">
        <v>2026</v>
      </c>
      <c r="R77" s="15">
        <v>0</v>
      </c>
      <c r="S77" s="15" t="s">
        <v>2027</v>
      </c>
      <c r="T77" s="15" t="s">
        <v>37</v>
      </c>
      <c r="U77" s="18"/>
      <c r="V77" s="18" t="s">
        <v>2028</v>
      </c>
      <c r="W77" s="18">
        <v>1</v>
      </c>
      <c r="X77" s="18">
        <v>1</v>
      </c>
      <c r="Y77" s="18" t="s">
        <v>2029</v>
      </c>
      <c r="Z77" s="18" t="s">
        <v>2030</v>
      </c>
      <c r="AA77" s="18">
        <v>2</v>
      </c>
      <c r="AB77" s="29" t="s">
        <v>2031</v>
      </c>
      <c r="AC77" s="18">
        <v>0.5</v>
      </c>
      <c r="AD77" s="18" t="s">
        <v>108</v>
      </c>
      <c r="AE77" s="18" t="s">
        <v>35</v>
      </c>
      <c r="AF77" s="20"/>
      <c r="AG77" s="20" t="s">
        <v>2032</v>
      </c>
      <c r="AH77" s="21">
        <v>1</v>
      </c>
      <c r="AI77" s="21">
        <v>1</v>
      </c>
      <c r="AJ77" s="20" t="s">
        <v>2033</v>
      </c>
      <c r="AK77" s="20">
        <v>0</v>
      </c>
      <c r="AL77" s="20" t="s">
        <v>2034</v>
      </c>
      <c r="AM77" s="20" t="s">
        <v>37</v>
      </c>
      <c r="AN77" s="15"/>
      <c r="AO77" s="15" t="s">
        <v>2035</v>
      </c>
      <c r="AP77" s="16">
        <v>1</v>
      </c>
      <c r="AQ77" s="16">
        <v>1</v>
      </c>
      <c r="AR77" s="15" t="s">
        <v>2036</v>
      </c>
      <c r="AS77" s="15" t="s">
        <v>2037</v>
      </c>
      <c r="AT77" s="15">
        <v>1</v>
      </c>
      <c r="AU77" s="17">
        <v>0</v>
      </c>
      <c r="AV77" s="15" t="s">
        <v>2038</v>
      </c>
      <c r="AW77" s="15">
        <v>0</v>
      </c>
      <c r="AX77" s="15" t="s">
        <v>2039</v>
      </c>
      <c r="AY77" s="15" t="s">
        <v>37</v>
      </c>
      <c r="AZ77" s="18"/>
      <c r="BA77" s="18" t="s">
        <v>2040</v>
      </c>
      <c r="BB77" s="19">
        <v>1</v>
      </c>
      <c r="BC77" s="19">
        <v>1</v>
      </c>
      <c r="BD77" s="18" t="s">
        <v>81</v>
      </c>
      <c r="BE77" s="18">
        <v>0</v>
      </c>
      <c r="BF77" s="18" t="s">
        <v>2041</v>
      </c>
      <c r="BG77" s="18" t="s">
        <v>35</v>
      </c>
      <c r="BH77" s="12"/>
      <c r="BI77" s="12" t="s">
        <v>3389</v>
      </c>
      <c r="BJ77" s="12">
        <v>1</v>
      </c>
      <c r="BK77" s="12">
        <v>1</v>
      </c>
      <c r="BL77" s="12" t="s">
        <v>3390</v>
      </c>
      <c r="BM77" s="12">
        <v>0.5</v>
      </c>
      <c r="BN77" s="12" t="s">
        <v>71</v>
      </c>
      <c r="BO77" s="12" t="s">
        <v>35</v>
      </c>
      <c r="BP77" s="20"/>
      <c r="BQ77" s="20" t="s">
        <v>250</v>
      </c>
      <c r="BR77" s="20">
        <v>1</v>
      </c>
      <c r="BS77" s="20">
        <v>1</v>
      </c>
      <c r="BT77" s="20" t="s">
        <v>2239</v>
      </c>
      <c r="BU77" s="20" t="s">
        <v>2240</v>
      </c>
      <c r="BV77" s="20">
        <v>1</v>
      </c>
      <c r="BW77" s="20" t="s">
        <v>2046</v>
      </c>
      <c r="BX77" s="20">
        <v>0</v>
      </c>
      <c r="BY77" s="20" t="s">
        <v>2047</v>
      </c>
      <c r="BZ77" s="20" t="s">
        <v>67</v>
      </c>
    </row>
    <row r="78" spans="1:78">
      <c r="A78">
        <v>10077</v>
      </c>
      <c r="B78" s="12"/>
      <c r="C78" s="12" t="s">
        <v>604</v>
      </c>
      <c r="D78" s="14">
        <v>1</v>
      </c>
      <c r="E78" s="14">
        <v>1</v>
      </c>
      <c r="F78" s="12" t="s">
        <v>2048</v>
      </c>
      <c r="G78" s="13">
        <v>1</v>
      </c>
      <c r="H78" s="12" t="s">
        <v>2049</v>
      </c>
      <c r="I78" s="12" t="s">
        <v>43</v>
      </c>
      <c r="J78" s="15"/>
      <c r="K78" s="15" t="s">
        <v>230</v>
      </c>
      <c r="L78" s="16">
        <v>1</v>
      </c>
      <c r="M78" s="16">
        <v>1</v>
      </c>
      <c r="N78" s="15" t="s">
        <v>2050</v>
      </c>
      <c r="O78" s="15" t="s">
        <v>2051</v>
      </c>
      <c r="P78" s="17">
        <v>0</v>
      </c>
      <c r="Q78" s="15" t="s">
        <v>2052</v>
      </c>
      <c r="R78" s="15">
        <v>0.5</v>
      </c>
      <c r="S78" s="15" t="s">
        <v>2053</v>
      </c>
      <c r="T78" s="15" t="s">
        <v>42</v>
      </c>
      <c r="U78" s="18"/>
      <c r="V78" s="18" t="s">
        <v>2000</v>
      </c>
      <c r="W78" s="19">
        <v>1</v>
      </c>
      <c r="X78" s="19">
        <v>1</v>
      </c>
      <c r="Y78" s="18" t="s">
        <v>2054</v>
      </c>
      <c r="Z78" s="18" t="s">
        <v>2055</v>
      </c>
      <c r="AA78" s="18">
        <v>0</v>
      </c>
      <c r="AB78" s="29" t="s">
        <v>2056</v>
      </c>
      <c r="AC78" s="18">
        <v>1</v>
      </c>
      <c r="AD78" s="18" t="s">
        <v>2057</v>
      </c>
      <c r="AE78" s="18" t="s">
        <v>43</v>
      </c>
      <c r="AF78" s="20"/>
      <c r="AG78" s="20" t="s">
        <v>1574</v>
      </c>
      <c r="AH78" s="21">
        <v>1</v>
      </c>
      <c r="AI78" s="21">
        <v>1</v>
      </c>
      <c r="AJ78" s="20" t="s">
        <v>2058</v>
      </c>
      <c r="AK78" s="20">
        <v>1</v>
      </c>
      <c r="AL78" s="20" t="s">
        <v>2059</v>
      </c>
      <c r="AM78" s="20" t="s">
        <v>35</v>
      </c>
      <c r="AN78" s="15"/>
      <c r="AO78" s="15" t="s">
        <v>615</v>
      </c>
      <c r="AP78" s="16">
        <v>1</v>
      </c>
      <c r="AQ78" s="16">
        <v>1</v>
      </c>
      <c r="AR78" s="15" t="s">
        <v>2060</v>
      </c>
      <c r="AS78" s="15" t="s">
        <v>2061</v>
      </c>
      <c r="AT78" s="15">
        <v>3</v>
      </c>
      <c r="AU78" s="17">
        <v>0</v>
      </c>
      <c r="AV78" s="15" t="s">
        <v>2062</v>
      </c>
      <c r="AW78" s="15">
        <v>1</v>
      </c>
      <c r="AX78" s="15" t="s">
        <v>2063</v>
      </c>
      <c r="AY78" s="15" t="s">
        <v>35</v>
      </c>
      <c r="AZ78" s="18"/>
      <c r="BA78" s="18" t="s">
        <v>573</v>
      </c>
      <c r="BB78" s="19">
        <v>1</v>
      </c>
      <c r="BC78" s="19">
        <v>1</v>
      </c>
      <c r="BD78" s="18" t="s">
        <v>2064</v>
      </c>
      <c r="BE78" s="18">
        <v>1</v>
      </c>
      <c r="BF78" s="18" t="s">
        <v>2065</v>
      </c>
      <c r="BG78" s="18" t="s">
        <v>35</v>
      </c>
      <c r="BH78" s="12"/>
      <c r="BI78" s="12" t="s">
        <v>248</v>
      </c>
      <c r="BJ78" s="12">
        <v>1</v>
      </c>
      <c r="BK78" s="12">
        <v>1</v>
      </c>
      <c r="BL78" s="12" t="s">
        <v>149</v>
      </c>
      <c r="BM78" s="12">
        <v>0</v>
      </c>
      <c r="BN78" s="12" t="s">
        <v>2067</v>
      </c>
      <c r="BO78" s="12" t="s">
        <v>64</v>
      </c>
      <c r="BP78" s="20"/>
      <c r="BQ78" s="20" t="s">
        <v>1065</v>
      </c>
      <c r="BR78" s="20">
        <v>1</v>
      </c>
      <c r="BS78" s="20">
        <v>1</v>
      </c>
      <c r="BT78" s="20" t="s">
        <v>1066</v>
      </c>
      <c r="BU78" s="20" t="s">
        <v>1067</v>
      </c>
      <c r="BV78" s="20">
        <v>0</v>
      </c>
      <c r="BW78" s="20" t="s">
        <v>2070</v>
      </c>
      <c r="BX78" s="20">
        <v>0</v>
      </c>
      <c r="BY78" s="20" t="s">
        <v>2071</v>
      </c>
      <c r="BZ78" s="20" t="s">
        <v>43</v>
      </c>
    </row>
    <row r="79" spans="1:78">
      <c r="A79">
        <v>10078</v>
      </c>
      <c r="B79" s="12"/>
      <c r="C79" s="12" t="s">
        <v>228</v>
      </c>
      <c r="D79" s="14">
        <v>1</v>
      </c>
      <c r="E79" s="14">
        <v>1</v>
      </c>
      <c r="F79" s="12" t="s">
        <v>2072</v>
      </c>
      <c r="G79" s="13">
        <v>2</v>
      </c>
      <c r="H79" s="12" t="s">
        <v>2073</v>
      </c>
      <c r="I79" s="12" t="s">
        <v>42</v>
      </c>
      <c r="J79" s="15"/>
      <c r="K79" s="15" t="s">
        <v>230</v>
      </c>
      <c r="L79" s="16">
        <v>1</v>
      </c>
      <c r="M79" s="16">
        <v>1</v>
      </c>
      <c r="N79" s="15" t="s">
        <v>2074</v>
      </c>
      <c r="O79" s="15" t="s">
        <v>2075</v>
      </c>
      <c r="P79" s="17">
        <v>2</v>
      </c>
      <c r="Q79" s="15" t="s">
        <v>1229</v>
      </c>
      <c r="R79" s="15">
        <v>0.5</v>
      </c>
      <c r="S79" s="15" t="s">
        <v>2076</v>
      </c>
      <c r="T79" s="15" t="s">
        <v>67</v>
      </c>
      <c r="U79" s="18"/>
      <c r="V79" s="18" t="s">
        <v>313</v>
      </c>
      <c r="W79" s="18">
        <v>1</v>
      </c>
      <c r="X79" s="18">
        <v>1</v>
      </c>
      <c r="Y79" s="18" t="s">
        <v>2077</v>
      </c>
      <c r="Z79" s="18" t="s">
        <v>2078</v>
      </c>
      <c r="AA79" s="18">
        <v>2</v>
      </c>
      <c r="AB79" s="29" t="s">
        <v>62</v>
      </c>
      <c r="AC79" s="18">
        <v>0</v>
      </c>
      <c r="AD79" s="18" t="s">
        <v>2079</v>
      </c>
      <c r="AE79" s="18" t="s">
        <v>43</v>
      </c>
      <c r="AF79" s="20"/>
      <c r="AG79" s="20" t="s">
        <v>238</v>
      </c>
      <c r="AH79" s="21">
        <v>1</v>
      </c>
      <c r="AI79" s="21">
        <v>1</v>
      </c>
      <c r="AJ79" s="20" t="s">
        <v>2080</v>
      </c>
      <c r="AK79" s="20">
        <v>0</v>
      </c>
      <c r="AL79" s="20" t="s">
        <v>2081</v>
      </c>
      <c r="AM79" s="20" t="s">
        <v>43</v>
      </c>
      <c r="AN79" s="15"/>
      <c r="AO79" s="15" t="s">
        <v>2082</v>
      </c>
      <c r="AP79" s="16">
        <v>1</v>
      </c>
      <c r="AQ79" s="16">
        <v>1</v>
      </c>
      <c r="AR79" s="15" t="s">
        <v>2083</v>
      </c>
      <c r="AS79" s="15" t="s">
        <v>2084</v>
      </c>
      <c r="AT79" s="15">
        <v>0</v>
      </c>
      <c r="AU79" s="17">
        <v>3</v>
      </c>
      <c r="AV79" s="15" t="s">
        <v>62</v>
      </c>
      <c r="AW79" s="15">
        <v>1</v>
      </c>
      <c r="AX79" s="15" t="s">
        <v>2085</v>
      </c>
      <c r="AY79" s="15" t="s">
        <v>43</v>
      </c>
      <c r="AZ79" s="18"/>
      <c r="BA79" s="18" t="s">
        <v>2086</v>
      </c>
      <c r="BB79" s="19">
        <v>1</v>
      </c>
      <c r="BC79" s="19">
        <v>1</v>
      </c>
      <c r="BD79" s="18" t="s">
        <v>113</v>
      </c>
      <c r="BE79" s="18">
        <v>0</v>
      </c>
      <c r="BF79" s="18" t="s">
        <v>2087</v>
      </c>
      <c r="BG79" s="18" t="s">
        <v>37</v>
      </c>
      <c r="BH79" s="12"/>
      <c r="BI79" s="12" t="s">
        <v>3082</v>
      </c>
      <c r="BJ79" s="12">
        <v>1</v>
      </c>
      <c r="BK79" s="12">
        <v>1</v>
      </c>
      <c r="BL79" s="12" t="s">
        <v>62</v>
      </c>
      <c r="BM79" s="12">
        <v>0</v>
      </c>
      <c r="BN79" s="12" t="s">
        <v>2088</v>
      </c>
      <c r="BO79" s="12" t="s">
        <v>43</v>
      </c>
      <c r="BP79" s="20"/>
      <c r="BQ79" s="20" t="s">
        <v>331</v>
      </c>
      <c r="BR79" s="20">
        <v>1</v>
      </c>
      <c r="BS79" s="20">
        <v>1</v>
      </c>
      <c r="BT79" s="20" t="s">
        <v>2089</v>
      </c>
      <c r="BU79" s="20" t="s">
        <v>2090</v>
      </c>
      <c r="BV79" s="20">
        <v>1</v>
      </c>
      <c r="BW79" s="20" t="s">
        <v>2091</v>
      </c>
      <c r="BX79" s="20">
        <v>0</v>
      </c>
      <c r="BY79" s="20" t="s">
        <v>2092</v>
      </c>
      <c r="BZ79" s="20" t="s">
        <v>43</v>
      </c>
    </row>
    <row r="80" spans="1:78">
      <c r="A80">
        <v>10079</v>
      </c>
      <c r="B80" s="12"/>
      <c r="C80" s="12" t="s">
        <v>2093</v>
      </c>
      <c r="D80" s="14">
        <v>0</v>
      </c>
      <c r="E80" s="14">
        <v>1</v>
      </c>
      <c r="F80" s="12" t="s">
        <v>2094</v>
      </c>
      <c r="G80" s="13">
        <v>0</v>
      </c>
      <c r="H80" s="12" t="s">
        <v>2095</v>
      </c>
      <c r="I80" s="12" t="s">
        <v>43</v>
      </c>
      <c r="J80" s="15"/>
      <c r="K80" s="15" t="s">
        <v>2096</v>
      </c>
      <c r="L80" s="16">
        <v>1</v>
      </c>
      <c r="M80" s="16">
        <v>0</v>
      </c>
      <c r="N80" s="15" t="s">
        <v>2097</v>
      </c>
      <c r="O80" s="15" t="s">
        <v>2098</v>
      </c>
      <c r="P80" s="17">
        <v>1</v>
      </c>
      <c r="Q80" s="15" t="s">
        <v>2099</v>
      </c>
      <c r="R80" s="15">
        <v>0</v>
      </c>
      <c r="S80" s="15" t="s">
        <v>2100</v>
      </c>
      <c r="T80" s="15" t="s">
        <v>35</v>
      </c>
      <c r="U80" s="18"/>
      <c r="V80" s="18" t="s">
        <v>1747</v>
      </c>
      <c r="W80" s="19">
        <v>1</v>
      </c>
      <c r="X80" s="19">
        <v>0</v>
      </c>
      <c r="Y80" s="18" t="s">
        <v>2101</v>
      </c>
      <c r="Z80" s="18" t="s">
        <v>2102</v>
      </c>
      <c r="AA80" s="18">
        <v>3</v>
      </c>
      <c r="AB80" s="29" t="s">
        <v>2103</v>
      </c>
      <c r="AC80" s="18">
        <v>0.5</v>
      </c>
      <c r="AD80" s="18" t="s">
        <v>2104</v>
      </c>
      <c r="AE80" s="18" t="s">
        <v>37</v>
      </c>
      <c r="AF80" s="20"/>
      <c r="AG80" s="20" t="s">
        <v>2105</v>
      </c>
      <c r="AH80" s="21">
        <v>1</v>
      </c>
      <c r="AI80" s="21">
        <v>0</v>
      </c>
      <c r="AJ80" s="20" t="s">
        <v>2106</v>
      </c>
      <c r="AK80" s="20">
        <v>0</v>
      </c>
      <c r="AL80" s="20" t="s">
        <v>2107</v>
      </c>
      <c r="AM80" s="20" t="s">
        <v>37</v>
      </c>
      <c r="AN80" s="15"/>
      <c r="AO80" s="15" t="s">
        <v>2108</v>
      </c>
      <c r="AP80" s="16">
        <v>1</v>
      </c>
      <c r="AQ80" s="16">
        <v>0</v>
      </c>
      <c r="AR80" s="15" t="s">
        <v>2109</v>
      </c>
      <c r="AS80" s="15" t="s">
        <v>2110</v>
      </c>
      <c r="AT80" s="15">
        <v>3</v>
      </c>
      <c r="AU80" s="17">
        <v>0</v>
      </c>
      <c r="AV80" s="15" t="s">
        <v>2111</v>
      </c>
      <c r="AW80" s="15">
        <v>1</v>
      </c>
      <c r="AX80" s="15" t="s">
        <v>74</v>
      </c>
      <c r="AY80" s="15" t="s">
        <v>37</v>
      </c>
      <c r="AZ80" s="18"/>
      <c r="BA80" s="18" t="s">
        <v>2112</v>
      </c>
      <c r="BB80" s="19">
        <v>4</v>
      </c>
      <c r="BC80" s="19">
        <v>4</v>
      </c>
      <c r="BD80" s="18" t="s">
        <v>2106</v>
      </c>
      <c r="BE80" s="18">
        <v>0</v>
      </c>
      <c r="BF80" s="18" t="s">
        <v>285</v>
      </c>
      <c r="BG80" s="18" t="s">
        <v>35</v>
      </c>
      <c r="BH80" s="12"/>
      <c r="BI80" s="12" t="s">
        <v>248</v>
      </c>
      <c r="BJ80" s="12">
        <v>1</v>
      </c>
      <c r="BK80" s="12">
        <v>1</v>
      </c>
      <c r="BL80" s="12" t="s">
        <v>2135</v>
      </c>
      <c r="BM80" s="12">
        <v>0.5</v>
      </c>
      <c r="BN80" s="12" t="s">
        <v>285</v>
      </c>
      <c r="BO80" s="12" t="s">
        <v>35</v>
      </c>
      <c r="BP80" s="20"/>
      <c r="BQ80" s="20" t="s">
        <v>955</v>
      </c>
      <c r="BR80" s="20">
        <v>0</v>
      </c>
      <c r="BS80" s="20">
        <v>0</v>
      </c>
      <c r="BT80" s="20" t="s">
        <v>956</v>
      </c>
      <c r="BU80" s="20" t="s">
        <v>957</v>
      </c>
      <c r="BV80" s="20">
        <v>3</v>
      </c>
      <c r="BW80" s="20" t="s">
        <v>2118</v>
      </c>
      <c r="BX80" s="20">
        <v>0</v>
      </c>
      <c r="BY80" s="20" t="s">
        <v>285</v>
      </c>
      <c r="BZ80" s="20" t="s">
        <v>35</v>
      </c>
    </row>
    <row r="81" spans="1:78">
      <c r="A81">
        <v>10080</v>
      </c>
      <c r="B81" s="12"/>
      <c r="C81" s="12" t="s">
        <v>228</v>
      </c>
      <c r="D81" s="14">
        <v>1</v>
      </c>
      <c r="E81" s="14">
        <v>1</v>
      </c>
      <c r="F81" s="12" t="s">
        <v>2119</v>
      </c>
      <c r="G81" s="13">
        <v>2</v>
      </c>
      <c r="H81" s="12" t="s">
        <v>2120</v>
      </c>
      <c r="I81" s="12" t="s">
        <v>35</v>
      </c>
      <c r="J81" s="15"/>
      <c r="K81" s="15" t="s">
        <v>2121</v>
      </c>
      <c r="L81" s="16">
        <v>1</v>
      </c>
      <c r="M81" s="16">
        <v>1</v>
      </c>
      <c r="N81" s="15" t="s">
        <v>2122</v>
      </c>
      <c r="O81" s="15" t="s">
        <v>2123</v>
      </c>
      <c r="P81" s="17">
        <v>2</v>
      </c>
      <c r="Q81" s="15" t="s">
        <v>1604</v>
      </c>
      <c r="R81" s="15">
        <v>0.5</v>
      </c>
      <c r="S81" s="15" t="s">
        <v>2124</v>
      </c>
      <c r="T81" s="15" t="s">
        <v>35</v>
      </c>
      <c r="U81" s="18"/>
      <c r="V81" s="18" t="s">
        <v>313</v>
      </c>
      <c r="W81" s="19">
        <v>1</v>
      </c>
      <c r="X81" s="19">
        <v>1</v>
      </c>
      <c r="Y81" s="18" t="s">
        <v>2125</v>
      </c>
      <c r="Z81" s="18" t="s">
        <v>2126</v>
      </c>
      <c r="AA81" s="18">
        <v>3</v>
      </c>
      <c r="AB81" s="29" t="s">
        <v>70</v>
      </c>
      <c r="AC81" s="18">
        <v>0</v>
      </c>
      <c r="AD81" s="18" t="s">
        <v>2127</v>
      </c>
      <c r="AE81" s="18" t="s">
        <v>43</v>
      </c>
      <c r="AF81" s="20"/>
      <c r="AG81" s="20" t="s">
        <v>238</v>
      </c>
      <c r="AH81" s="21">
        <v>1</v>
      </c>
      <c r="AI81" s="21">
        <v>1</v>
      </c>
      <c r="AJ81" s="20" t="s">
        <v>137</v>
      </c>
      <c r="AK81" s="20">
        <v>0</v>
      </c>
      <c r="AL81" s="20" t="s">
        <v>2128</v>
      </c>
      <c r="AM81" s="20" t="s">
        <v>36</v>
      </c>
      <c r="AN81" s="15"/>
      <c r="AO81" s="15" t="s">
        <v>591</v>
      </c>
      <c r="AP81" s="16">
        <v>1</v>
      </c>
      <c r="AQ81" s="16">
        <v>1</v>
      </c>
      <c r="AR81" s="15" t="s">
        <v>2129</v>
      </c>
      <c r="AS81" s="15" t="s">
        <v>2130</v>
      </c>
      <c r="AT81" s="15">
        <v>0</v>
      </c>
      <c r="AU81" s="17">
        <v>3</v>
      </c>
      <c r="AV81" s="15" t="s">
        <v>2131</v>
      </c>
      <c r="AW81" s="15">
        <v>1</v>
      </c>
      <c r="AX81" s="15" t="s">
        <v>2132</v>
      </c>
      <c r="AY81" s="15" t="s">
        <v>35</v>
      </c>
      <c r="AZ81" s="18"/>
      <c r="BA81" s="18" t="s">
        <v>573</v>
      </c>
      <c r="BB81" s="19">
        <v>1</v>
      </c>
      <c r="BC81" s="19">
        <v>1</v>
      </c>
      <c r="BD81" s="18" t="s">
        <v>2133</v>
      </c>
      <c r="BE81" s="18">
        <v>0</v>
      </c>
      <c r="BF81" s="18" t="s">
        <v>2134</v>
      </c>
      <c r="BG81" s="18" t="s">
        <v>35</v>
      </c>
      <c r="BH81" s="12"/>
      <c r="BI81" s="12" t="s">
        <v>1957</v>
      </c>
      <c r="BJ81" s="12">
        <v>1</v>
      </c>
      <c r="BK81" s="12">
        <v>1</v>
      </c>
      <c r="BL81" s="12" t="s">
        <v>1958</v>
      </c>
      <c r="BM81" s="12">
        <v>0.5</v>
      </c>
      <c r="BN81" s="12" t="s">
        <v>2136</v>
      </c>
      <c r="BO81" s="12" t="s">
        <v>37</v>
      </c>
      <c r="BP81" s="20"/>
      <c r="BQ81" s="20" t="s">
        <v>383</v>
      </c>
      <c r="BR81" s="20">
        <v>1</v>
      </c>
      <c r="BS81" s="20">
        <v>1</v>
      </c>
      <c r="BT81" s="20" t="s">
        <v>384</v>
      </c>
      <c r="BU81" s="20" t="s">
        <v>385</v>
      </c>
      <c r="BV81" s="20">
        <v>2</v>
      </c>
      <c r="BW81" s="20" t="s">
        <v>138</v>
      </c>
      <c r="BX81" s="20">
        <v>0</v>
      </c>
      <c r="BY81" s="20" t="s">
        <v>2140</v>
      </c>
      <c r="BZ81" s="20" t="s">
        <v>35</v>
      </c>
    </row>
    <row r="82" spans="1:78">
      <c r="A82">
        <v>10081</v>
      </c>
      <c r="B82" s="12"/>
      <c r="C82" s="12" t="s">
        <v>604</v>
      </c>
      <c r="D82" s="14">
        <v>1</v>
      </c>
      <c r="E82" s="14">
        <v>1</v>
      </c>
      <c r="F82" s="12" t="s">
        <v>2141</v>
      </c>
      <c r="G82" s="13">
        <v>0</v>
      </c>
      <c r="H82" s="12" t="s">
        <v>2142</v>
      </c>
      <c r="I82" s="12" t="s">
        <v>37</v>
      </c>
      <c r="J82" s="15"/>
      <c r="K82" s="15" t="s">
        <v>2143</v>
      </c>
      <c r="L82" s="16">
        <v>1</v>
      </c>
      <c r="M82" s="16">
        <v>1</v>
      </c>
      <c r="N82" s="15" t="s">
        <v>2144</v>
      </c>
      <c r="O82" s="15" t="s">
        <v>2145</v>
      </c>
      <c r="P82" s="17">
        <v>0</v>
      </c>
      <c r="Q82" s="15" t="s">
        <v>2146</v>
      </c>
      <c r="R82" s="15">
        <v>0</v>
      </c>
      <c r="S82" s="15" t="s">
        <v>2142</v>
      </c>
      <c r="T82" s="15" t="s">
        <v>37</v>
      </c>
      <c r="U82" s="18"/>
      <c r="V82" s="18" t="s">
        <v>263</v>
      </c>
      <c r="W82" s="18">
        <v>1</v>
      </c>
      <c r="X82" s="18">
        <v>1</v>
      </c>
      <c r="Y82" s="18" t="s">
        <v>2147</v>
      </c>
      <c r="Z82" s="18" t="s">
        <v>2148</v>
      </c>
      <c r="AA82" s="18">
        <v>0</v>
      </c>
      <c r="AB82" s="29" t="s">
        <v>2149</v>
      </c>
      <c r="AC82" s="18">
        <v>0</v>
      </c>
      <c r="AD82" s="18" t="s">
        <v>2142</v>
      </c>
      <c r="AE82" s="18" t="s">
        <v>37</v>
      </c>
      <c r="AF82" s="20"/>
      <c r="AG82" s="20" t="s">
        <v>2150</v>
      </c>
      <c r="AH82" s="21">
        <v>1</v>
      </c>
      <c r="AI82" s="21">
        <v>1</v>
      </c>
      <c r="AJ82" s="20" t="s">
        <v>159</v>
      </c>
      <c r="AK82" s="20">
        <v>0</v>
      </c>
      <c r="AL82" s="20" t="s">
        <v>2151</v>
      </c>
      <c r="AM82" s="20" t="s">
        <v>37</v>
      </c>
      <c r="AN82" s="15"/>
      <c r="AO82" s="15" t="s">
        <v>2152</v>
      </c>
      <c r="AP82" s="16">
        <v>1</v>
      </c>
      <c r="AQ82" s="16">
        <v>1</v>
      </c>
      <c r="AR82" s="15" t="s">
        <v>2153</v>
      </c>
      <c r="AS82" s="15" t="s">
        <v>2154</v>
      </c>
      <c r="AT82" s="15">
        <v>0</v>
      </c>
      <c r="AU82" s="17">
        <v>0</v>
      </c>
      <c r="AV82" s="15" t="s">
        <v>159</v>
      </c>
      <c r="AW82" s="15">
        <v>0</v>
      </c>
      <c r="AX82" s="15" t="s">
        <v>108</v>
      </c>
      <c r="AY82" s="15" t="s">
        <v>35</v>
      </c>
      <c r="AZ82" s="18"/>
      <c r="BA82" s="18" t="s">
        <v>2155</v>
      </c>
      <c r="BB82" s="19">
        <v>1</v>
      </c>
      <c r="BC82" s="19">
        <v>1</v>
      </c>
      <c r="BD82" s="18" t="s">
        <v>159</v>
      </c>
      <c r="BE82" s="18">
        <v>0</v>
      </c>
      <c r="BF82" s="18" t="s">
        <v>108</v>
      </c>
      <c r="BG82" s="18" t="s">
        <v>35</v>
      </c>
      <c r="BH82" s="12"/>
      <c r="BI82" s="12" t="s">
        <v>1115</v>
      </c>
      <c r="BJ82" s="12">
        <v>1</v>
      </c>
      <c r="BK82" s="12">
        <v>1</v>
      </c>
      <c r="BL82" s="12" t="s">
        <v>1908</v>
      </c>
      <c r="BM82" s="12">
        <v>0.5</v>
      </c>
      <c r="BN82" s="12" t="s">
        <v>532</v>
      </c>
      <c r="BO82" s="12" t="s">
        <v>42</v>
      </c>
      <c r="BP82" s="20"/>
      <c r="BQ82" s="20" t="s">
        <v>2156</v>
      </c>
      <c r="BR82" s="20">
        <v>0</v>
      </c>
      <c r="BS82" s="20">
        <v>1</v>
      </c>
      <c r="BT82" s="20" t="s">
        <v>2153</v>
      </c>
      <c r="BU82" s="20" t="s">
        <v>2153</v>
      </c>
      <c r="BV82" s="20">
        <v>0</v>
      </c>
      <c r="BW82" s="20" t="s">
        <v>2157</v>
      </c>
      <c r="BX82" s="20">
        <v>0</v>
      </c>
      <c r="BY82" s="20" t="s">
        <v>532</v>
      </c>
      <c r="BZ82" s="20" t="s">
        <v>37</v>
      </c>
    </row>
    <row r="83" spans="1:78">
      <c r="A83">
        <v>10082</v>
      </c>
      <c r="B83" s="12"/>
      <c r="C83" s="12" t="s">
        <v>604</v>
      </c>
      <c r="D83" s="14">
        <v>1</v>
      </c>
      <c r="E83" s="14">
        <v>1</v>
      </c>
      <c r="F83" s="12" t="s">
        <v>2158</v>
      </c>
      <c r="G83" s="13">
        <v>3</v>
      </c>
      <c r="H83" s="12" t="s">
        <v>2159</v>
      </c>
      <c r="I83" s="12" t="s">
        <v>36</v>
      </c>
      <c r="J83" s="15"/>
      <c r="K83" s="15" t="s">
        <v>230</v>
      </c>
      <c r="L83" s="16">
        <v>1</v>
      </c>
      <c r="M83" s="16">
        <v>1</v>
      </c>
      <c r="N83" s="15" t="s">
        <v>2160</v>
      </c>
      <c r="O83" s="15" t="s">
        <v>2161</v>
      </c>
      <c r="P83" s="17">
        <v>1</v>
      </c>
      <c r="Q83" s="15" t="s">
        <v>2162</v>
      </c>
      <c r="R83" s="15">
        <v>0.5</v>
      </c>
      <c r="S83" s="15" t="s">
        <v>2163</v>
      </c>
      <c r="T83" s="15" t="s">
        <v>36</v>
      </c>
      <c r="U83" s="18"/>
      <c r="V83" s="18" t="s">
        <v>263</v>
      </c>
      <c r="W83" s="18">
        <v>1</v>
      </c>
      <c r="X83" s="18">
        <v>1</v>
      </c>
      <c r="Y83" s="18" t="s">
        <v>2164</v>
      </c>
      <c r="Z83" s="18" t="s">
        <v>2165</v>
      </c>
      <c r="AA83" s="18">
        <v>2</v>
      </c>
      <c r="AB83" s="29" t="s">
        <v>2166</v>
      </c>
      <c r="AC83" s="18">
        <v>0.5</v>
      </c>
      <c r="AD83" s="18" t="s">
        <v>2167</v>
      </c>
      <c r="AE83" s="18" t="s">
        <v>67</v>
      </c>
      <c r="AF83" s="20"/>
      <c r="AG83" s="20" t="s">
        <v>238</v>
      </c>
      <c r="AH83" s="21">
        <v>1</v>
      </c>
      <c r="AI83" s="21">
        <v>1</v>
      </c>
      <c r="AJ83" s="20" t="s">
        <v>2168</v>
      </c>
      <c r="AK83" s="20">
        <v>0</v>
      </c>
      <c r="AL83" s="20" t="s">
        <v>2169</v>
      </c>
      <c r="AM83" s="20" t="s">
        <v>37</v>
      </c>
      <c r="AN83" s="15"/>
      <c r="AO83" s="15" t="s">
        <v>241</v>
      </c>
      <c r="AP83" s="16">
        <v>1</v>
      </c>
      <c r="AQ83" s="16">
        <v>1</v>
      </c>
      <c r="AR83" s="15" t="s">
        <v>2170</v>
      </c>
      <c r="AS83" s="15" t="s">
        <v>2171</v>
      </c>
      <c r="AT83" s="15">
        <v>3</v>
      </c>
      <c r="AU83" s="17">
        <v>0</v>
      </c>
      <c r="AV83" s="15" t="s">
        <v>2172</v>
      </c>
      <c r="AW83" s="15">
        <v>0</v>
      </c>
      <c r="AX83" s="15" t="s">
        <v>2173</v>
      </c>
      <c r="AY83" s="15" t="s">
        <v>37</v>
      </c>
      <c r="AZ83" s="18"/>
      <c r="BA83" s="18" t="s">
        <v>2174</v>
      </c>
      <c r="BB83" s="19">
        <v>1</v>
      </c>
      <c r="BC83" s="19">
        <v>1</v>
      </c>
      <c r="BD83" s="18" t="s">
        <v>2175</v>
      </c>
      <c r="BE83" s="18">
        <v>0</v>
      </c>
      <c r="BF83" s="18" t="s">
        <v>2176</v>
      </c>
      <c r="BG83" s="18" t="s">
        <v>36</v>
      </c>
      <c r="BH83" s="12"/>
      <c r="BI83" s="12" t="s">
        <v>1009</v>
      </c>
      <c r="BJ83" s="12">
        <v>1</v>
      </c>
      <c r="BK83" s="12">
        <v>1</v>
      </c>
      <c r="BL83" s="12" t="s">
        <v>3304</v>
      </c>
      <c r="BM83" s="12">
        <v>0.5</v>
      </c>
      <c r="BN83" s="12" t="s">
        <v>2178</v>
      </c>
      <c r="BO83" s="12" t="s">
        <v>37</v>
      </c>
      <c r="BP83" s="20"/>
      <c r="BQ83" s="20" t="s">
        <v>1909</v>
      </c>
      <c r="BR83" s="20">
        <v>1</v>
      </c>
      <c r="BS83" s="20">
        <v>1</v>
      </c>
      <c r="BT83" s="20" t="s">
        <v>1910</v>
      </c>
      <c r="BU83" s="20" t="s">
        <v>1911</v>
      </c>
      <c r="BV83" s="20">
        <v>0</v>
      </c>
      <c r="BW83" s="20" t="s">
        <v>160</v>
      </c>
      <c r="BX83" s="20">
        <v>0</v>
      </c>
      <c r="BY83" s="20" t="s">
        <v>2181</v>
      </c>
      <c r="BZ83" s="20" t="s">
        <v>37</v>
      </c>
    </row>
    <row r="84" spans="1:78">
      <c r="A84">
        <v>10083</v>
      </c>
      <c r="B84" s="12"/>
      <c r="C84" s="12" t="s">
        <v>2182</v>
      </c>
      <c r="D84" s="14">
        <v>1</v>
      </c>
      <c r="E84" s="14">
        <v>1</v>
      </c>
      <c r="F84" s="12" t="s">
        <v>2183</v>
      </c>
      <c r="G84" s="13">
        <v>3</v>
      </c>
      <c r="H84" s="12" t="s">
        <v>2184</v>
      </c>
      <c r="I84" s="12" t="s">
        <v>35</v>
      </c>
      <c r="J84" s="15"/>
      <c r="K84" s="15" t="s">
        <v>230</v>
      </c>
      <c r="L84" s="16">
        <v>1</v>
      </c>
      <c r="M84" s="16">
        <v>1</v>
      </c>
      <c r="N84" s="15" t="s">
        <v>2185</v>
      </c>
      <c r="O84" s="15" t="s">
        <v>2186</v>
      </c>
      <c r="P84" s="17">
        <v>1</v>
      </c>
      <c r="Q84" s="15" t="s">
        <v>2187</v>
      </c>
      <c r="R84" s="15">
        <v>0.5</v>
      </c>
      <c r="S84" s="15" t="s">
        <v>2188</v>
      </c>
      <c r="T84" s="15" t="s">
        <v>35</v>
      </c>
      <c r="U84" s="18"/>
      <c r="V84" s="18" t="s">
        <v>263</v>
      </c>
      <c r="W84" s="19">
        <v>1</v>
      </c>
      <c r="X84" s="19">
        <v>1</v>
      </c>
      <c r="Y84" s="18" t="s">
        <v>2189</v>
      </c>
      <c r="Z84" s="18" t="s">
        <v>2190</v>
      </c>
      <c r="AA84" s="18">
        <v>2</v>
      </c>
      <c r="AB84" s="29" t="s">
        <v>2191</v>
      </c>
      <c r="AC84" s="18">
        <v>0.5</v>
      </c>
      <c r="AD84" s="18" t="s">
        <v>2192</v>
      </c>
      <c r="AE84" s="18" t="s">
        <v>43</v>
      </c>
      <c r="AF84" s="20"/>
      <c r="AG84" s="20" t="s">
        <v>1574</v>
      </c>
      <c r="AH84" s="21">
        <v>1</v>
      </c>
      <c r="AI84" s="21">
        <v>1</v>
      </c>
      <c r="AJ84" s="20" t="s">
        <v>2193</v>
      </c>
      <c r="AK84" s="20">
        <v>1</v>
      </c>
      <c r="AL84" s="20" t="s">
        <v>2194</v>
      </c>
      <c r="AM84" s="20" t="s">
        <v>35</v>
      </c>
      <c r="AN84" s="15"/>
      <c r="AO84" s="15" t="s">
        <v>241</v>
      </c>
      <c r="AP84" s="16">
        <v>1</v>
      </c>
      <c r="AQ84" s="16">
        <v>1</v>
      </c>
      <c r="AR84" s="15" t="s">
        <v>2195</v>
      </c>
      <c r="AS84" s="15" t="s">
        <v>2196</v>
      </c>
      <c r="AT84" s="15">
        <v>0</v>
      </c>
      <c r="AU84" s="17">
        <v>2</v>
      </c>
      <c r="AV84" s="15" t="s">
        <v>2197</v>
      </c>
      <c r="AW84" s="15">
        <v>1</v>
      </c>
      <c r="AX84" s="15" t="s">
        <v>2198</v>
      </c>
      <c r="AY84" s="15" t="s">
        <v>35</v>
      </c>
      <c r="AZ84" s="18"/>
      <c r="BA84" s="18" t="s">
        <v>2199</v>
      </c>
      <c r="BB84" s="19">
        <v>1</v>
      </c>
      <c r="BC84" s="19">
        <v>1</v>
      </c>
      <c r="BD84" s="18"/>
      <c r="BE84" s="18">
        <v>0</v>
      </c>
      <c r="BF84" s="18"/>
      <c r="BG84" s="18" t="s">
        <v>37</v>
      </c>
      <c r="BH84" s="12"/>
      <c r="BI84" s="12"/>
      <c r="BJ84" s="12">
        <v>0</v>
      </c>
      <c r="BK84" s="12">
        <v>0</v>
      </c>
      <c r="BL84" s="12"/>
      <c r="BM84" s="12">
        <v>0</v>
      </c>
      <c r="BN84" s="12"/>
      <c r="BO84" s="12" t="s">
        <v>37</v>
      </c>
      <c r="BP84" s="20"/>
      <c r="BQ84" s="20"/>
      <c r="BR84" s="20">
        <v>0</v>
      </c>
      <c r="BS84" s="20">
        <v>0</v>
      </c>
      <c r="BT84" s="20"/>
      <c r="BU84" s="20"/>
      <c r="BV84" s="20">
        <v>0</v>
      </c>
      <c r="BW84" s="20"/>
      <c r="BX84" s="20">
        <v>0</v>
      </c>
      <c r="BY84" s="20"/>
      <c r="BZ84" s="20" t="s">
        <v>37</v>
      </c>
    </row>
    <row r="85" spans="1:78">
      <c r="A85">
        <v>10084</v>
      </c>
      <c r="B85" s="12"/>
      <c r="C85" s="12" t="s">
        <v>2200</v>
      </c>
      <c r="D85" s="14">
        <v>1</v>
      </c>
      <c r="E85" s="14">
        <v>1</v>
      </c>
      <c r="F85" s="12" t="s">
        <v>2201</v>
      </c>
      <c r="G85" s="13">
        <v>1</v>
      </c>
      <c r="H85" s="12" t="s">
        <v>1408</v>
      </c>
      <c r="I85" s="12" t="s">
        <v>42</v>
      </c>
      <c r="J85" s="15"/>
      <c r="K85" s="15" t="s">
        <v>1124</v>
      </c>
      <c r="L85" s="16">
        <v>1</v>
      </c>
      <c r="M85" s="16">
        <v>1</v>
      </c>
      <c r="N85" s="15" t="s">
        <v>135</v>
      </c>
      <c r="O85" s="15" t="s">
        <v>2202</v>
      </c>
      <c r="P85" s="17">
        <v>0</v>
      </c>
      <c r="Q85" s="15" t="s">
        <v>153</v>
      </c>
      <c r="R85" s="15">
        <v>0.5</v>
      </c>
      <c r="S85" s="15" t="s">
        <v>2203</v>
      </c>
      <c r="T85" s="15" t="s">
        <v>37</v>
      </c>
      <c r="U85" s="18"/>
      <c r="V85" s="18" t="s">
        <v>839</v>
      </c>
      <c r="W85" s="18">
        <v>1</v>
      </c>
      <c r="X85" s="18">
        <v>1</v>
      </c>
      <c r="Y85" s="18" t="s">
        <v>2204</v>
      </c>
      <c r="Z85" s="18" t="s">
        <v>192</v>
      </c>
      <c r="AA85" s="18">
        <v>0</v>
      </c>
      <c r="AB85" s="29" t="s">
        <v>161</v>
      </c>
      <c r="AC85" s="18">
        <v>0.5</v>
      </c>
      <c r="AD85" s="18" t="s">
        <v>2205</v>
      </c>
      <c r="AE85" s="18" t="s">
        <v>37</v>
      </c>
      <c r="AF85" s="20"/>
      <c r="AG85" s="20" t="s">
        <v>840</v>
      </c>
      <c r="AH85" s="21">
        <v>1</v>
      </c>
      <c r="AI85" s="21">
        <v>1</v>
      </c>
      <c r="AJ85" s="20" t="s">
        <v>116</v>
      </c>
      <c r="AK85" s="20">
        <v>0</v>
      </c>
      <c r="AL85" s="20" t="s">
        <v>2206</v>
      </c>
      <c r="AM85" s="20" t="s">
        <v>43</v>
      </c>
      <c r="AN85" s="15"/>
      <c r="AO85" s="15" t="s">
        <v>1133</v>
      </c>
      <c r="AP85" s="16">
        <v>1</v>
      </c>
      <c r="AQ85" s="16">
        <v>1</v>
      </c>
      <c r="AR85" s="15" t="s">
        <v>120</v>
      </c>
      <c r="AS85" s="15" t="s">
        <v>2207</v>
      </c>
      <c r="AT85" s="15">
        <v>1</v>
      </c>
      <c r="AU85" s="17">
        <v>0</v>
      </c>
      <c r="AV85" s="15" t="s">
        <v>122</v>
      </c>
      <c r="AW85" s="15">
        <v>1</v>
      </c>
      <c r="AX85" s="15" t="s">
        <v>2208</v>
      </c>
      <c r="AY85" s="15" t="s">
        <v>43</v>
      </c>
      <c r="AZ85" s="18"/>
      <c r="BA85" s="18" t="s">
        <v>2209</v>
      </c>
      <c r="BB85" s="19">
        <v>1</v>
      </c>
      <c r="BC85" s="19">
        <v>1</v>
      </c>
      <c r="BD85" s="18" t="s">
        <v>134</v>
      </c>
      <c r="BE85" s="18">
        <v>0</v>
      </c>
      <c r="BF85" s="18" t="s">
        <v>2210</v>
      </c>
      <c r="BG85" s="18" t="s">
        <v>37</v>
      </c>
      <c r="BH85" s="12"/>
      <c r="BI85" s="12" t="s">
        <v>753</v>
      </c>
      <c r="BJ85" s="12">
        <v>1</v>
      </c>
      <c r="BK85" s="12">
        <v>0</v>
      </c>
      <c r="BL85" s="12" t="s">
        <v>754</v>
      </c>
      <c r="BM85" s="12">
        <v>0.5</v>
      </c>
      <c r="BN85" s="12" t="s">
        <v>2212</v>
      </c>
      <c r="BO85" s="12" t="s">
        <v>37</v>
      </c>
      <c r="BP85" s="20"/>
      <c r="BQ85" s="20" t="s">
        <v>458</v>
      </c>
      <c r="BR85" s="20">
        <v>1</v>
      </c>
      <c r="BS85" s="20">
        <v>1</v>
      </c>
      <c r="BT85" s="20" t="s">
        <v>66</v>
      </c>
      <c r="BU85" s="20" t="s">
        <v>610</v>
      </c>
      <c r="BV85" s="20">
        <v>0</v>
      </c>
      <c r="BW85" s="20" t="s">
        <v>134</v>
      </c>
      <c r="BX85" s="20">
        <v>0</v>
      </c>
      <c r="BY85" s="20" t="s">
        <v>2216</v>
      </c>
      <c r="BZ85" s="20" t="s">
        <v>43</v>
      </c>
    </row>
    <row r="86" spans="1:78">
      <c r="A86">
        <v>10085</v>
      </c>
      <c r="B86" s="12"/>
      <c r="C86" s="12" t="s">
        <v>228</v>
      </c>
      <c r="D86" s="14">
        <v>1</v>
      </c>
      <c r="E86" s="14">
        <v>1</v>
      </c>
      <c r="F86" s="12" t="s">
        <v>2217</v>
      </c>
      <c r="G86" s="13">
        <v>0</v>
      </c>
      <c r="H86" s="12" t="s">
        <v>2218</v>
      </c>
      <c r="I86" s="12" t="s">
        <v>64</v>
      </c>
      <c r="J86" s="15"/>
      <c r="K86" s="15" t="s">
        <v>465</v>
      </c>
      <c r="L86" s="16">
        <v>1</v>
      </c>
      <c r="M86" s="16">
        <v>1</v>
      </c>
      <c r="N86" s="15" t="s">
        <v>2219</v>
      </c>
      <c r="O86" s="15" t="s">
        <v>2220</v>
      </c>
      <c r="P86" s="17">
        <v>2</v>
      </c>
      <c r="Q86" s="15" t="s">
        <v>2221</v>
      </c>
      <c r="R86" s="15">
        <v>1</v>
      </c>
      <c r="S86" s="15" t="s">
        <v>2222</v>
      </c>
      <c r="T86" s="15" t="s">
        <v>35</v>
      </c>
      <c r="U86" s="18"/>
      <c r="V86" s="18" t="s">
        <v>2223</v>
      </c>
      <c r="W86" s="19">
        <v>1</v>
      </c>
      <c r="X86" s="19">
        <v>1</v>
      </c>
      <c r="Y86" s="18" t="s">
        <v>2224</v>
      </c>
      <c r="Z86" s="18" t="s">
        <v>2225</v>
      </c>
      <c r="AA86" s="18">
        <v>2</v>
      </c>
      <c r="AB86" s="29" t="s">
        <v>2226</v>
      </c>
      <c r="AC86" s="18">
        <v>1</v>
      </c>
      <c r="AD86" s="18" t="s">
        <v>2227</v>
      </c>
      <c r="AE86" s="18" t="s">
        <v>42</v>
      </c>
      <c r="AF86" s="20"/>
      <c r="AG86" s="20" t="s">
        <v>267</v>
      </c>
      <c r="AH86" s="21">
        <v>1</v>
      </c>
      <c r="AI86" s="21">
        <v>1</v>
      </c>
      <c r="AJ86" s="20" t="s">
        <v>2228</v>
      </c>
      <c r="AK86" s="20">
        <v>1</v>
      </c>
      <c r="AL86" s="20" t="s">
        <v>2229</v>
      </c>
      <c r="AM86" s="20" t="s">
        <v>35</v>
      </c>
      <c r="AN86" s="15"/>
      <c r="AO86" s="15" t="s">
        <v>450</v>
      </c>
      <c r="AP86" s="16">
        <v>1</v>
      </c>
      <c r="AQ86" s="16">
        <v>1</v>
      </c>
      <c r="AR86" s="15" t="s">
        <v>2230</v>
      </c>
      <c r="AS86" s="15" t="s">
        <v>2231</v>
      </c>
      <c r="AT86" s="15">
        <v>2</v>
      </c>
      <c r="AU86" s="17">
        <v>0</v>
      </c>
      <c r="AV86" s="15" t="s">
        <v>2232</v>
      </c>
      <c r="AW86" s="15">
        <v>1</v>
      </c>
      <c r="AX86" s="15" t="s">
        <v>2233</v>
      </c>
      <c r="AY86" s="15" t="s">
        <v>43</v>
      </c>
      <c r="AZ86" s="18"/>
      <c r="BA86" s="18" t="s">
        <v>2234</v>
      </c>
      <c r="BB86" s="19">
        <v>1</v>
      </c>
      <c r="BC86" s="19">
        <v>1</v>
      </c>
      <c r="BD86" s="18" t="s">
        <v>2235</v>
      </c>
      <c r="BE86" s="18">
        <v>1</v>
      </c>
      <c r="BF86" s="18" t="s">
        <v>2236</v>
      </c>
      <c r="BG86" s="18" t="s">
        <v>42</v>
      </c>
      <c r="BH86" s="12"/>
      <c r="BI86" s="12" t="s">
        <v>2508</v>
      </c>
      <c r="BJ86" s="12">
        <v>1</v>
      </c>
      <c r="BK86" s="12">
        <v>1</v>
      </c>
      <c r="BL86" s="12" t="s">
        <v>549</v>
      </c>
      <c r="BM86" s="12">
        <v>0.5</v>
      </c>
      <c r="BN86" s="12" t="s">
        <v>2238</v>
      </c>
      <c r="BO86" s="12" t="s">
        <v>35</v>
      </c>
      <c r="BP86" s="20"/>
      <c r="BQ86" s="20" t="s">
        <v>728</v>
      </c>
      <c r="BR86" s="20">
        <v>1</v>
      </c>
      <c r="BS86" s="20">
        <v>1</v>
      </c>
      <c r="BT86" s="20" t="s">
        <v>729</v>
      </c>
      <c r="BU86" s="20" t="s">
        <v>730</v>
      </c>
      <c r="BV86" s="20">
        <v>2</v>
      </c>
      <c r="BW86" s="20" t="s">
        <v>2241</v>
      </c>
      <c r="BX86" s="20">
        <v>0</v>
      </c>
      <c r="BY86" s="20" t="s">
        <v>2242</v>
      </c>
      <c r="BZ86" s="20" t="s">
        <v>42</v>
      </c>
    </row>
    <row r="87" spans="1:78">
      <c r="A87">
        <v>10086</v>
      </c>
      <c r="B87" s="12"/>
      <c r="C87" s="12" t="s">
        <v>928</v>
      </c>
      <c r="D87" s="13">
        <v>1</v>
      </c>
      <c r="E87" s="13">
        <v>0</v>
      </c>
      <c r="F87" s="12" t="s">
        <v>2243</v>
      </c>
      <c r="G87" s="13">
        <v>3</v>
      </c>
      <c r="H87" s="12" t="s">
        <v>136</v>
      </c>
      <c r="I87" s="12" t="s">
        <v>37</v>
      </c>
      <c r="J87" s="15"/>
      <c r="K87" s="15" t="s">
        <v>2244</v>
      </c>
      <c r="L87" s="16">
        <v>1</v>
      </c>
      <c r="M87" s="16">
        <v>0</v>
      </c>
      <c r="N87" s="15" t="s">
        <v>135</v>
      </c>
      <c r="O87" s="15" t="s">
        <v>132</v>
      </c>
      <c r="P87" s="17">
        <v>0</v>
      </c>
      <c r="Q87" s="15" t="s">
        <v>206</v>
      </c>
      <c r="R87" s="15">
        <v>0.5</v>
      </c>
      <c r="S87" s="15" t="s">
        <v>136</v>
      </c>
      <c r="T87" s="15" t="s">
        <v>37</v>
      </c>
      <c r="U87" s="18"/>
      <c r="V87" s="18" t="s">
        <v>1747</v>
      </c>
      <c r="W87" s="19">
        <v>1</v>
      </c>
      <c r="X87" s="19">
        <v>0</v>
      </c>
      <c r="Y87" s="18" t="s">
        <v>120</v>
      </c>
      <c r="Z87" s="18" t="s">
        <v>2245</v>
      </c>
      <c r="AA87" s="18">
        <v>1</v>
      </c>
      <c r="AB87" s="29" t="s">
        <v>2246</v>
      </c>
      <c r="AC87" s="18">
        <v>0</v>
      </c>
      <c r="AD87" s="18" t="s">
        <v>136</v>
      </c>
      <c r="AE87" s="18" t="s">
        <v>37</v>
      </c>
      <c r="AF87" s="20"/>
      <c r="AG87" s="20" t="s">
        <v>2247</v>
      </c>
      <c r="AH87" s="21">
        <v>1</v>
      </c>
      <c r="AI87" s="21">
        <v>0</v>
      </c>
      <c r="AJ87" s="20" t="s">
        <v>2246</v>
      </c>
      <c r="AK87" s="20">
        <v>0</v>
      </c>
      <c r="AL87" s="20" t="s">
        <v>136</v>
      </c>
      <c r="AM87" s="20" t="s">
        <v>37</v>
      </c>
      <c r="AN87" s="15"/>
      <c r="AO87" s="15" t="s">
        <v>2108</v>
      </c>
      <c r="AP87" s="16">
        <v>1</v>
      </c>
      <c r="AQ87" s="16">
        <v>0</v>
      </c>
      <c r="AR87" s="15" t="s">
        <v>135</v>
      </c>
      <c r="AS87" s="15" t="s">
        <v>95</v>
      </c>
      <c r="AT87" s="15">
        <v>0</v>
      </c>
      <c r="AU87" s="17">
        <v>0</v>
      </c>
      <c r="AV87" s="15" t="s">
        <v>149</v>
      </c>
      <c r="AW87" s="15">
        <v>0</v>
      </c>
      <c r="AX87" s="15" t="s">
        <v>136</v>
      </c>
      <c r="AY87" s="15" t="s">
        <v>37</v>
      </c>
      <c r="AZ87" s="18"/>
      <c r="BA87" s="18" t="s">
        <v>2248</v>
      </c>
      <c r="BB87" s="19">
        <v>1</v>
      </c>
      <c r="BC87" s="19">
        <v>1</v>
      </c>
      <c r="BD87" s="18" t="s">
        <v>151</v>
      </c>
      <c r="BE87" s="18">
        <v>0</v>
      </c>
      <c r="BF87" s="18" t="s">
        <v>136</v>
      </c>
      <c r="BG87" s="18" t="s">
        <v>37</v>
      </c>
      <c r="BH87" s="12"/>
      <c r="BI87" s="12"/>
      <c r="BJ87" s="12">
        <v>0</v>
      </c>
      <c r="BK87" s="12">
        <v>0</v>
      </c>
      <c r="BL87" s="12"/>
      <c r="BM87" s="12">
        <v>0</v>
      </c>
      <c r="BN87" s="12" t="s">
        <v>136</v>
      </c>
      <c r="BO87" s="12" t="s">
        <v>37</v>
      </c>
      <c r="BP87" s="20"/>
      <c r="BQ87" s="20" t="s">
        <v>797</v>
      </c>
      <c r="BR87" s="20">
        <v>0</v>
      </c>
      <c r="BS87" s="20">
        <v>0</v>
      </c>
      <c r="BT87" s="20" t="s">
        <v>798</v>
      </c>
      <c r="BU87" s="20" t="s">
        <v>798</v>
      </c>
      <c r="BV87" s="20">
        <v>0</v>
      </c>
      <c r="BW87" s="20" t="s">
        <v>619</v>
      </c>
      <c r="BX87" s="20">
        <v>0</v>
      </c>
      <c r="BY87" s="20" t="s">
        <v>130</v>
      </c>
      <c r="BZ87" s="20" t="s">
        <v>37</v>
      </c>
    </row>
    <row r="88" spans="1:78">
      <c r="A88">
        <v>10087</v>
      </c>
      <c r="B88" s="12"/>
      <c r="C88" s="12" t="s">
        <v>228</v>
      </c>
      <c r="D88" s="14">
        <v>1</v>
      </c>
      <c r="E88" s="14">
        <v>1</v>
      </c>
      <c r="F88" s="12" t="s">
        <v>2253</v>
      </c>
      <c r="G88" s="13">
        <v>1</v>
      </c>
      <c r="H88" s="12" t="s">
        <v>2254</v>
      </c>
      <c r="I88" s="12" t="s">
        <v>35</v>
      </c>
      <c r="J88" s="15"/>
      <c r="K88" s="15" t="s">
        <v>230</v>
      </c>
      <c r="L88" s="16">
        <v>1</v>
      </c>
      <c r="M88" s="16">
        <v>1</v>
      </c>
      <c r="N88" s="15" t="s">
        <v>2255</v>
      </c>
      <c r="O88" s="15" t="s">
        <v>2256</v>
      </c>
      <c r="P88" s="17">
        <v>0</v>
      </c>
      <c r="Q88" s="15" t="s">
        <v>62</v>
      </c>
      <c r="R88" s="15">
        <v>0</v>
      </c>
      <c r="S88" s="15" t="s">
        <v>2257</v>
      </c>
      <c r="T88" s="15" t="s">
        <v>35</v>
      </c>
      <c r="U88" s="18"/>
      <c r="V88" s="18" t="s">
        <v>565</v>
      </c>
      <c r="W88" s="19">
        <v>1</v>
      </c>
      <c r="X88" s="19">
        <v>1</v>
      </c>
      <c r="Y88" s="18" t="s">
        <v>2258</v>
      </c>
      <c r="Z88" s="18" t="s">
        <v>167</v>
      </c>
      <c r="AA88" s="18">
        <v>0</v>
      </c>
      <c r="AB88" s="29" t="s">
        <v>1877</v>
      </c>
      <c r="AC88" s="18">
        <v>0.5</v>
      </c>
      <c r="AD88" s="18" t="s">
        <v>165</v>
      </c>
      <c r="AE88" s="18" t="s">
        <v>42</v>
      </c>
      <c r="AF88" s="20"/>
      <c r="AG88" s="20" t="s">
        <v>238</v>
      </c>
      <c r="AH88" s="21">
        <v>1</v>
      </c>
      <c r="AI88" s="21">
        <v>1</v>
      </c>
      <c r="AJ88" s="20" t="s">
        <v>2259</v>
      </c>
      <c r="AK88" s="20">
        <v>0</v>
      </c>
      <c r="AL88" s="20" t="s">
        <v>2260</v>
      </c>
      <c r="AM88" s="20" t="s">
        <v>37</v>
      </c>
      <c r="AN88" s="15"/>
      <c r="AO88" s="15" t="s">
        <v>591</v>
      </c>
      <c r="AP88" s="16">
        <v>1</v>
      </c>
      <c r="AQ88" s="16">
        <v>1</v>
      </c>
      <c r="AR88" s="15" t="s">
        <v>2261</v>
      </c>
      <c r="AS88" s="15" t="s">
        <v>2262</v>
      </c>
      <c r="AT88" s="15">
        <v>3</v>
      </c>
      <c r="AU88" s="17">
        <v>0</v>
      </c>
      <c r="AV88" s="15" t="s">
        <v>62</v>
      </c>
      <c r="AW88" s="15">
        <v>1</v>
      </c>
      <c r="AX88" s="15" t="s">
        <v>2263</v>
      </c>
      <c r="AY88" s="15" t="s">
        <v>37</v>
      </c>
      <c r="AZ88" s="18"/>
      <c r="BA88" s="18" t="s">
        <v>2264</v>
      </c>
      <c r="BB88" s="19">
        <v>1</v>
      </c>
      <c r="BC88" s="19">
        <v>1</v>
      </c>
      <c r="BD88" s="18" t="s">
        <v>2265</v>
      </c>
      <c r="BE88" s="18">
        <v>1</v>
      </c>
      <c r="BF88" s="18" t="s">
        <v>2266</v>
      </c>
      <c r="BG88" s="18" t="s">
        <v>42</v>
      </c>
      <c r="BH88" s="12"/>
      <c r="BI88" s="12" t="s">
        <v>3035</v>
      </c>
      <c r="BJ88" s="12">
        <v>1</v>
      </c>
      <c r="BK88" s="12">
        <v>1</v>
      </c>
      <c r="BL88" s="12" t="s">
        <v>3036</v>
      </c>
      <c r="BM88" s="12">
        <v>0.5</v>
      </c>
      <c r="BN88" s="12" t="s">
        <v>2268</v>
      </c>
      <c r="BO88" s="12" t="s">
        <v>35</v>
      </c>
      <c r="BP88" s="20"/>
      <c r="BQ88" s="20" t="s">
        <v>3691</v>
      </c>
      <c r="BR88" s="20">
        <v>0</v>
      </c>
      <c r="BS88" s="20">
        <v>1</v>
      </c>
      <c r="BT88" s="20" t="s">
        <v>3692</v>
      </c>
      <c r="BU88" s="20" t="s">
        <v>3693</v>
      </c>
      <c r="BV88" s="20">
        <v>1</v>
      </c>
      <c r="BW88" s="20" t="s">
        <v>62</v>
      </c>
      <c r="BX88" s="20">
        <v>0</v>
      </c>
      <c r="BY88" s="20" t="s">
        <v>2270</v>
      </c>
      <c r="BZ88" s="20" t="s">
        <v>35</v>
      </c>
    </row>
    <row r="89" spans="1:78">
      <c r="A89">
        <v>10088</v>
      </c>
      <c r="B89" s="12"/>
      <c r="C89" s="12" t="s">
        <v>2271</v>
      </c>
      <c r="D89" s="14">
        <v>1</v>
      </c>
      <c r="E89" s="14">
        <v>1</v>
      </c>
      <c r="F89" s="12" t="s">
        <v>2272</v>
      </c>
      <c r="G89" s="13">
        <v>3</v>
      </c>
      <c r="H89" s="12" t="s">
        <v>2273</v>
      </c>
      <c r="I89" s="12" t="s">
        <v>37</v>
      </c>
      <c r="J89" s="15"/>
      <c r="K89" s="15" t="s">
        <v>2274</v>
      </c>
      <c r="L89" s="16">
        <v>1</v>
      </c>
      <c r="M89" s="16">
        <v>1</v>
      </c>
      <c r="N89" s="15" t="s">
        <v>2275</v>
      </c>
      <c r="O89" s="15" t="s">
        <v>2276</v>
      </c>
      <c r="P89" s="17">
        <v>2</v>
      </c>
      <c r="Q89" s="15" t="s">
        <v>2277</v>
      </c>
      <c r="R89" s="15">
        <v>1</v>
      </c>
      <c r="S89" s="15" t="s">
        <v>2278</v>
      </c>
      <c r="T89" s="15" t="s">
        <v>37</v>
      </c>
      <c r="U89" s="18"/>
      <c r="V89" s="18" t="s">
        <v>2279</v>
      </c>
      <c r="W89" s="19">
        <v>1</v>
      </c>
      <c r="X89" s="19">
        <v>1</v>
      </c>
      <c r="Y89" s="18" t="s">
        <v>2280</v>
      </c>
      <c r="Z89" s="18" t="s">
        <v>2281</v>
      </c>
      <c r="AA89" s="18">
        <v>2</v>
      </c>
      <c r="AB89" s="29" t="s">
        <v>2282</v>
      </c>
      <c r="AC89" s="18">
        <v>0</v>
      </c>
      <c r="AD89" s="18" t="s">
        <v>2283</v>
      </c>
      <c r="AE89" s="18" t="s">
        <v>37</v>
      </c>
      <c r="AF89" s="20"/>
      <c r="AG89" s="20" t="s">
        <v>2284</v>
      </c>
      <c r="AH89" s="21">
        <v>1</v>
      </c>
      <c r="AI89" s="21">
        <v>1</v>
      </c>
      <c r="AJ89" s="20" t="s">
        <v>116</v>
      </c>
      <c r="AK89" s="20">
        <v>0</v>
      </c>
      <c r="AL89" s="20" t="s">
        <v>2285</v>
      </c>
      <c r="AM89" s="20" t="s">
        <v>43</v>
      </c>
      <c r="AN89" s="15"/>
      <c r="AO89" s="15" t="s">
        <v>2286</v>
      </c>
      <c r="AP89" s="16">
        <v>1</v>
      </c>
      <c r="AQ89" s="16">
        <v>1</v>
      </c>
      <c r="AR89" s="15" t="s">
        <v>2287</v>
      </c>
      <c r="AS89" s="15" t="s">
        <v>2288</v>
      </c>
      <c r="AT89" s="15">
        <v>3</v>
      </c>
      <c r="AU89" s="17">
        <v>2</v>
      </c>
      <c r="AV89" s="15" t="s">
        <v>2289</v>
      </c>
      <c r="AW89" s="15">
        <v>1</v>
      </c>
      <c r="AX89" s="15" t="s">
        <v>2290</v>
      </c>
      <c r="AY89" s="15" t="s">
        <v>43</v>
      </c>
      <c r="AZ89" s="18"/>
      <c r="BA89" s="18" t="s">
        <v>2291</v>
      </c>
      <c r="BB89" s="19">
        <v>1</v>
      </c>
      <c r="BC89" s="19">
        <v>0</v>
      </c>
      <c r="BD89" s="18" t="s">
        <v>134</v>
      </c>
      <c r="BE89" s="18">
        <v>0</v>
      </c>
      <c r="BF89" s="18" t="s">
        <v>2292</v>
      </c>
      <c r="BG89" s="18" t="s">
        <v>42</v>
      </c>
      <c r="BH89" s="12"/>
      <c r="BI89" s="12" t="s">
        <v>248</v>
      </c>
      <c r="BJ89" s="12">
        <v>1</v>
      </c>
      <c r="BK89" s="12">
        <v>1</v>
      </c>
      <c r="BL89" s="12" t="s">
        <v>845</v>
      </c>
      <c r="BM89" s="12">
        <v>0.5</v>
      </c>
      <c r="BN89" s="12" t="s">
        <v>2295</v>
      </c>
      <c r="BO89" s="12" t="s">
        <v>43</v>
      </c>
      <c r="BP89" s="20"/>
      <c r="BQ89" s="20" t="s">
        <v>383</v>
      </c>
      <c r="BR89" s="20">
        <v>1</v>
      </c>
      <c r="BS89" s="20">
        <v>1</v>
      </c>
      <c r="BT89" s="20" t="s">
        <v>197</v>
      </c>
      <c r="BU89" s="20" t="s">
        <v>577</v>
      </c>
      <c r="BV89" s="20">
        <v>0</v>
      </c>
      <c r="BW89" s="20" t="s">
        <v>2299</v>
      </c>
      <c r="BX89" s="20">
        <v>0</v>
      </c>
      <c r="BY89" s="20" t="s">
        <v>2300</v>
      </c>
      <c r="BZ89" s="20" t="s">
        <v>42</v>
      </c>
    </row>
    <row r="90" spans="1:78">
      <c r="A90">
        <v>10089</v>
      </c>
      <c r="B90" s="12"/>
      <c r="C90" s="12" t="s">
        <v>2301</v>
      </c>
      <c r="D90" s="14">
        <v>1</v>
      </c>
      <c r="E90" s="14">
        <v>1</v>
      </c>
      <c r="F90" s="12" t="s">
        <v>2302</v>
      </c>
      <c r="G90" s="13">
        <v>3</v>
      </c>
      <c r="H90" s="12" t="s">
        <v>2303</v>
      </c>
      <c r="I90" s="12" t="s">
        <v>43</v>
      </c>
      <c r="J90" s="15"/>
      <c r="K90" s="15" t="s">
        <v>2304</v>
      </c>
      <c r="L90" s="16">
        <v>1</v>
      </c>
      <c r="M90" s="16">
        <v>1</v>
      </c>
      <c r="N90" s="15" t="s">
        <v>2305</v>
      </c>
      <c r="O90" s="15" t="s">
        <v>2306</v>
      </c>
      <c r="P90" s="17">
        <v>0</v>
      </c>
      <c r="Q90" s="15" t="s">
        <v>2307</v>
      </c>
      <c r="R90" s="15">
        <v>0.5</v>
      </c>
      <c r="S90" s="15" t="s">
        <v>2308</v>
      </c>
      <c r="T90" s="15" t="s">
        <v>67</v>
      </c>
      <c r="U90" s="18"/>
      <c r="V90" s="18" t="s">
        <v>2309</v>
      </c>
      <c r="W90" s="18">
        <v>1</v>
      </c>
      <c r="X90" s="18">
        <v>1</v>
      </c>
      <c r="Y90" s="18" t="s">
        <v>2310</v>
      </c>
      <c r="Z90" s="18" t="s">
        <v>2311</v>
      </c>
      <c r="AA90" s="18">
        <v>0</v>
      </c>
      <c r="AB90" s="29" t="s">
        <v>2312</v>
      </c>
      <c r="AC90" s="18">
        <v>1</v>
      </c>
      <c r="AD90" s="18" t="s">
        <v>2313</v>
      </c>
      <c r="AE90" s="18" t="s">
        <v>42</v>
      </c>
      <c r="AF90" s="20"/>
      <c r="AG90" s="20" t="s">
        <v>2314</v>
      </c>
      <c r="AH90" s="21">
        <v>1</v>
      </c>
      <c r="AI90" s="21">
        <v>1</v>
      </c>
      <c r="AJ90" s="20" t="s">
        <v>2315</v>
      </c>
      <c r="AK90" s="20">
        <v>1</v>
      </c>
      <c r="AL90" s="20" t="s">
        <v>2316</v>
      </c>
      <c r="AM90" s="20" t="s">
        <v>43</v>
      </c>
      <c r="AN90" s="15"/>
      <c r="AO90" s="15" t="s">
        <v>2317</v>
      </c>
      <c r="AP90" s="16">
        <v>1</v>
      </c>
      <c r="AQ90" s="16">
        <v>1</v>
      </c>
      <c r="AR90" s="15" t="s">
        <v>2318</v>
      </c>
      <c r="AS90" s="15" t="s">
        <v>2319</v>
      </c>
      <c r="AT90" s="15">
        <v>3</v>
      </c>
      <c r="AU90" s="17">
        <v>0</v>
      </c>
      <c r="AV90" s="15" t="s">
        <v>2320</v>
      </c>
      <c r="AW90" s="15">
        <v>1</v>
      </c>
      <c r="AX90" s="15" t="s">
        <v>2321</v>
      </c>
      <c r="AY90" s="15" t="s">
        <v>67</v>
      </c>
      <c r="AZ90" s="18"/>
      <c r="BA90" s="18" t="s">
        <v>2322</v>
      </c>
      <c r="BB90" s="19">
        <v>1</v>
      </c>
      <c r="BC90" s="19">
        <v>1</v>
      </c>
      <c r="BD90" s="18" t="s">
        <v>2323</v>
      </c>
      <c r="BE90" s="18">
        <v>1</v>
      </c>
      <c r="BF90" s="18" t="s">
        <v>2324</v>
      </c>
      <c r="BG90" s="18" t="s">
        <v>42</v>
      </c>
      <c r="BH90" s="12"/>
      <c r="BI90" s="12" t="s">
        <v>3732</v>
      </c>
      <c r="BJ90" s="12">
        <v>1</v>
      </c>
      <c r="BK90" s="12">
        <v>1</v>
      </c>
      <c r="BL90" s="12" t="s">
        <v>3733</v>
      </c>
      <c r="BM90" s="12">
        <v>0.5</v>
      </c>
      <c r="BN90" s="12" t="s">
        <v>2327</v>
      </c>
      <c r="BO90" s="12" t="s">
        <v>37</v>
      </c>
      <c r="BP90" s="20"/>
      <c r="BQ90" s="20" t="s">
        <v>250</v>
      </c>
      <c r="BR90" s="20">
        <v>1</v>
      </c>
      <c r="BS90" s="20">
        <v>1</v>
      </c>
      <c r="BT90" s="20" t="s">
        <v>145</v>
      </c>
      <c r="BU90" s="20" t="s">
        <v>126</v>
      </c>
      <c r="BV90" s="20">
        <v>0</v>
      </c>
      <c r="BW90" s="20" t="s">
        <v>41</v>
      </c>
      <c r="BX90" s="20">
        <v>0</v>
      </c>
      <c r="BY90" s="20" t="s">
        <v>2331</v>
      </c>
      <c r="BZ90" s="20" t="s">
        <v>42</v>
      </c>
    </row>
    <row r="91" spans="1:78">
      <c r="A91">
        <v>10090</v>
      </c>
      <c r="B91" s="12"/>
      <c r="C91" s="12" t="s">
        <v>228</v>
      </c>
      <c r="D91" s="14">
        <v>1</v>
      </c>
      <c r="E91" s="14">
        <v>1</v>
      </c>
      <c r="F91" s="12" t="s">
        <v>2332</v>
      </c>
      <c r="G91" s="13">
        <v>3</v>
      </c>
      <c r="H91" s="12" t="s">
        <v>2333</v>
      </c>
      <c r="I91" s="12" t="s">
        <v>42</v>
      </c>
      <c r="J91" s="15"/>
      <c r="K91" s="15" t="s">
        <v>2334</v>
      </c>
      <c r="L91" s="16">
        <v>1</v>
      </c>
      <c r="M91" s="16">
        <v>1</v>
      </c>
      <c r="N91" s="15" t="s">
        <v>2335</v>
      </c>
      <c r="O91" s="15" t="s">
        <v>2336</v>
      </c>
      <c r="P91" s="17">
        <v>1</v>
      </c>
      <c r="Q91" s="15" t="s">
        <v>608</v>
      </c>
      <c r="R91" s="15">
        <v>0.5</v>
      </c>
      <c r="S91" s="15" t="s">
        <v>169</v>
      </c>
      <c r="T91" s="15" t="s">
        <v>43</v>
      </c>
      <c r="U91" s="18"/>
      <c r="V91" s="18" t="s">
        <v>263</v>
      </c>
      <c r="W91" s="19">
        <v>1</v>
      </c>
      <c r="X91" s="19">
        <v>1</v>
      </c>
      <c r="Y91" s="18" t="s">
        <v>2337</v>
      </c>
      <c r="Z91" s="18" t="s">
        <v>204</v>
      </c>
      <c r="AA91" s="18">
        <v>0</v>
      </c>
      <c r="AB91" s="29" t="s">
        <v>2338</v>
      </c>
      <c r="AC91" s="18">
        <v>0.5</v>
      </c>
      <c r="AD91" s="18" t="s">
        <v>2339</v>
      </c>
      <c r="AE91" s="18" t="s">
        <v>35</v>
      </c>
      <c r="AF91" s="20"/>
      <c r="AG91" s="20" t="s">
        <v>771</v>
      </c>
      <c r="AH91" s="21">
        <v>1</v>
      </c>
      <c r="AI91" s="21">
        <v>1</v>
      </c>
      <c r="AJ91" s="20" t="s">
        <v>104</v>
      </c>
      <c r="AK91" s="20">
        <v>0</v>
      </c>
      <c r="AL91" s="20" t="s">
        <v>2340</v>
      </c>
      <c r="AM91" s="20" t="s">
        <v>35</v>
      </c>
      <c r="AN91" s="15"/>
      <c r="AO91" s="15" t="s">
        <v>2341</v>
      </c>
      <c r="AP91" s="16">
        <v>1</v>
      </c>
      <c r="AQ91" s="16">
        <v>1</v>
      </c>
      <c r="AR91" s="15" t="s">
        <v>97</v>
      </c>
      <c r="AS91" s="15" t="s">
        <v>2342</v>
      </c>
      <c r="AT91" s="15">
        <v>1</v>
      </c>
      <c r="AU91" s="17">
        <v>0</v>
      </c>
      <c r="AV91" s="15" t="s">
        <v>62</v>
      </c>
      <c r="AW91" s="15">
        <v>1</v>
      </c>
      <c r="AX91" s="15" t="s">
        <v>2340</v>
      </c>
      <c r="AY91" s="15" t="s">
        <v>35</v>
      </c>
      <c r="AZ91" s="18"/>
      <c r="BA91" s="18" t="s">
        <v>2343</v>
      </c>
      <c r="BB91" s="19">
        <v>1</v>
      </c>
      <c r="BC91" s="19">
        <v>1</v>
      </c>
      <c r="BD91" s="18" t="s">
        <v>78</v>
      </c>
      <c r="BE91" s="18">
        <v>0</v>
      </c>
      <c r="BF91" s="18" t="s">
        <v>169</v>
      </c>
      <c r="BG91" s="18" t="s">
        <v>43</v>
      </c>
      <c r="BH91" s="12"/>
      <c r="BI91" s="12" t="s">
        <v>1342</v>
      </c>
      <c r="BJ91" s="12">
        <v>1</v>
      </c>
      <c r="BK91" s="12">
        <v>1</v>
      </c>
      <c r="BL91" s="12" t="s">
        <v>1343</v>
      </c>
      <c r="BM91" s="12">
        <v>0.5</v>
      </c>
      <c r="BN91" s="12" t="s">
        <v>169</v>
      </c>
      <c r="BO91" s="12" t="s">
        <v>43</v>
      </c>
      <c r="BP91" s="20"/>
      <c r="BQ91" s="20" t="s">
        <v>250</v>
      </c>
      <c r="BR91" s="20">
        <v>1</v>
      </c>
      <c r="BS91" s="20">
        <v>1</v>
      </c>
      <c r="BT91" s="20" t="s">
        <v>2344</v>
      </c>
      <c r="BU91" s="20" t="s">
        <v>2345</v>
      </c>
      <c r="BV91" s="20">
        <v>0</v>
      </c>
      <c r="BW91" s="20" t="s">
        <v>62</v>
      </c>
      <c r="BX91" s="20">
        <v>0</v>
      </c>
      <c r="BY91" s="20" t="s">
        <v>169</v>
      </c>
      <c r="BZ91" s="20" t="s">
        <v>43</v>
      </c>
    </row>
    <row r="92" spans="1:78">
      <c r="A92">
        <v>10091</v>
      </c>
      <c r="B92" s="12"/>
      <c r="C92" s="12" t="s">
        <v>2346</v>
      </c>
      <c r="D92" s="14">
        <v>1</v>
      </c>
      <c r="E92" s="14">
        <v>0</v>
      </c>
      <c r="F92" s="12" t="s">
        <v>2347</v>
      </c>
      <c r="G92" s="13">
        <v>3</v>
      </c>
      <c r="H92" s="12" t="s">
        <v>2348</v>
      </c>
      <c r="I92" s="12" t="s">
        <v>43</v>
      </c>
      <c r="J92" s="15"/>
      <c r="K92" s="15" t="s">
        <v>2349</v>
      </c>
      <c r="L92" s="16">
        <v>1</v>
      </c>
      <c r="M92" s="16">
        <v>0</v>
      </c>
      <c r="N92" s="15" t="s">
        <v>2350</v>
      </c>
      <c r="O92" s="15" t="s">
        <v>2351</v>
      </c>
      <c r="P92" s="17">
        <v>1</v>
      </c>
      <c r="Q92" s="15" t="s">
        <v>2352</v>
      </c>
      <c r="R92" s="15">
        <v>0.5</v>
      </c>
      <c r="S92" s="15" t="s">
        <v>2353</v>
      </c>
      <c r="T92" s="15" t="s">
        <v>63</v>
      </c>
      <c r="U92" s="18"/>
      <c r="V92" s="18" t="s">
        <v>2354</v>
      </c>
      <c r="W92" s="19">
        <v>1</v>
      </c>
      <c r="X92" s="19">
        <v>0</v>
      </c>
      <c r="Y92" s="18" t="s">
        <v>2355</v>
      </c>
      <c r="Z92" s="18" t="s">
        <v>2356</v>
      </c>
      <c r="AA92" s="18">
        <v>2</v>
      </c>
      <c r="AB92" s="29" t="s">
        <v>566</v>
      </c>
      <c r="AC92" s="18">
        <v>0.5</v>
      </c>
      <c r="AD92" s="18" t="s">
        <v>2357</v>
      </c>
      <c r="AE92" s="18" t="s">
        <v>37</v>
      </c>
      <c r="AF92" s="20"/>
      <c r="AG92" s="20" t="s">
        <v>941</v>
      </c>
      <c r="AH92" s="21">
        <v>1</v>
      </c>
      <c r="AI92" s="21">
        <v>0</v>
      </c>
      <c r="AJ92" s="20" t="s">
        <v>79</v>
      </c>
      <c r="AK92" s="20">
        <v>0</v>
      </c>
      <c r="AL92" s="20" t="s">
        <v>2358</v>
      </c>
      <c r="AM92" s="20" t="s">
        <v>63</v>
      </c>
      <c r="AN92" s="15"/>
      <c r="AO92" s="15" t="s">
        <v>2359</v>
      </c>
      <c r="AP92" s="16">
        <v>1</v>
      </c>
      <c r="AQ92" s="16">
        <v>0</v>
      </c>
      <c r="AR92" s="15" t="s">
        <v>2360</v>
      </c>
      <c r="AS92" s="15" t="s">
        <v>2361</v>
      </c>
      <c r="AT92" s="15">
        <v>1</v>
      </c>
      <c r="AU92" s="17">
        <v>0</v>
      </c>
      <c r="AV92" s="15" t="s">
        <v>2362</v>
      </c>
      <c r="AW92" s="15">
        <v>0</v>
      </c>
      <c r="AX92" s="15" t="s">
        <v>2363</v>
      </c>
      <c r="AY92" s="15" t="s">
        <v>43</v>
      </c>
      <c r="AZ92" s="18"/>
      <c r="BA92" s="18" t="s">
        <v>2364</v>
      </c>
      <c r="BB92" s="19">
        <v>1</v>
      </c>
      <c r="BC92" s="19">
        <v>0</v>
      </c>
      <c r="BD92" s="18" t="s">
        <v>2365</v>
      </c>
      <c r="BE92" s="18">
        <v>0</v>
      </c>
      <c r="BF92" s="18" t="s">
        <v>2366</v>
      </c>
      <c r="BG92" s="18" t="s">
        <v>35</v>
      </c>
      <c r="BH92" s="12"/>
      <c r="BI92" s="12" t="s">
        <v>555</v>
      </c>
      <c r="BJ92" s="12">
        <v>1</v>
      </c>
      <c r="BK92" s="12">
        <v>1</v>
      </c>
      <c r="BL92" s="12" t="s">
        <v>556</v>
      </c>
      <c r="BM92" s="12">
        <v>0.5</v>
      </c>
      <c r="BN92" s="12" t="s">
        <v>2369</v>
      </c>
      <c r="BO92" s="12" t="s">
        <v>42</v>
      </c>
      <c r="BP92" s="20"/>
      <c r="BQ92" s="20" t="s">
        <v>250</v>
      </c>
      <c r="BR92" s="20">
        <v>1</v>
      </c>
      <c r="BS92" s="20">
        <v>1</v>
      </c>
      <c r="BT92" s="20" t="s">
        <v>1819</v>
      </c>
      <c r="BU92" s="20" t="s">
        <v>1820</v>
      </c>
      <c r="BV92" s="20">
        <v>0</v>
      </c>
      <c r="BW92" s="20" t="s">
        <v>51</v>
      </c>
      <c r="BX92" s="20">
        <v>0</v>
      </c>
      <c r="BY92" s="20" t="s">
        <v>2373</v>
      </c>
      <c r="BZ92" s="20" t="s">
        <v>43</v>
      </c>
    </row>
    <row r="93" spans="1:78">
      <c r="A93">
        <v>10092</v>
      </c>
      <c r="B93" s="12"/>
      <c r="C93" s="12" t="s">
        <v>2374</v>
      </c>
      <c r="D93" s="14">
        <v>1</v>
      </c>
      <c r="E93" s="14">
        <v>1</v>
      </c>
      <c r="F93" s="12" t="s">
        <v>2375</v>
      </c>
      <c r="G93" s="13">
        <v>0</v>
      </c>
      <c r="H93" s="12" t="s">
        <v>2376</v>
      </c>
      <c r="I93" s="12" t="s">
        <v>37</v>
      </c>
      <c r="J93" s="15"/>
      <c r="K93" s="15" t="s">
        <v>230</v>
      </c>
      <c r="L93" s="16">
        <v>1</v>
      </c>
      <c r="M93" s="16">
        <v>1</v>
      </c>
      <c r="N93" s="15" t="s">
        <v>2377</v>
      </c>
      <c r="O93" s="15" t="s">
        <v>2378</v>
      </c>
      <c r="P93" s="17">
        <v>1</v>
      </c>
      <c r="Q93" s="15" t="s">
        <v>608</v>
      </c>
      <c r="R93" s="15">
        <v>0.5</v>
      </c>
      <c r="S93" s="15" t="s">
        <v>2379</v>
      </c>
      <c r="T93" s="15" t="s">
        <v>37</v>
      </c>
      <c r="U93" s="18"/>
      <c r="V93" s="18" t="s">
        <v>313</v>
      </c>
      <c r="W93" s="18">
        <v>1</v>
      </c>
      <c r="X93" s="18">
        <v>1</v>
      </c>
      <c r="Y93" s="18" t="s">
        <v>2380</v>
      </c>
      <c r="Z93" s="18" t="s">
        <v>2381</v>
      </c>
      <c r="AA93" s="18">
        <v>1</v>
      </c>
      <c r="AB93" s="29" t="s">
        <v>162</v>
      </c>
      <c r="AC93" s="18">
        <v>0</v>
      </c>
      <c r="AD93" s="18" t="s">
        <v>2382</v>
      </c>
      <c r="AE93" s="18" t="s">
        <v>35</v>
      </c>
      <c r="AF93" s="20"/>
      <c r="AG93" s="20" t="s">
        <v>238</v>
      </c>
      <c r="AH93" s="21">
        <v>1</v>
      </c>
      <c r="AI93" s="21">
        <v>1</v>
      </c>
      <c r="AJ93" s="20" t="s">
        <v>59</v>
      </c>
      <c r="AK93" s="20">
        <v>0</v>
      </c>
      <c r="AL93" s="20" t="s">
        <v>2383</v>
      </c>
      <c r="AM93" s="20" t="s">
        <v>37</v>
      </c>
      <c r="AN93" s="15"/>
      <c r="AO93" s="15" t="s">
        <v>450</v>
      </c>
      <c r="AP93" s="16">
        <v>1</v>
      </c>
      <c r="AQ93" s="16">
        <v>1</v>
      </c>
      <c r="AR93" s="15" t="s">
        <v>2384</v>
      </c>
      <c r="AS93" s="15" t="s">
        <v>2385</v>
      </c>
      <c r="AT93" s="15">
        <v>1</v>
      </c>
      <c r="AU93" s="17">
        <v>0</v>
      </c>
      <c r="AV93" s="15" t="s">
        <v>2386</v>
      </c>
      <c r="AW93" s="15">
        <v>0</v>
      </c>
      <c r="AX93" s="15" t="s">
        <v>2387</v>
      </c>
      <c r="AY93" s="15" t="s">
        <v>43</v>
      </c>
      <c r="AZ93" s="18"/>
      <c r="BA93" s="18" t="s">
        <v>2388</v>
      </c>
      <c r="BB93" s="19">
        <v>1</v>
      </c>
      <c r="BC93" s="19">
        <v>1</v>
      </c>
      <c r="BD93" s="18" t="s">
        <v>61</v>
      </c>
      <c r="BE93" s="18">
        <v>0</v>
      </c>
      <c r="BF93" s="18" t="s">
        <v>2389</v>
      </c>
      <c r="BG93" s="18" t="s">
        <v>42</v>
      </c>
      <c r="BH93" s="12"/>
      <c r="BI93" s="12" t="s">
        <v>1115</v>
      </c>
      <c r="BJ93" s="12">
        <v>1</v>
      </c>
      <c r="BK93" s="12">
        <v>1</v>
      </c>
      <c r="BL93" s="12" t="s">
        <v>1116</v>
      </c>
      <c r="BM93" s="12">
        <v>0</v>
      </c>
      <c r="BN93" s="12" t="s">
        <v>93</v>
      </c>
      <c r="BO93" s="12" t="s">
        <v>37</v>
      </c>
      <c r="BP93" s="20"/>
      <c r="BQ93" s="20" t="s">
        <v>2994</v>
      </c>
      <c r="BR93" s="20">
        <v>1</v>
      </c>
      <c r="BS93" s="20">
        <v>1</v>
      </c>
      <c r="BT93" s="20" t="s">
        <v>2995</v>
      </c>
      <c r="BU93" s="20" t="s">
        <v>2996</v>
      </c>
      <c r="BV93" s="20">
        <v>1</v>
      </c>
      <c r="BW93" s="20" t="s">
        <v>162</v>
      </c>
      <c r="BX93" s="20">
        <v>0</v>
      </c>
      <c r="BY93" s="20" t="s">
        <v>2392</v>
      </c>
      <c r="BZ93" s="20" t="s">
        <v>43</v>
      </c>
    </row>
    <row r="94" spans="1:78">
      <c r="A94">
        <v>10093</v>
      </c>
      <c r="B94" s="12"/>
      <c r="C94" s="12" t="s">
        <v>255</v>
      </c>
      <c r="D94" s="14">
        <v>1</v>
      </c>
      <c r="E94" s="14">
        <v>1</v>
      </c>
      <c r="F94" s="12" t="s">
        <v>2393</v>
      </c>
      <c r="G94" s="13">
        <v>2</v>
      </c>
      <c r="H94" s="12" t="s">
        <v>2394</v>
      </c>
      <c r="I94" s="12" t="s">
        <v>37</v>
      </c>
      <c r="J94" s="15"/>
      <c r="K94" s="15" t="s">
        <v>230</v>
      </c>
      <c r="L94" s="16">
        <v>1</v>
      </c>
      <c r="M94" s="16">
        <v>1</v>
      </c>
      <c r="N94" s="15" t="s">
        <v>2395</v>
      </c>
      <c r="O94" s="15" t="s">
        <v>2396</v>
      </c>
      <c r="P94" s="17">
        <v>2</v>
      </c>
      <c r="Q94" s="15" t="s">
        <v>2397</v>
      </c>
      <c r="R94" s="15">
        <v>1</v>
      </c>
      <c r="S94" s="15" t="s">
        <v>2398</v>
      </c>
      <c r="T94" s="15" t="s">
        <v>35</v>
      </c>
      <c r="U94" s="18"/>
      <c r="V94" s="18" t="s">
        <v>565</v>
      </c>
      <c r="W94" s="19">
        <v>1</v>
      </c>
      <c r="X94" s="19">
        <v>1</v>
      </c>
      <c r="Y94" s="18" t="s">
        <v>172</v>
      </c>
      <c r="Z94" s="18" t="s">
        <v>2399</v>
      </c>
      <c r="AA94" s="18">
        <v>0</v>
      </c>
      <c r="AB94" s="29" t="s">
        <v>2400</v>
      </c>
      <c r="AC94" s="18">
        <v>0.5</v>
      </c>
      <c r="AD94" s="18" t="s">
        <v>2401</v>
      </c>
      <c r="AE94" s="18" t="s">
        <v>37</v>
      </c>
      <c r="AF94" s="20"/>
      <c r="AG94" s="20" t="s">
        <v>771</v>
      </c>
      <c r="AH94" s="21">
        <v>1</v>
      </c>
      <c r="AI94" s="21">
        <v>1</v>
      </c>
      <c r="AJ94" s="20" t="s">
        <v>59</v>
      </c>
      <c r="AK94" s="20">
        <v>0</v>
      </c>
      <c r="AL94" s="20" t="s">
        <v>2402</v>
      </c>
      <c r="AM94" s="20" t="s">
        <v>35</v>
      </c>
      <c r="AN94" s="15"/>
      <c r="AO94" s="15" t="s">
        <v>450</v>
      </c>
      <c r="AP94" s="16">
        <v>1</v>
      </c>
      <c r="AQ94" s="16">
        <v>1</v>
      </c>
      <c r="AR94" s="15" t="s">
        <v>172</v>
      </c>
      <c r="AS94" s="15" t="s">
        <v>2403</v>
      </c>
      <c r="AT94" s="15">
        <v>0</v>
      </c>
      <c r="AU94" s="17">
        <v>3</v>
      </c>
      <c r="AV94" s="15" t="s">
        <v>194</v>
      </c>
      <c r="AW94" s="15">
        <v>0</v>
      </c>
      <c r="AX94" s="15" t="s">
        <v>2404</v>
      </c>
      <c r="AY94" s="15" t="s">
        <v>36</v>
      </c>
      <c r="AZ94" s="18"/>
      <c r="BA94" s="18" t="s">
        <v>2405</v>
      </c>
      <c r="BB94" s="19">
        <v>1</v>
      </c>
      <c r="BC94" s="19">
        <v>1</v>
      </c>
      <c r="BD94" s="18" t="s">
        <v>61</v>
      </c>
      <c r="BE94" s="18">
        <v>0</v>
      </c>
      <c r="BF94" s="18" t="s">
        <v>2406</v>
      </c>
      <c r="BG94" s="18" t="s">
        <v>36</v>
      </c>
      <c r="BH94" s="12"/>
      <c r="BI94" s="12" t="s">
        <v>248</v>
      </c>
      <c r="BJ94" s="12">
        <v>1</v>
      </c>
      <c r="BK94" s="12">
        <v>1</v>
      </c>
      <c r="BL94" s="12" t="s">
        <v>862</v>
      </c>
      <c r="BM94" s="12">
        <v>0</v>
      </c>
      <c r="BN94" s="12" t="s">
        <v>2407</v>
      </c>
      <c r="BO94" s="12" t="s">
        <v>37</v>
      </c>
      <c r="BP94" s="20"/>
      <c r="BQ94" s="20" t="s">
        <v>486</v>
      </c>
      <c r="BR94" s="20">
        <v>1</v>
      </c>
      <c r="BS94" s="20">
        <v>1</v>
      </c>
      <c r="BT94" s="20" t="s">
        <v>487</v>
      </c>
      <c r="BU94" s="20" t="s">
        <v>488</v>
      </c>
      <c r="BV94" s="20">
        <v>0</v>
      </c>
      <c r="BW94" s="20" t="s">
        <v>2410</v>
      </c>
      <c r="BX94" s="20">
        <v>0</v>
      </c>
      <c r="BY94" s="20" t="s">
        <v>2407</v>
      </c>
      <c r="BZ94" s="20" t="s">
        <v>37</v>
      </c>
    </row>
    <row r="95" spans="1:78">
      <c r="A95">
        <v>10094</v>
      </c>
      <c r="B95" s="12"/>
      <c r="C95" s="12" t="s">
        <v>2411</v>
      </c>
      <c r="D95" s="14">
        <v>1</v>
      </c>
      <c r="E95" s="14">
        <v>1</v>
      </c>
      <c r="F95" s="12" t="s">
        <v>2412</v>
      </c>
      <c r="G95" s="13">
        <v>1</v>
      </c>
      <c r="H95" s="12" t="s">
        <v>2413</v>
      </c>
      <c r="I95" s="12" t="s">
        <v>35</v>
      </c>
      <c r="J95" s="15"/>
      <c r="K95" s="15" t="s">
        <v>2414</v>
      </c>
      <c r="L95" s="16">
        <v>1</v>
      </c>
      <c r="M95" s="16">
        <v>0</v>
      </c>
      <c r="N95" s="15" t="s">
        <v>2415</v>
      </c>
      <c r="O95" s="15" t="s">
        <v>2416</v>
      </c>
      <c r="P95" s="17">
        <v>0</v>
      </c>
      <c r="Q95" s="15" t="s">
        <v>608</v>
      </c>
      <c r="R95" s="15">
        <v>0.5</v>
      </c>
      <c r="S95" s="15" t="s">
        <v>2417</v>
      </c>
      <c r="T95" s="15" t="s">
        <v>42</v>
      </c>
      <c r="U95" s="18"/>
      <c r="V95" s="18" t="s">
        <v>609</v>
      </c>
      <c r="W95" s="19">
        <v>1</v>
      </c>
      <c r="X95" s="19">
        <v>1</v>
      </c>
      <c r="Y95" s="18" t="s">
        <v>2418</v>
      </c>
      <c r="Z95" s="18" t="s">
        <v>2419</v>
      </c>
      <c r="AA95" s="18">
        <v>2</v>
      </c>
      <c r="AB95" s="29" t="s">
        <v>2420</v>
      </c>
      <c r="AC95" s="18">
        <v>0.5</v>
      </c>
      <c r="AD95" s="18" t="s">
        <v>2421</v>
      </c>
      <c r="AE95" s="18" t="s">
        <v>37</v>
      </c>
      <c r="AF95" s="20"/>
      <c r="AG95" s="20" t="s">
        <v>807</v>
      </c>
      <c r="AH95" s="21">
        <v>1</v>
      </c>
      <c r="AI95" s="21">
        <v>1</v>
      </c>
      <c r="AJ95" s="20" t="s">
        <v>1494</v>
      </c>
      <c r="AK95" s="20">
        <v>0</v>
      </c>
      <c r="AL95" s="20" t="s">
        <v>2417</v>
      </c>
      <c r="AM95" s="20" t="s">
        <v>42</v>
      </c>
      <c r="AN95" s="15"/>
      <c r="AO95" s="15" t="s">
        <v>1001</v>
      </c>
      <c r="AP95" s="16">
        <v>1</v>
      </c>
      <c r="AQ95" s="16">
        <v>1</v>
      </c>
      <c r="AR95" s="15" t="s">
        <v>2422</v>
      </c>
      <c r="AS95" s="15" t="s">
        <v>2423</v>
      </c>
      <c r="AT95" s="15">
        <v>2</v>
      </c>
      <c r="AU95" s="17">
        <v>0</v>
      </c>
      <c r="AV95" s="15" t="s">
        <v>2424</v>
      </c>
      <c r="AW95" s="15">
        <v>0</v>
      </c>
      <c r="AX95" s="15" t="s">
        <v>2417</v>
      </c>
      <c r="AY95" s="15" t="s">
        <v>42</v>
      </c>
      <c r="AZ95" s="18"/>
      <c r="BA95" s="18" t="s">
        <v>2425</v>
      </c>
      <c r="BB95" s="19">
        <v>1</v>
      </c>
      <c r="BC95" s="19">
        <v>1</v>
      </c>
      <c r="BD95" s="18" t="s">
        <v>61</v>
      </c>
      <c r="BE95" s="18">
        <v>0</v>
      </c>
      <c r="BF95" s="18" t="s">
        <v>2426</v>
      </c>
      <c r="BG95" s="18" t="s">
        <v>37</v>
      </c>
      <c r="BH95" s="12"/>
      <c r="BI95" s="12" t="s">
        <v>652</v>
      </c>
      <c r="BJ95" s="12">
        <v>1</v>
      </c>
      <c r="BK95" s="12">
        <v>1</v>
      </c>
      <c r="BL95" s="12" t="s">
        <v>608</v>
      </c>
      <c r="BM95" s="12">
        <v>0.5</v>
      </c>
      <c r="BN95" s="12" t="s">
        <v>1776</v>
      </c>
      <c r="BO95" s="12" t="s">
        <v>42</v>
      </c>
      <c r="BP95" s="20"/>
      <c r="BQ95" s="20" t="s">
        <v>2738</v>
      </c>
      <c r="BR95" s="20">
        <v>1</v>
      </c>
      <c r="BS95" s="20">
        <v>0</v>
      </c>
      <c r="BT95" s="20" t="s">
        <v>2739</v>
      </c>
      <c r="BU95" s="20" t="s">
        <v>2740</v>
      </c>
      <c r="BV95" s="20">
        <v>1</v>
      </c>
      <c r="BW95" s="20" t="s">
        <v>2420</v>
      </c>
      <c r="BX95" s="20">
        <v>0</v>
      </c>
      <c r="BY95" s="20" t="s">
        <v>2430</v>
      </c>
      <c r="BZ95" s="20" t="s">
        <v>37</v>
      </c>
    </row>
    <row r="96" spans="1:78">
      <c r="A96">
        <v>10095</v>
      </c>
      <c r="B96" s="12"/>
      <c r="C96" s="12" t="s">
        <v>228</v>
      </c>
      <c r="D96" s="14">
        <v>1</v>
      </c>
      <c r="E96" s="14">
        <v>1</v>
      </c>
      <c r="F96" s="12" t="s">
        <v>2431</v>
      </c>
      <c r="G96" s="13">
        <v>1</v>
      </c>
      <c r="H96" s="12" t="s">
        <v>2432</v>
      </c>
      <c r="I96" s="12" t="s">
        <v>36</v>
      </c>
      <c r="J96" s="15"/>
      <c r="K96" s="15" t="s">
        <v>230</v>
      </c>
      <c r="L96" s="16">
        <v>1</v>
      </c>
      <c r="M96" s="16">
        <v>1</v>
      </c>
      <c r="N96" s="15" t="s">
        <v>2433</v>
      </c>
      <c r="O96" s="15" t="s">
        <v>2434</v>
      </c>
      <c r="P96" s="17">
        <v>0</v>
      </c>
      <c r="Q96" s="15" t="s">
        <v>2435</v>
      </c>
      <c r="R96" s="15">
        <v>0.5</v>
      </c>
      <c r="S96" s="15" t="s">
        <v>2436</v>
      </c>
      <c r="T96" s="15" t="s">
        <v>67</v>
      </c>
      <c r="U96" s="18"/>
      <c r="V96" s="18" t="s">
        <v>313</v>
      </c>
      <c r="W96" s="18">
        <v>1</v>
      </c>
      <c r="X96" s="18">
        <v>1</v>
      </c>
      <c r="Y96" s="18" t="s">
        <v>2437</v>
      </c>
      <c r="Z96" s="18" t="s">
        <v>2438</v>
      </c>
      <c r="AA96" s="18">
        <v>2</v>
      </c>
      <c r="AB96" s="29" t="s">
        <v>2439</v>
      </c>
      <c r="AC96" s="18">
        <v>1</v>
      </c>
      <c r="AD96" s="18" t="s">
        <v>2440</v>
      </c>
      <c r="AE96" s="18" t="s">
        <v>43</v>
      </c>
      <c r="AF96" s="20"/>
      <c r="AG96" s="20" t="s">
        <v>238</v>
      </c>
      <c r="AH96" s="21">
        <v>1</v>
      </c>
      <c r="AI96" s="21">
        <v>1</v>
      </c>
      <c r="AJ96" s="20" t="s">
        <v>2441</v>
      </c>
      <c r="AK96" s="20">
        <v>1</v>
      </c>
      <c r="AL96" s="20" t="s">
        <v>2442</v>
      </c>
      <c r="AM96" s="20" t="s">
        <v>43</v>
      </c>
      <c r="AN96" s="15"/>
      <c r="AO96" s="15" t="s">
        <v>591</v>
      </c>
      <c r="AP96" s="16">
        <v>1</v>
      </c>
      <c r="AQ96" s="16">
        <v>1</v>
      </c>
      <c r="AR96" s="15" t="s">
        <v>97</v>
      </c>
      <c r="AS96" s="15" t="s">
        <v>204</v>
      </c>
      <c r="AT96" s="15">
        <v>1</v>
      </c>
      <c r="AU96" s="17">
        <v>0</v>
      </c>
      <c r="AV96" s="15" t="s">
        <v>173</v>
      </c>
      <c r="AW96" s="15">
        <v>1</v>
      </c>
      <c r="AX96" s="15" t="s">
        <v>2443</v>
      </c>
      <c r="AY96" s="15" t="s">
        <v>36</v>
      </c>
      <c r="AZ96" s="18"/>
      <c r="BA96" s="18" t="s">
        <v>2444</v>
      </c>
      <c r="BB96" s="19">
        <v>1</v>
      </c>
      <c r="BC96" s="19">
        <v>1</v>
      </c>
      <c r="BD96" s="18" t="s">
        <v>2445</v>
      </c>
      <c r="BE96" s="18">
        <v>0</v>
      </c>
      <c r="BF96" s="18" t="s">
        <v>2446</v>
      </c>
      <c r="BG96" s="18" t="s">
        <v>43</v>
      </c>
      <c r="BH96" s="12"/>
      <c r="BI96" s="12" t="s">
        <v>898</v>
      </c>
      <c r="BJ96" s="12">
        <v>1</v>
      </c>
      <c r="BK96" s="12">
        <v>1</v>
      </c>
      <c r="BL96" s="12" t="s">
        <v>55</v>
      </c>
      <c r="BM96" s="12">
        <v>0.5</v>
      </c>
      <c r="BN96" s="12" t="s">
        <v>2448</v>
      </c>
      <c r="BO96" s="12" t="s">
        <v>37</v>
      </c>
      <c r="BP96" s="20"/>
      <c r="BQ96" s="20" t="s">
        <v>383</v>
      </c>
      <c r="BR96" s="20">
        <v>1</v>
      </c>
      <c r="BS96" s="20">
        <v>1</v>
      </c>
      <c r="BT96" s="20" t="s">
        <v>3734</v>
      </c>
      <c r="BU96" s="20" t="s">
        <v>3735</v>
      </c>
      <c r="BV96" s="20">
        <v>2</v>
      </c>
      <c r="BW96" s="20" t="s">
        <v>173</v>
      </c>
      <c r="BX96" s="20">
        <v>0</v>
      </c>
      <c r="BY96" s="20" t="s">
        <v>2451</v>
      </c>
      <c r="BZ96" s="20" t="s">
        <v>37</v>
      </c>
    </row>
    <row r="97" spans="1:78">
      <c r="A97">
        <v>10096</v>
      </c>
      <c r="B97" s="12"/>
      <c r="C97" s="12" t="s">
        <v>1822</v>
      </c>
      <c r="D97" s="14">
        <v>1</v>
      </c>
      <c r="E97" s="14">
        <v>1</v>
      </c>
      <c r="F97" s="12" t="s">
        <v>145</v>
      </c>
      <c r="G97" s="13">
        <v>0</v>
      </c>
      <c r="H97" s="12" t="s">
        <v>2452</v>
      </c>
      <c r="I97" s="12" t="s">
        <v>64</v>
      </c>
      <c r="J97" s="15"/>
      <c r="K97" s="15" t="s">
        <v>2453</v>
      </c>
      <c r="L97" s="16">
        <v>1</v>
      </c>
      <c r="M97" s="16">
        <v>1</v>
      </c>
      <c r="N97" s="15" t="s">
        <v>2454</v>
      </c>
      <c r="O97" s="15" t="s">
        <v>2455</v>
      </c>
      <c r="P97" s="17">
        <v>1</v>
      </c>
      <c r="Q97" s="15" t="s">
        <v>52</v>
      </c>
      <c r="R97" s="15">
        <v>0.5</v>
      </c>
      <c r="S97" s="15" t="s">
        <v>46</v>
      </c>
      <c r="T97" s="15" t="s">
        <v>37</v>
      </c>
      <c r="U97" s="18"/>
      <c r="V97" s="18" t="s">
        <v>2456</v>
      </c>
      <c r="W97" s="18">
        <v>1</v>
      </c>
      <c r="X97" s="18">
        <v>1</v>
      </c>
      <c r="Y97" s="18" t="s">
        <v>2457</v>
      </c>
      <c r="Z97" s="18" t="s">
        <v>2458</v>
      </c>
      <c r="AA97" s="18">
        <v>2</v>
      </c>
      <c r="AB97" s="29" t="s">
        <v>133</v>
      </c>
      <c r="AC97" s="18">
        <v>0.5</v>
      </c>
      <c r="AD97" s="18" t="s">
        <v>46</v>
      </c>
      <c r="AE97" s="18" t="s">
        <v>35</v>
      </c>
      <c r="AF97" s="20"/>
      <c r="AG97" s="20" t="s">
        <v>2459</v>
      </c>
      <c r="AH97" s="21">
        <v>1</v>
      </c>
      <c r="AI97" s="21">
        <v>1</v>
      </c>
      <c r="AJ97" s="20" t="s">
        <v>2460</v>
      </c>
      <c r="AK97" s="20">
        <v>0</v>
      </c>
      <c r="AL97" s="20" t="s">
        <v>46</v>
      </c>
      <c r="AM97" s="20" t="s">
        <v>35</v>
      </c>
      <c r="AN97" s="15"/>
      <c r="AO97" s="15" t="s">
        <v>2461</v>
      </c>
      <c r="AP97" s="16">
        <v>1</v>
      </c>
      <c r="AQ97" s="16">
        <v>1</v>
      </c>
      <c r="AR97" s="15" t="s">
        <v>2462</v>
      </c>
      <c r="AS97" s="15" t="s">
        <v>2463</v>
      </c>
      <c r="AT97" s="15">
        <v>3</v>
      </c>
      <c r="AU97" s="17">
        <v>0</v>
      </c>
      <c r="AV97" s="15" t="s">
        <v>62</v>
      </c>
      <c r="AW97" s="15">
        <v>1</v>
      </c>
      <c r="AX97" s="15" t="s">
        <v>46</v>
      </c>
      <c r="AY97" s="15" t="s">
        <v>35</v>
      </c>
      <c r="AZ97" s="18"/>
      <c r="BA97" s="18" t="s">
        <v>2464</v>
      </c>
      <c r="BB97" s="19">
        <v>1</v>
      </c>
      <c r="BC97" s="19">
        <v>1</v>
      </c>
      <c r="BD97" s="18" t="s">
        <v>2465</v>
      </c>
      <c r="BE97" s="18">
        <v>0</v>
      </c>
      <c r="BF97" s="18" t="s">
        <v>2466</v>
      </c>
      <c r="BG97" s="18" t="s">
        <v>37</v>
      </c>
      <c r="BH97" s="12"/>
      <c r="BI97" s="12" t="s">
        <v>248</v>
      </c>
      <c r="BJ97" s="12">
        <v>1</v>
      </c>
      <c r="BK97" s="12">
        <v>1</v>
      </c>
      <c r="BL97" s="12" t="s">
        <v>62</v>
      </c>
      <c r="BM97" s="12">
        <v>0</v>
      </c>
      <c r="BN97" s="12" t="s">
        <v>46</v>
      </c>
      <c r="BO97" s="12" t="s">
        <v>35</v>
      </c>
      <c r="BP97" s="20"/>
      <c r="BQ97" s="20" t="s">
        <v>2901</v>
      </c>
      <c r="BR97" s="20">
        <v>1</v>
      </c>
      <c r="BS97" s="20">
        <v>1</v>
      </c>
      <c r="BT97" s="20" t="s">
        <v>1267</v>
      </c>
      <c r="BU97" s="20" t="s">
        <v>2902</v>
      </c>
      <c r="BV97" s="20">
        <v>1</v>
      </c>
      <c r="BW97" s="20" t="s">
        <v>62</v>
      </c>
      <c r="BX97" s="20">
        <v>0</v>
      </c>
      <c r="BY97" s="20" t="s">
        <v>46</v>
      </c>
      <c r="BZ97" s="20" t="s">
        <v>35</v>
      </c>
    </row>
    <row r="98" spans="1:78">
      <c r="A98">
        <v>10097</v>
      </c>
      <c r="B98" s="12"/>
      <c r="C98" s="12" t="s">
        <v>2470</v>
      </c>
      <c r="D98" s="14">
        <v>1</v>
      </c>
      <c r="E98" s="14">
        <v>1</v>
      </c>
      <c r="F98" s="12" t="s">
        <v>2471</v>
      </c>
      <c r="G98" s="13">
        <v>1</v>
      </c>
      <c r="H98" s="12" t="s">
        <v>2472</v>
      </c>
      <c r="I98" s="12" t="s">
        <v>43</v>
      </c>
      <c r="J98" s="15"/>
      <c r="K98" s="15" t="s">
        <v>1124</v>
      </c>
      <c r="L98" s="16">
        <v>1</v>
      </c>
      <c r="M98" s="16">
        <v>1</v>
      </c>
      <c r="N98" s="15" t="s">
        <v>2473</v>
      </c>
      <c r="O98" s="15" t="s">
        <v>2423</v>
      </c>
      <c r="P98" s="17">
        <v>0</v>
      </c>
      <c r="Q98" s="15" t="s">
        <v>1219</v>
      </c>
      <c r="R98" s="15">
        <v>0.5</v>
      </c>
      <c r="S98" s="15" t="s">
        <v>1279</v>
      </c>
      <c r="T98" s="15" t="s">
        <v>37</v>
      </c>
      <c r="U98" s="18"/>
      <c r="V98" s="18" t="s">
        <v>2474</v>
      </c>
      <c r="W98" s="18">
        <v>1</v>
      </c>
      <c r="X98" s="18">
        <v>1</v>
      </c>
      <c r="Y98" s="18" t="s">
        <v>2475</v>
      </c>
      <c r="Z98" s="18" t="s">
        <v>2476</v>
      </c>
      <c r="AA98" s="18">
        <v>2</v>
      </c>
      <c r="AB98" s="29" t="s">
        <v>2477</v>
      </c>
      <c r="AC98" s="18">
        <v>0.5</v>
      </c>
      <c r="AD98" s="18" t="s">
        <v>2478</v>
      </c>
      <c r="AE98" s="18" t="s">
        <v>37</v>
      </c>
      <c r="AF98" s="20"/>
      <c r="AG98" s="20" t="s">
        <v>548</v>
      </c>
      <c r="AH98" s="21">
        <v>1</v>
      </c>
      <c r="AI98" s="21">
        <v>1</v>
      </c>
      <c r="AJ98" s="20" t="s">
        <v>2033</v>
      </c>
      <c r="AK98" s="20">
        <v>0</v>
      </c>
      <c r="AL98" s="20" t="s">
        <v>1279</v>
      </c>
      <c r="AM98" s="20" t="s">
        <v>37</v>
      </c>
      <c r="AN98" s="15"/>
      <c r="AO98" s="15" t="s">
        <v>842</v>
      </c>
      <c r="AP98" s="16">
        <v>1</v>
      </c>
      <c r="AQ98" s="16">
        <v>1</v>
      </c>
      <c r="AR98" s="15" t="s">
        <v>97</v>
      </c>
      <c r="AS98" s="15" t="s">
        <v>2479</v>
      </c>
      <c r="AT98" s="15">
        <v>1</v>
      </c>
      <c r="AU98" s="17">
        <v>0</v>
      </c>
      <c r="AV98" s="15" t="s">
        <v>1683</v>
      </c>
      <c r="AW98" s="15">
        <v>1</v>
      </c>
      <c r="AX98" s="15" t="s">
        <v>2480</v>
      </c>
      <c r="AY98" s="15" t="s">
        <v>43</v>
      </c>
      <c r="AZ98" s="18"/>
      <c r="BA98" s="18" t="s">
        <v>2481</v>
      </c>
      <c r="BB98" s="19">
        <v>1</v>
      </c>
      <c r="BC98" s="19">
        <v>1</v>
      </c>
      <c r="BD98" s="18" t="s">
        <v>2482</v>
      </c>
      <c r="BE98" s="18">
        <v>1</v>
      </c>
      <c r="BF98" s="18" t="s">
        <v>1279</v>
      </c>
      <c r="BG98" s="18" t="s">
        <v>37</v>
      </c>
      <c r="BH98" s="12"/>
      <c r="BI98" s="12" t="s">
        <v>1138</v>
      </c>
      <c r="BJ98" s="12">
        <v>1</v>
      </c>
      <c r="BK98" s="12">
        <v>1</v>
      </c>
      <c r="BL98" s="12" t="s">
        <v>608</v>
      </c>
      <c r="BM98" s="12">
        <v>0.5</v>
      </c>
      <c r="BN98" s="12" t="s">
        <v>2483</v>
      </c>
      <c r="BO98" s="12" t="s">
        <v>43</v>
      </c>
      <c r="BP98" s="20"/>
      <c r="BQ98" s="20" t="s">
        <v>2484</v>
      </c>
      <c r="BR98" s="20">
        <v>0</v>
      </c>
      <c r="BS98" s="20">
        <v>1</v>
      </c>
      <c r="BT98" s="20" t="s">
        <v>2485</v>
      </c>
      <c r="BU98" s="20" t="s">
        <v>2486</v>
      </c>
      <c r="BV98" s="20">
        <v>0</v>
      </c>
      <c r="BW98" s="20" t="s">
        <v>2487</v>
      </c>
      <c r="BX98" s="20">
        <v>0</v>
      </c>
      <c r="BY98" s="20" t="s">
        <v>2488</v>
      </c>
      <c r="BZ98" s="20" t="s">
        <v>43</v>
      </c>
    </row>
    <row r="99" spans="1:78">
      <c r="A99">
        <v>10098</v>
      </c>
      <c r="B99" s="12"/>
      <c r="C99" s="12" t="s">
        <v>2489</v>
      </c>
      <c r="D99" s="14">
        <v>1</v>
      </c>
      <c r="E99" s="14">
        <v>1</v>
      </c>
      <c r="F99" s="12" t="s">
        <v>2490</v>
      </c>
      <c r="G99" s="13">
        <v>0</v>
      </c>
      <c r="H99" s="12" t="s">
        <v>2491</v>
      </c>
      <c r="I99" s="12" t="s">
        <v>43</v>
      </c>
      <c r="J99" s="15"/>
      <c r="K99" s="15" t="s">
        <v>2492</v>
      </c>
      <c r="L99" s="16">
        <v>1</v>
      </c>
      <c r="M99" s="16">
        <v>1</v>
      </c>
      <c r="N99" s="15" t="s">
        <v>2493</v>
      </c>
      <c r="O99" s="15" t="s">
        <v>2494</v>
      </c>
      <c r="P99" s="17">
        <v>2</v>
      </c>
      <c r="Q99" s="15" t="s">
        <v>196</v>
      </c>
      <c r="R99" s="15">
        <v>0.5</v>
      </c>
      <c r="S99" s="15" t="s">
        <v>2495</v>
      </c>
      <c r="T99" s="15" t="s">
        <v>36</v>
      </c>
      <c r="U99" s="18"/>
      <c r="V99" s="18" t="s">
        <v>2496</v>
      </c>
      <c r="W99" s="18">
        <v>1</v>
      </c>
      <c r="X99" s="18">
        <v>1</v>
      </c>
      <c r="Y99" s="18" t="s">
        <v>2497</v>
      </c>
      <c r="Z99" s="18" t="s">
        <v>2498</v>
      </c>
      <c r="AA99" s="18">
        <v>1</v>
      </c>
      <c r="AB99" s="29" t="s">
        <v>2499</v>
      </c>
      <c r="AC99" s="18">
        <v>0.5</v>
      </c>
      <c r="AD99" s="18" t="s">
        <v>2500</v>
      </c>
      <c r="AE99" s="18" t="s">
        <v>43</v>
      </c>
      <c r="AF99" s="20"/>
      <c r="AG99" s="20" t="s">
        <v>2501</v>
      </c>
      <c r="AH99" s="21">
        <v>1</v>
      </c>
      <c r="AI99" s="21">
        <v>1</v>
      </c>
      <c r="AJ99" s="20" t="s">
        <v>198</v>
      </c>
      <c r="AK99" s="20">
        <v>0</v>
      </c>
      <c r="AL99" s="20" t="s">
        <v>2502</v>
      </c>
      <c r="AM99" s="20" t="s">
        <v>43</v>
      </c>
      <c r="AN99" s="15"/>
      <c r="AO99" s="15" t="s">
        <v>2503</v>
      </c>
      <c r="AP99" s="16">
        <v>1</v>
      </c>
      <c r="AQ99" s="16">
        <v>1</v>
      </c>
      <c r="AR99" s="15" t="s">
        <v>120</v>
      </c>
      <c r="AS99" s="15" t="s">
        <v>2504</v>
      </c>
      <c r="AT99" s="15">
        <v>1</v>
      </c>
      <c r="AU99" s="17">
        <v>0</v>
      </c>
      <c r="AV99" s="15" t="s">
        <v>196</v>
      </c>
      <c r="AW99" s="15">
        <v>0</v>
      </c>
      <c r="AX99" s="15" t="s">
        <v>2505</v>
      </c>
      <c r="AY99" s="15" t="s">
        <v>36</v>
      </c>
      <c r="AZ99" s="18"/>
      <c r="BA99" s="18" t="s">
        <v>2506</v>
      </c>
      <c r="BB99" s="19">
        <v>1</v>
      </c>
      <c r="BC99" s="19">
        <v>1</v>
      </c>
      <c r="BD99" s="18" t="s">
        <v>176</v>
      </c>
      <c r="BE99" s="18">
        <v>0</v>
      </c>
      <c r="BF99" s="18" t="s">
        <v>2507</v>
      </c>
      <c r="BG99" s="18" t="s">
        <v>36</v>
      </c>
      <c r="BH99" s="12"/>
      <c r="BI99" s="12" t="s">
        <v>1658</v>
      </c>
      <c r="BJ99" s="12">
        <v>1</v>
      </c>
      <c r="BK99" s="12">
        <v>1</v>
      </c>
      <c r="BL99" s="12" t="s">
        <v>151</v>
      </c>
      <c r="BM99" s="12">
        <v>0.5</v>
      </c>
      <c r="BN99" s="12" t="s">
        <v>2509</v>
      </c>
      <c r="BO99" s="12" t="s">
        <v>37</v>
      </c>
      <c r="BP99" s="20"/>
      <c r="BQ99" s="20" t="s">
        <v>250</v>
      </c>
      <c r="BR99" s="20">
        <v>1</v>
      </c>
      <c r="BS99" s="20">
        <v>1</v>
      </c>
      <c r="BT99" s="20" t="s">
        <v>2408</v>
      </c>
      <c r="BU99" s="20" t="s">
        <v>2409</v>
      </c>
      <c r="BV99" s="20">
        <v>0</v>
      </c>
      <c r="BW99" s="20" t="s">
        <v>177</v>
      </c>
      <c r="BX99" s="20">
        <v>0</v>
      </c>
      <c r="BY99" s="20" t="s">
        <v>124</v>
      </c>
      <c r="BZ99" s="20" t="s">
        <v>43</v>
      </c>
    </row>
    <row r="100" spans="1:78">
      <c r="A100">
        <v>10099</v>
      </c>
      <c r="B100" s="12"/>
      <c r="C100" s="12" t="s">
        <v>228</v>
      </c>
      <c r="D100" s="14">
        <v>1</v>
      </c>
      <c r="E100" s="14">
        <v>1</v>
      </c>
      <c r="F100" s="12" t="s">
        <v>2512</v>
      </c>
      <c r="G100" s="13">
        <v>3</v>
      </c>
      <c r="H100" s="12" t="s">
        <v>3736</v>
      </c>
      <c r="I100" s="12" t="s">
        <v>43</v>
      </c>
      <c r="J100" s="15"/>
      <c r="K100" s="15" t="s">
        <v>230</v>
      </c>
      <c r="L100" s="16">
        <v>1</v>
      </c>
      <c r="M100" s="16">
        <v>1</v>
      </c>
      <c r="N100" s="15" t="s">
        <v>2514</v>
      </c>
      <c r="O100" s="15" t="s">
        <v>2515</v>
      </c>
      <c r="P100" s="17">
        <v>1</v>
      </c>
      <c r="Q100" s="15" t="s">
        <v>196</v>
      </c>
      <c r="R100" s="15">
        <v>0.5</v>
      </c>
      <c r="S100" s="15" t="s">
        <v>2516</v>
      </c>
      <c r="T100" s="15" t="s">
        <v>99</v>
      </c>
      <c r="U100" s="18"/>
      <c r="V100" s="18" t="s">
        <v>263</v>
      </c>
      <c r="W100" s="19">
        <v>1</v>
      </c>
      <c r="X100" s="19">
        <v>1</v>
      </c>
      <c r="Y100" s="18" t="s">
        <v>2517</v>
      </c>
      <c r="Z100" s="18" t="s">
        <v>2518</v>
      </c>
      <c r="AA100" s="18">
        <v>1</v>
      </c>
      <c r="AB100" s="29" t="s">
        <v>2519</v>
      </c>
      <c r="AC100" s="18">
        <v>0.5</v>
      </c>
      <c r="AD100" s="18" t="s">
        <v>2520</v>
      </c>
      <c r="AE100" s="18" t="s">
        <v>35</v>
      </c>
      <c r="AF100" s="20"/>
      <c r="AG100" s="20" t="s">
        <v>238</v>
      </c>
      <c r="AH100" s="21">
        <v>1</v>
      </c>
      <c r="AI100" s="21">
        <v>1</v>
      </c>
      <c r="AJ100" s="20" t="s">
        <v>2521</v>
      </c>
      <c r="AK100" s="20">
        <v>1</v>
      </c>
      <c r="AL100" s="20" t="s">
        <v>2522</v>
      </c>
      <c r="AM100" s="20" t="s">
        <v>35</v>
      </c>
      <c r="AN100" s="15"/>
      <c r="AO100" s="15" t="s">
        <v>241</v>
      </c>
      <c r="AP100" s="16">
        <v>1</v>
      </c>
      <c r="AQ100" s="16">
        <v>1</v>
      </c>
      <c r="AR100" s="15" t="s">
        <v>2523</v>
      </c>
      <c r="AS100" s="15" t="s">
        <v>2524</v>
      </c>
      <c r="AT100" s="15">
        <v>1</v>
      </c>
      <c r="AU100" s="17">
        <v>0</v>
      </c>
      <c r="AV100" s="15" t="s">
        <v>2525</v>
      </c>
      <c r="AW100" s="15">
        <v>0</v>
      </c>
      <c r="AX100" s="15" t="s">
        <v>2526</v>
      </c>
      <c r="AY100" s="15" t="s">
        <v>42</v>
      </c>
      <c r="AZ100" s="18"/>
      <c r="BA100" s="18" t="s">
        <v>2527</v>
      </c>
      <c r="BB100" s="19">
        <v>1</v>
      </c>
      <c r="BC100" s="19">
        <v>1</v>
      </c>
      <c r="BD100" s="18" t="s">
        <v>2528</v>
      </c>
      <c r="BE100" s="18">
        <v>0</v>
      </c>
      <c r="BF100" s="18" t="s">
        <v>2529</v>
      </c>
      <c r="BG100" s="18" t="s">
        <v>42</v>
      </c>
      <c r="BH100" s="12"/>
      <c r="BI100" s="12" t="s">
        <v>248</v>
      </c>
      <c r="BJ100" s="12">
        <v>1</v>
      </c>
      <c r="BK100" s="12">
        <v>1</v>
      </c>
      <c r="BL100" s="12" t="s">
        <v>3737</v>
      </c>
      <c r="BM100" s="12">
        <v>1</v>
      </c>
      <c r="BN100" s="12" t="s">
        <v>2531</v>
      </c>
      <c r="BO100" s="12" t="s">
        <v>35</v>
      </c>
      <c r="BP100" s="20"/>
      <c r="BQ100" s="20" t="s">
        <v>2043</v>
      </c>
      <c r="BR100" s="20">
        <v>1</v>
      </c>
      <c r="BS100" s="20">
        <v>1</v>
      </c>
      <c r="BT100" s="20" t="s">
        <v>2044</v>
      </c>
      <c r="BU100" s="20" t="s">
        <v>2045</v>
      </c>
      <c r="BV100" s="20">
        <v>2</v>
      </c>
      <c r="BW100" s="20" t="s">
        <v>2534</v>
      </c>
      <c r="BX100" s="20">
        <v>0</v>
      </c>
      <c r="BY100" s="20" t="s">
        <v>2535</v>
      </c>
      <c r="BZ100" s="20" t="s">
        <v>42</v>
      </c>
    </row>
    <row r="101" spans="1:78">
      <c r="A101">
        <v>10100</v>
      </c>
      <c r="B101" s="12"/>
      <c r="C101" s="12" t="s">
        <v>2536</v>
      </c>
      <c r="D101" s="14">
        <v>1</v>
      </c>
      <c r="E101" s="14">
        <v>1</v>
      </c>
      <c r="F101" s="12" t="s">
        <v>2537</v>
      </c>
      <c r="G101" s="13">
        <v>1</v>
      </c>
      <c r="H101" s="12" t="s">
        <v>2538</v>
      </c>
      <c r="I101" s="12" t="s">
        <v>42</v>
      </c>
      <c r="J101" s="15"/>
      <c r="K101" s="15" t="s">
        <v>2539</v>
      </c>
      <c r="L101" s="16">
        <v>1</v>
      </c>
      <c r="M101" s="16">
        <v>1</v>
      </c>
      <c r="N101" s="15" t="s">
        <v>2540</v>
      </c>
      <c r="O101" s="15" t="s">
        <v>2541</v>
      </c>
      <c r="P101" s="17">
        <v>2</v>
      </c>
      <c r="Q101" s="15" t="s">
        <v>2542</v>
      </c>
      <c r="R101" s="15">
        <v>0.5</v>
      </c>
      <c r="S101" s="15" t="s">
        <v>188</v>
      </c>
      <c r="T101" s="15" t="s">
        <v>42</v>
      </c>
      <c r="U101" s="18"/>
      <c r="V101" s="18" t="s">
        <v>2543</v>
      </c>
      <c r="W101" s="19">
        <v>1</v>
      </c>
      <c r="X101" s="19">
        <v>0</v>
      </c>
      <c r="Y101" s="18" t="s">
        <v>2544</v>
      </c>
      <c r="Z101" s="18" t="s">
        <v>2545</v>
      </c>
      <c r="AA101" s="18">
        <v>2</v>
      </c>
      <c r="AB101" s="29" t="s">
        <v>2546</v>
      </c>
      <c r="AC101" s="18">
        <v>0.5</v>
      </c>
      <c r="AD101" s="18" t="s">
        <v>2547</v>
      </c>
      <c r="AE101" s="18" t="s">
        <v>42</v>
      </c>
      <c r="AF101" s="20"/>
      <c r="AG101" s="20" t="s">
        <v>2548</v>
      </c>
      <c r="AH101" s="21">
        <v>1</v>
      </c>
      <c r="AI101" s="21">
        <v>0.5</v>
      </c>
      <c r="AJ101" s="20" t="s">
        <v>2549</v>
      </c>
      <c r="AK101" s="20">
        <v>0</v>
      </c>
      <c r="AL101" s="20" t="s">
        <v>2550</v>
      </c>
      <c r="AM101" s="20" t="s">
        <v>43</v>
      </c>
      <c r="AN101" s="15"/>
      <c r="AO101" s="15" t="s">
        <v>1624</v>
      </c>
      <c r="AP101" s="16">
        <v>1</v>
      </c>
      <c r="AQ101" s="16">
        <v>1</v>
      </c>
      <c r="AR101" s="15" t="s">
        <v>2551</v>
      </c>
      <c r="AS101" s="15" t="s">
        <v>2552</v>
      </c>
      <c r="AT101" s="15">
        <v>3</v>
      </c>
      <c r="AU101" s="17">
        <v>3</v>
      </c>
      <c r="AV101" s="15" t="s">
        <v>2553</v>
      </c>
      <c r="AW101" s="15">
        <v>1</v>
      </c>
      <c r="AX101" s="15" t="s">
        <v>2554</v>
      </c>
      <c r="AY101" s="15" t="s">
        <v>99</v>
      </c>
      <c r="AZ101" s="18"/>
      <c r="BA101" s="18" t="s">
        <v>2555</v>
      </c>
      <c r="BB101" s="19">
        <v>1</v>
      </c>
      <c r="BC101" s="19">
        <v>1</v>
      </c>
      <c r="BD101" s="18" t="s">
        <v>2556</v>
      </c>
      <c r="BE101" s="18">
        <v>0</v>
      </c>
      <c r="BF101" s="18" t="s">
        <v>2538</v>
      </c>
      <c r="BG101" s="18" t="s">
        <v>42</v>
      </c>
      <c r="BH101" s="12"/>
      <c r="BI101" s="12" t="s">
        <v>3592</v>
      </c>
      <c r="BJ101" s="12">
        <v>1</v>
      </c>
      <c r="BK101" s="12">
        <v>1</v>
      </c>
      <c r="BL101" s="12" t="s">
        <v>3593</v>
      </c>
      <c r="BM101" s="12">
        <v>0</v>
      </c>
      <c r="BN101" s="12" t="s">
        <v>2559</v>
      </c>
      <c r="BO101" s="12" t="s">
        <v>43</v>
      </c>
      <c r="BP101" s="20"/>
      <c r="BQ101" s="20" t="s">
        <v>2370</v>
      </c>
      <c r="BR101" s="20">
        <v>0</v>
      </c>
      <c r="BS101" s="20">
        <v>1</v>
      </c>
      <c r="BT101" s="20" t="s">
        <v>2371</v>
      </c>
      <c r="BU101" s="20" t="s">
        <v>2372</v>
      </c>
      <c r="BV101" s="20">
        <v>1</v>
      </c>
      <c r="BW101" s="20"/>
      <c r="BX101" s="20">
        <v>0</v>
      </c>
      <c r="BY101" s="20"/>
      <c r="BZ101" s="20" t="s">
        <v>37</v>
      </c>
    </row>
    <row r="102" spans="1:78">
      <c r="A102">
        <v>10101</v>
      </c>
      <c r="B102" s="12"/>
      <c r="C102" s="12" t="s">
        <v>835</v>
      </c>
      <c r="D102" s="14">
        <v>1</v>
      </c>
      <c r="E102" s="14">
        <v>1</v>
      </c>
      <c r="F102" s="12" t="s">
        <v>2561</v>
      </c>
      <c r="G102" s="13">
        <v>3</v>
      </c>
      <c r="H102" s="12" t="s">
        <v>2562</v>
      </c>
      <c r="I102" s="12" t="s">
        <v>36</v>
      </c>
      <c r="J102" s="15"/>
      <c r="K102" s="15" t="s">
        <v>837</v>
      </c>
      <c r="L102" s="16">
        <v>1</v>
      </c>
      <c r="M102" s="16">
        <v>1</v>
      </c>
      <c r="N102" s="15" t="s">
        <v>2563</v>
      </c>
      <c r="O102" s="15" t="s">
        <v>2564</v>
      </c>
      <c r="P102" s="17">
        <v>1</v>
      </c>
      <c r="Q102" s="15" t="s">
        <v>2565</v>
      </c>
      <c r="R102" s="15">
        <v>1</v>
      </c>
      <c r="S102" s="15" t="s">
        <v>2566</v>
      </c>
      <c r="T102" s="15" t="s">
        <v>37</v>
      </c>
      <c r="U102" s="18"/>
      <c r="V102" s="18" t="s">
        <v>2567</v>
      </c>
      <c r="W102" s="19">
        <v>1</v>
      </c>
      <c r="X102" s="19">
        <v>1</v>
      </c>
      <c r="Y102" s="18" t="s">
        <v>2568</v>
      </c>
      <c r="Z102" s="18" t="s">
        <v>170</v>
      </c>
      <c r="AA102" s="18">
        <v>0</v>
      </c>
      <c r="AB102" s="29" t="s">
        <v>2569</v>
      </c>
      <c r="AC102" s="18">
        <v>0.5</v>
      </c>
      <c r="AD102" s="18" t="s">
        <v>2570</v>
      </c>
      <c r="AE102" s="18" t="s">
        <v>43</v>
      </c>
      <c r="AF102" s="20"/>
      <c r="AG102" s="20" t="s">
        <v>548</v>
      </c>
      <c r="AH102" s="21">
        <v>1</v>
      </c>
      <c r="AI102" s="21">
        <v>1</v>
      </c>
      <c r="AJ102" s="20" t="s">
        <v>2571</v>
      </c>
      <c r="AK102" s="20">
        <v>0</v>
      </c>
      <c r="AL102" s="20" t="s">
        <v>2572</v>
      </c>
      <c r="AM102" s="20" t="s">
        <v>42</v>
      </c>
      <c r="AN102" s="15"/>
      <c r="AO102" s="15" t="s">
        <v>2573</v>
      </c>
      <c r="AP102" s="16">
        <v>1</v>
      </c>
      <c r="AQ102" s="16">
        <v>1</v>
      </c>
      <c r="AR102" s="15" t="s">
        <v>2574</v>
      </c>
      <c r="AS102" s="15" t="s">
        <v>2575</v>
      </c>
      <c r="AT102" s="15">
        <v>0</v>
      </c>
      <c r="AU102" s="17">
        <v>0</v>
      </c>
      <c r="AV102" s="15" t="s">
        <v>2576</v>
      </c>
      <c r="AW102" s="15">
        <v>0</v>
      </c>
      <c r="AX102" s="15" t="s">
        <v>2577</v>
      </c>
      <c r="AY102" s="15" t="s">
        <v>37</v>
      </c>
      <c r="AZ102" s="18"/>
      <c r="BA102" s="18" t="s">
        <v>2578</v>
      </c>
      <c r="BB102" s="19">
        <v>1</v>
      </c>
      <c r="BC102" s="19">
        <v>1</v>
      </c>
      <c r="BD102" s="18" t="s">
        <v>2579</v>
      </c>
      <c r="BE102" s="18">
        <v>0</v>
      </c>
      <c r="BF102" s="18" t="s">
        <v>2580</v>
      </c>
      <c r="BG102" s="18" t="s">
        <v>37</v>
      </c>
      <c r="BH102" s="12"/>
      <c r="BI102" s="12" t="s">
        <v>632</v>
      </c>
      <c r="BJ102" s="12">
        <v>1</v>
      </c>
      <c r="BK102" s="12">
        <v>1</v>
      </c>
      <c r="BL102" s="12" t="s">
        <v>47</v>
      </c>
      <c r="BM102" s="12">
        <v>0.5</v>
      </c>
      <c r="BN102" s="12" t="s">
        <v>2582</v>
      </c>
      <c r="BO102" s="12" t="s">
        <v>37</v>
      </c>
      <c r="BP102" s="20"/>
      <c r="BQ102" s="20" t="s">
        <v>3490</v>
      </c>
      <c r="BR102" s="20">
        <v>1</v>
      </c>
      <c r="BS102" s="20">
        <v>1</v>
      </c>
      <c r="BT102" s="20" t="s">
        <v>3491</v>
      </c>
      <c r="BU102" s="20" t="s">
        <v>3492</v>
      </c>
      <c r="BV102" s="20">
        <v>0</v>
      </c>
      <c r="BW102" s="20" t="s">
        <v>2584</v>
      </c>
      <c r="BX102" s="20">
        <v>0</v>
      </c>
      <c r="BY102" s="20" t="s">
        <v>2585</v>
      </c>
      <c r="BZ102" s="20" t="s">
        <v>67</v>
      </c>
    </row>
    <row r="103" spans="1:78">
      <c r="A103">
        <v>10102</v>
      </c>
      <c r="B103" s="12"/>
      <c r="C103" s="12" t="s">
        <v>2586</v>
      </c>
      <c r="D103" s="14">
        <v>1</v>
      </c>
      <c r="E103" s="14">
        <v>1</v>
      </c>
      <c r="F103" s="12" t="s">
        <v>2587</v>
      </c>
      <c r="G103" s="13">
        <v>1</v>
      </c>
      <c r="H103" s="12" t="s">
        <v>2588</v>
      </c>
      <c r="I103" s="12" t="s">
        <v>43</v>
      </c>
      <c r="J103" s="15"/>
      <c r="K103" s="15" t="s">
        <v>465</v>
      </c>
      <c r="L103" s="16">
        <v>1</v>
      </c>
      <c r="M103" s="16">
        <v>1</v>
      </c>
      <c r="N103" s="15" t="s">
        <v>2589</v>
      </c>
      <c r="O103" s="15" t="s">
        <v>2590</v>
      </c>
      <c r="P103" s="17">
        <v>1</v>
      </c>
      <c r="Q103" s="15" t="s">
        <v>2591</v>
      </c>
      <c r="R103" s="15">
        <v>0</v>
      </c>
      <c r="S103" s="15" t="s">
        <v>2592</v>
      </c>
      <c r="T103" s="15" t="s">
        <v>43</v>
      </c>
      <c r="U103" s="18"/>
      <c r="V103" s="18" t="s">
        <v>263</v>
      </c>
      <c r="W103" s="19">
        <v>1</v>
      </c>
      <c r="X103" s="19">
        <v>1</v>
      </c>
      <c r="Y103" s="18" t="s">
        <v>2593</v>
      </c>
      <c r="Z103" s="18" t="s">
        <v>2594</v>
      </c>
      <c r="AA103" s="18">
        <v>0</v>
      </c>
      <c r="AB103" s="29" t="s">
        <v>2595</v>
      </c>
      <c r="AC103" s="18">
        <v>0</v>
      </c>
      <c r="AD103" s="18" t="s">
        <v>2596</v>
      </c>
      <c r="AE103" s="18" t="s">
        <v>37</v>
      </c>
      <c r="AF103" s="20"/>
      <c r="AG103" s="20" t="s">
        <v>2597</v>
      </c>
      <c r="AH103" s="21">
        <v>1</v>
      </c>
      <c r="AI103" s="21">
        <v>1</v>
      </c>
      <c r="AJ103" s="20" t="s">
        <v>2598</v>
      </c>
      <c r="AK103" s="20">
        <v>0</v>
      </c>
      <c r="AL103" s="20" t="s">
        <v>2599</v>
      </c>
      <c r="AM103" s="20" t="s">
        <v>37</v>
      </c>
      <c r="AN103" s="15"/>
      <c r="AO103" s="15" t="s">
        <v>569</v>
      </c>
      <c r="AP103" s="16">
        <v>1</v>
      </c>
      <c r="AQ103" s="16">
        <v>1</v>
      </c>
      <c r="AR103" s="15" t="s">
        <v>2600</v>
      </c>
      <c r="AS103" s="15" t="s">
        <v>2601</v>
      </c>
      <c r="AT103" s="15">
        <v>3</v>
      </c>
      <c r="AU103" s="17">
        <v>0</v>
      </c>
      <c r="AV103" s="15" t="s">
        <v>2602</v>
      </c>
      <c r="AW103" s="15">
        <v>1</v>
      </c>
      <c r="AX103" s="15" t="s">
        <v>2603</v>
      </c>
      <c r="AY103" s="15" t="s">
        <v>37</v>
      </c>
      <c r="AZ103" s="18"/>
      <c r="BA103" s="18" t="s">
        <v>573</v>
      </c>
      <c r="BB103" s="19">
        <v>1</v>
      </c>
      <c r="BC103" s="19">
        <v>1</v>
      </c>
      <c r="BD103" s="18" t="s">
        <v>2604</v>
      </c>
      <c r="BE103" s="18">
        <v>0</v>
      </c>
      <c r="BF103" s="18" t="s">
        <v>2605</v>
      </c>
      <c r="BG103" s="18" t="s">
        <v>37</v>
      </c>
      <c r="BH103" s="12"/>
      <c r="BI103" s="12" t="s">
        <v>2623</v>
      </c>
      <c r="BJ103" s="12">
        <v>1</v>
      </c>
      <c r="BK103" s="12">
        <v>1</v>
      </c>
      <c r="BL103" s="12" t="s">
        <v>2624</v>
      </c>
      <c r="BM103" s="12">
        <v>0</v>
      </c>
      <c r="BN103" s="12" t="s">
        <v>2607</v>
      </c>
      <c r="BO103" s="12" t="s">
        <v>42</v>
      </c>
      <c r="BP103" s="20"/>
      <c r="BQ103" s="20" t="s">
        <v>3738</v>
      </c>
      <c r="BR103" s="20">
        <v>1</v>
      </c>
      <c r="BS103" s="20">
        <v>0</v>
      </c>
      <c r="BT103" s="20" t="s">
        <v>3739</v>
      </c>
      <c r="BU103" s="20" t="s">
        <v>3740</v>
      </c>
      <c r="BV103" s="20">
        <v>0</v>
      </c>
      <c r="BW103" s="20" t="s">
        <v>2610</v>
      </c>
      <c r="BX103" s="20">
        <v>0</v>
      </c>
      <c r="BY103" s="20" t="s">
        <v>2611</v>
      </c>
      <c r="BZ103" s="20" t="s">
        <v>37</v>
      </c>
    </row>
    <row r="104" spans="1:78">
      <c r="A104">
        <v>10103</v>
      </c>
      <c r="B104" s="12"/>
      <c r="C104" s="12" t="s">
        <v>835</v>
      </c>
      <c r="D104" s="14">
        <v>1</v>
      </c>
      <c r="E104" s="14">
        <v>1</v>
      </c>
      <c r="F104" s="12" t="s">
        <v>2612</v>
      </c>
      <c r="G104" s="13">
        <v>1</v>
      </c>
      <c r="H104" s="12" t="s">
        <v>93</v>
      </c>
      <c r="I104" s="12" t="s">
        <v>37</v>
      </c>
      <c r="J104" s="15"/>
      <c r="K104" s="15" t="s">
        <v>837</v>
      </c>
      <c r="L104" s="16">
        <v>1</v>
      </c>
      <c r="M104" s="16">
        <v>1</v>
      </c>
      <c r="N104" s="15" t="s">
        <v>2613</v>
      </c>
      <c r="O104" s="15" t="s">
        <v>2614</v>
      </c>
      <c r="P104" s="17">
        <v>1</v>
      </c>
      <c r="Q104" s="15" t="s">
        <v>62</v>
      </c>
      <c r="R104" s="15">
        <v>0</v>
      </c>
      <c r="S104" s="15" t="s">
        <v>2615</v>
      </c>
      <c r="T104" s="15" t="s">
        <v>36</v>
      </c>
      <c r="U104" s="18"/>
      <c r="V104" s="18" t="s">
        <v>2567</v>
      </c>
      <c r="W104" s="18">
        <v>1</v>
      </c>
      <c r="X104" s="18">
        <v>1</v>
      </c>
      <c r="Y104" s="18" t="s">
        <v>2616</v>
      </c>
      <c r="Z104" s="18" t="s">
        <v>2617</v>
      </c>
      <c r="AA104" s="18">
        <v>1</v>
      </c>
      <c r="AB104" s="29" t="s">
        <v>2618</v>
      </c>
      <c r="AC104" s="18">
        <v>0.5</v>
      </c>
      <c r="AD104" s="18" t="s">
        <v>2619</v>
      </c>
      <c r="AE104" s="18" t="s">
        <v>43</v>
      </c>
      <c r="AF104" s="20"/>
      <c r="AG104" s="20" t="s">
        <v>548</v>
      </c>
      <c r="AH104" s="21">
        <v>1</v>
      </c>
      <c r="AI104" s="21">
        <v>1</v>
      </c>
      <c r="AJ104" s="20" t="s">
        <v>116</v>
      </c>
      <c r="AK104" s="20">
        <v>0</v>
      </c>
      <c r="AL104" s="20" t="s">
        <v>93</v>
      </c>
      <c r="AM104" s="20" t="s">
        <v>37</v>
      </c>
      <c r="AN104" s="15"/>
      <c r="AO104" s="15" t="s">
        <v>2620</v>
      </c>
      <c r="AP104" s="16">
        <v>1</v>
      </c>
      <c r="AQ104" s="16">
        <v>1</v>
      </c>
      <c r="AR104" s="15" t="s">
        <v>2621</v>
      </c>
      <c r="AS104" s="15" t="s">
        <v>106</v>
      </c>
      <c r="AT104" s="15">
        <v>2</v>
      </c>
      <c r="AU104" s="17">
        <v>1</v>
      </c>
      <c r="AV104" s="15" t="s">
        <v>116</v>
      </c>
      <c r="AW104" s="15">
        <v>0</v>
      </c>
      <c r="AX104" s="15" t="s">
        <v>93</v>
      </c>
      <c r="AY104" s="15" t="s">
        <v>37</v>
      </c>
      <c r="AZ104" s="18"/>
      <c r="BA104" s="18" t="s">
        <v>2622</v>
      </c>
      <c r="BB104" s="19">
        <v>1</v>
      </c>
      <c r="BC104" s="19">
        <v>0</v>
      </c>
      <c r="BD104" s="18" t="s">
        <v>134</v>
      </c>
      <c r="BE104" s="18">
        <v>0</v>
      </c>
      <c r="BF104" s="18" t="s">
        <v>93</v>
      </c>
      <c r="BG104" s="18" t="s">
        <v>37</v>
      </c>
      <c r="BH104" s="12"/>
      <c r="BI104" s="12"/>
      <c r="BJ104" s="12">
        <v>0</v>
      </c>
      <c r="BK104" s="12">
        <v>0</v>
      </c>
      <c r="BL104" s="12"/>
      <c r="BM104" s="12">
        <v>0</v>
      </c>
      <c r="BN104" s="12" t="s">
        <v>93</v>
      </c>
      <c r="BO104" s="12" t="s">
        <v>37</v>
      </c>
      <c r="BP104" s="20"/>
      <c r="BQ104" s="20" t="s">
        <v>1273</v>
      </c>
      <c r="BR104" s="20">
        <v>0</v>
      </c>
      <c r="BS104" s="20">
        <v>0</v>
      </c>
      <c r="BT104" s="20" t="s">
        <v>1274</v>
      </c>
      <c r="BU104" s="20" t="s">
        <v>1275</v>
      </c>
      <c r="BV104" s="20">
        <v>0</v>
      </c>
      <c r="BW104" s="20" t="s">
        <v>2628</v>
      </c>
      <c r="BX104" s="20">
        <v>0</v>
      </c>
      <c r="BY104" s="20" t="s">
        <v>93</v>
      </c>
      <c r="BZ104" s="20" t="s">
        <v>37</v>
      </c>
    </row>
    <row r="105" spans="1:78">
      <c r="A105">
        <v>10104</v>
      </c>
      <c r="B105" s="12"/>
      <c r="C105" s="12" t="s">
        <v>2629</v>
      </c>
      <c r="D105" s="14">
        <v>1</v>
      </c>
      <c r="E105" s="14">
        <v>1</v>
      </c>
      <c r="F105" s="12" t="s">
        <v>2630</v>
      </c>
      <c r="G105" s="13">
        <v>2</v>
      </c>
      <c r="H105" s="12" t="s">
        <v>2631</v>
      </c>
      <c r="I105" s="12" t="s">
        <v>37</v>
      </c>
      <c r="J105" s="15"/>
      <c r="K105" s="15" t="s">
        <v>2632</v>
      </c>
      <c r="L105" s="16">
        <v>1</v>
      </c>
      <c r="M105" s="16">
        <v>1</v>
      </c>
      <c r="N105" s="15" t="s">
        <v>2633</v>
      </c>
      <c r="O105" s="15" t="s">
        <v>2634</v>
      </c>
      <c r="P105" s="17">
        <v>2</v>
      </c>
      <c r="Q105" s="15" t="s">
        <v>2635</v>
      </c>
      <c r="R105" s="15">
        <v>1</v>
      </c>
      <c r="S105" s="15" t="s">
        <v>2636</v>
      </c>
      <c r="T105" s="15" t="s">
        <v>37</v>
      </c>
      <c r="U105" s="18"/>
      <c r="V105" s="18" t="s">
        <v>2567</v>
      </c>
      <c r="W105" s="19">
        <v>1</v>
      </c>
      <c r="X105" s="19">
        <v>1</v>
      </c>
      <c r="Y105" s="18" t="s">
        <v>2637</v>
      </c>
      <c r="Z105" s="18" t="s">
        <v>2638</v>
      </c>
      <c r="AA105" s="18">
        <v>1</v>
      </c>
      <c r="AB105" s="29" t="s">
        <v>80</v>
      </c>
      <c r="AC105" s="18">
        <v>0</v>
      </c>
      <c r="AD105" s="18" t="s">
        <v>2639</v>
      </c>
      <c r="AE105" s="18" t="s">
        <v>43</v>
      </c>
      <c r="AF105" s="20"/>
      <c r="AG105" s="20" t="s">
        <v>548</v>
      </c>
      <c r="AH105" s="21">
        <v>1</v>
      </c>
      <c r="AI105" s="21">
        <v>1</v>
      </c>
      <c r="AJ105" s="20" t="s">
        <v>2640</v>
      </c>
      <c r="AK105" s="20">
        <v>0</v>
      </c>
      <c r="AL105" s="20" t="s">
        <v>2641</v>
      </c>
      <c r="AM105" s="20" t="s">
        <v>43</v>
      </c>
      <c r="AN105" s="15"/>
      <c r="AO105" s="15" t="s">
        <v>2642</v>
      </c>
      <c r="AP105" s="16">
        <v>1</v>
      </c>
      <c r="AQ105" s="16">
        <v>1</v>
      </c>
      <c r="AR105" s="15" t="s">
        <v>2643</v>
      </c>
      <c r="AS105" s="15" t="s">
        <v>2644</v>
      </c>
      <c r="AT105" s="15">
        <v>2</v>
      </c>
      <c r="AU105" s="17">
        <v>3</v>
      </c>
      <c r="AV105" s="15" t="s">
        <v>180</v>
      </c>
      <c r="AW105" s="15">
        <v>1</v>
      </c>
      <c r="AX105" s="15" t="s">
        <v>2645</v>
      </c>
      <c r="AY105" s="15" t="s">
        <v>36</v>
      </c>
      <c r="AZ105" s="18"/>
      <c r="BA105" s="18" t="s">
        <v>2646</v>
      </c>
      <c r="BB105" s="19">
        <v>1</v>
      </c>
      <c r="BC105" s="19">
        <v>1</v>
      </c>
      <c r="BD105" s="18" t="s">
        <v>81</v>
      </c>
      <c r="BE105" s="18">
        <v>0</v>
      </c>
      <c r="BF105" s="18" t="s">
        <v>2647</v>
      </c>
      <c r="BG105" s="18" t="s">
        <v>35</v>
      </c>
      <c r="BH105" s="12"/>
      <c r="BI105" s="12" t="s">
        <v>3320</v>
      </c>
      <c r="BJ105" s="12">
        <v>1</v>
      </c>
      <c r="BK105" s="12">
        <v>1</v>
      </c>
      <c r="BL105" s="12" t="s">
        <v>3321</v>
      </c>
      <c r="BM105" s="12">
        <v>0.5</v>
      </c>
      <c r="BN105" s="12" t="s">
        <v>2649</v>
      </c>
      <c r="BO105" s="12" t="s">
        <v>37</v>
      </c>
      <c r="BP105" s="20"/>
      <c r="BQ105" s="20" t="s">
        <v>2467</v>
      </c>
      <c r="BR105" s="20">
        <v>1</v>
      </c>
      <c r="BS105" s="20">
        <v>1</v>
      </c>
      <c r="BT105" s="20" t="s">
        <v>2468</v>
      </c>
      <c r="BU105" s="20" t="s">
        <v>2469</v>
      </c>
      <c r="BV105" s="20">
        <v>2</v>
      </c>
      <c r="BW105" s="20" t="s">
        <v>122</v>
      </c>
      <c r="BX105" s="20">
        <v>0</v>
      </c>
      <c r="BY105" s="20" t="s">
        <v>2653</v>
      </c>
      <c r="BZ105" s="20" t="s">
        <v>37</v>
      </c>
    </row>
    <row r="106" spans="1:78">
      <c r="A106">
        <v>10105</v>
      </c>
      <c r="B106" s="12"/>
      <c r="C106" s="12" t="s">
        <v>228</v>
      </c>
      <c r="D106" s="14">
        <v>1</v>
      </c>
      <c r="E106" s="14">
        <v>1</v>
      </c>
      <c r="F106" s="12" t="s">
        <v>2654</v>
      </c>
      <c r="G106" s="13">
        <v>1</v>
      </c>
      <c r="H106" s="12" t="s">
        <v>2655</v>
      </c>
      <c r="I106" s="12" t="s">
        <v>36</v>
      </c>
      <c r="J106" s="15"/>
      <c r="K106" s="15" t="s">
        <v>230</v>
      </c>
      <c r="L106" s="16">
        <v>1</v>
      </c>
      <c r="M106" s="16">
        <v>1</v>
      </c>
      <c r="N106" s="15" t="s">
        <v>2656</v>
      </c>
      <c r="O106" s="15" t="s">
        <v>2657</v>
      </c>
      <c r="P106" s="17">
        <v>1</v>
      </c>
      <c r="Q106" s="15" t="s">
        <v>2658</v>
      </c>
      <c r="R106" s="15">
        <v>0.5</v>
      </c>
      <c r="S106" s="15" t="s">
        <v>2659</v>
      </c>
      <c r="T106" s="15" t="s">
        <v>37</v>
      </c>
      <c r="U106" s="18"/>
      <c r="V106" s="18" t="s">
        <v>1231</v>
      </c>
      <c r="W106" s="18">
        <v>1</v>
      </c>
      <c r="X106" s="18">
        <v>1</v>
      </c>
      <c r="Y106" s="18" t="s">
        <v>2660</v>
      </c>
      <c r="Z106" s="18" t="s">
        <v>2661</v>
      </c>
      <c r="AA106" s="18">
        <v>0</v>
      </c>
      <c r="AB106" s="29" t="s">
        <v>2662</v>
      </c>
      <c r="AC106" s="18">
        <v>0.5</v>
      </c>
      <c r="AD106" s="18" t="s">
        <v>2663</v>
      </c>
      <c r="AE106" s="18" t="s">
        <v>43</v>
      </c>
      <c r="AF106" s="20"/>
      <c r="AG106" s="20" t="s">
        <v>238</v>
      </c>
      <c r="AH106" s="21">
        <v>1</v>
      </c>
      <c r="AI106" s="21">
        <v>1</v>
      </c>
      <c r="AJ106" s="20" t="s">
        <v>2664</v>
      </c>
      <c r="AK106" s="20">
        <v>0</v>
      </c>
      <c r="AL106" s="20" t="s">
        <v>2665</v>
      </c>
      <c r="AM106" s="20" t="s">
        <v>42</v>
      </c>
      <c r="AN106" s="15"/>
      <c r="AO106" s="15" t="s">
        <v>591</v>
      </c>
      <c r="AP106" s="16">
        <v>1</v>
      </c>
      <c r="AQ106" s="16">
        <v>1</v>
      </c>
      <c r="AR106" s="15" t="s">
        <v>2666</v>
      </c>
      <c r="AS106" s="15" t="s">
        <v>2667</v>
      </c>
      <c r="AT106" s="15">
        <v>1</v>
      </c>
      <c r="AU106" s="17">
        <v>0</v>
      </c>
      <c r="AV106" s="15" t="s">
        <v>2668</v>
      </c>
      <c r="AW106" s="15">
        <v>0</v>
      </c>
      <c r="AX106" s="15" t="s">
        <v>2669</v>
      </c>
      <c r="AY106" s="15" t="s">
        <v>35</v>
      </c>
      <c r="AZ106" s="18"/>
      <c r="BA106" s="18" t="s">
        <v>2670</v>
      </c>
      <c r="BB106" s="19">
        <v>1</v>
      </c>
      <c r="BC106" s="19">
        <v>1</v>
      </c>
      <c r="BD106" s="18" t="s">
        <v>2671</v>
      </c>
      <c r="BE106" s="18">
        <v>1</v>
      </c>
      <c r="BF106" s="18" t="s">
        <v>2672</v>
      </c>
      <c r="BG106" s="18" t="s">
        <v>43</v>
      </c>
      <c r="BH106" s="12"/>
      <c r="BI106" s="12" t="s">
        <v>1557</v>
      </c>
      <c r="BJ106" s="12">
        <v>1</v>
      </c>
      <c r="BK106" s="12">
        <v>1</v>
      </c>
      <c r="BL106" s="12" t="s">
        <v>1558</v>
      </c>
      <c r="BM106" s="12">
        <v>0.5</v>
      </c>
      <c r="BN106" s="12" t="s">
        <v>2674</v>
      </c>
      <c r="BO106" s="12" t="s">
        <v>37</v>
      </c>
      <c r="BP106" s="20"/>
      <c r="BQ106" s="20" t="s">
        <v>383</v>
      </c>
      <c r="BR106" s="20">
        <v>1</v>
      </c>
      <c r="BS106" s="20">
        <v>1</v>
      </c>
      <c r="BT106" s="20" t="s">
        <v>1606</v>
      </c>
      <c r="BU106" s="20" t="s">
        <v>1607</v>
      </c>
      <c r="BV106" s="20">
        <v>1</v>
      </c>
      <c r="BW106" s="20" t="s">
        <v>2677</v>
      </c>
      <c r="BX106" s="20">
        <v>0</v>
      </c>
      <c r="BY106" s="20" t="s">
        <v>2678</v>
      </c>
      <c r="BZ106" s="20" t="s">
        <v>35</v>
      </c>
    </row>
    <row r="107" spans="1:78">
      <c r="A107">
        <v>10106</v>
      </c>
      <c r="B107" s="12"/>
      <c r="C107" s="12" t="s">
        <v>604</v>
      </c>
      <c r="D107" s="14">
        <v>1</v>
      </c>
      <c r="E107" s="14">
        <v>1</v>
      </c>
      <c r="F107" s="12" t="s">
        <v>2679</v>
      </c>
      <c r="G107" s="13">
        <v>2</v>
      </c>
      <c r="H107" s="12" t="s">
        <v>2680</v>
      </c>
      <c r="I107" s="12" t="s">
        <v>43</v>
      </c>
      <c r="J107" s="15"/>
      <c r="K107" s="15" t="s">
        <v>230</v>
      </c>
      <c r="L107" s="16">
        <v>1</v>
      </c>
      <c r="M107" s="16">
        <v>1</v>
      </c>
      <c r="N107" s="15" t="s">
        <v>2681</v>
      </c>
      <c r="O107" s="15" t="s">
        <v>2682</v>
      </c>
      <c r="P107" s="17">
        <v>1</v>
      </c>
      <c r="Q107" s="15" t="s">
        <v>62</v>
      </c>
      <c r="R107" s="15">
        <v>0</v>
      </c>
      <c r="S107" s="15" t="s">
        <v>750</v>
      </c>
      <c r="T107" s="15" t="s">
        <v>37</v>
      </c>
      <c r="U107" s="18"/>
      <c r="V107" s="18" t="s">
        <v>313</v>
      </c>
      <c r="W107" s="18">
        <v>1</v>
      </c>
      <c r="X107" s="18">
        <v>1</v>
      </c>
      <c r="Y107" s="18" t="s">
        <v>2683</v>
      </c>
      <c r="Z107" s="18" t="s">
        <v>2684</v>
      </c>
      <c r="AA107" s="18">
        <v>0</v>
      </c>
      <c r="AB107" s="29" t="s">
        <v>62</v>
      </c>
      <c r="AC107" s="18">
        <v>0</v>
      </c>
      <c r="AD107" s="18" t="s">
        <v>1418</v>
      </c>
      <c r="AE107" s="18" t="s">
        <v>37</v>
      </c>
      <c r="AF107" s="20"/>
      <c r="AG107" s="20" t="s">
        <v>238</v>
      </c>
      <c r="AH107" s="21">
        <v>1</v>
      </c>
      <c r="AI107" s="21">
        <v>1</v>
      </c>
      <c r="AJ107" s="20" t="s">
        <v>62</v>
      </c>
      <c r="AK107" s="20">
        <v>0</v>
      </c>
      <c r="AL107" s="20" t="s">
        <v>93</v>
      </c>
      <c r="AM107" s="20" t="s">
        <v>37</v>
      </c>
      <c r="AN107" s="15"/>
      <c r="AO107" s="15" t="s">
        <v>615</v>
      </c>
      <c r="AP107" s="16">
        <v>1</v>
      </c>
      <c r="AQ107" s="16">
        <v>1</v>
      </c>
      <c r="AR107" s="15" t="s">
        <v>2685</v>
      </c>
      <c r="AS107" s="15" t="s">
        <v>2686</v>
      </c>
      <c r="AT107" s="15">
        <v>0</v>
      </c>
      <c r="AU107" s="17">
        <v>1</v>
      </c>
      <c r="AV107" s="15" t="s">
        <v>62</v>
      </c>
      <c r="AW107" s="15">
        <v>1</v>
      </c>
      <c r="AX107" s="15" t="s">
        <v>93</v>
      </c>
      <c r="AY107" s="15" t="s">
        <v>37</v>
      </c>
      <c r="AZ107" s="18"/>
      <c r="BA107" s="18" t="s">
        <v>573</v>
      </c>
      <c r="BB107" s="19">
        <v>1</v>
      </c>
      <c r="BC107" s="19">
        <v>1</v>
      </c>
      <c r="BD107" s="18" t="s">
        <v>151</v>
      </c>
      <c r="BE107" s="18">
        <v>0</v>
      </c>
      <c r="BF107" s="18" t="s">
        <v>2687</v>
      </c>
      <c r="BG107" s="18" t="s">
        <v>37</v>
      </c>
      <c r="BH107" s="12"/>
      <c r="BI107" s="12" t="s">
        <v>923</v>
      </c>
      <c r="BJ107" s="12">
        <v>1</v>
      </c>
      <c r="BK107" s="12">
        <v>1</v>
      </c>
      <c r="BL107" s="12" t="s">
        <v>608</v>
      </c>
      <c r="BM107" s="12">
        <v>0.5</v>
      </c>
      <c r="BN107" s="12" t="s">
        <v>93</v>
      </c>
      <c r="BO107" s="12" t="s">
        <v>37</v>
      </c>
      <c r="BP107" s="20"/>
      <c r="BQ107" s="20" t="s">
        <v>383</v>
      </c>
      <c r="BR107" s="20">
        <v>1</v>
      </c>
      <c r="BS107" s="20">
        <v>1</v>
      </c>
      <c r="BT107" s="20" t="s">
        <v>2608</v>
      </c>
      <c r="BU107" s="20" t="s">
        <v>2609</v>
      </c>
      <c r="BV107" s="20">
        <v>1</v>
      </c>
      <c r="BW107" s="20" t="s">
        <v>62</v>
      </c>
      <c r="BX107" s="20">
        <v>0</v>
      </c>
      <c r="BY107" s="20" t="s">
        <v>2689</v>
      </c>
      <c r="BZ107" s="20" t="s">
        <v>37</v>
      </c>
    </row>
    <row r="108" spans="1:78">
      <c r="A108">
        <v>10107</v>
      </c>
      <c r="B108" s="12"/>
      <c r="C108" s="12" t="s">
        <v>2690</v>
      </c>
      <c r="D108" s="14">
        <v>1</v>
      </c>
      <c r="E108" s="14">
        <v>1</v>
      </c>
      <c r="F108" s="12" t="s">
        <v>2691</v>
      </c>
      <c r="G108" s="13">
        <v>3</v>
      </c>
      <c r="H108" s="12" t="s">
        <v>2692</v>
      </c>
      <c r="I108" s="12" t="s">
        <v>67</v>
      </c>
      <c r="J108" s="15"/>
      <c r="K108" s="15" t="s">
        <v>837</v>
      </c>
      <c r="L108" s="16">
        <v>1</v>
      </c>
      <c r="M108" s="16">
        <v>1</v>
      </c>
      <c r="N108" s="15" t="s">
        <v>2693</v>
      </c>
      <c r="O108" s="15" t="s">
        <v>2694</v>
      </c>
      <c r="P108" s="17">
        <v>0</v>
      </c>
      <c r="Q108" s="15" t="s">
        <v>2695</v>
      </c>
      <c r="R108" s="15">
        <v>1</v>
      </c>
      <c r="S108" s="15" t="s">
        <v>2696</v>
      </c>
      <c r="T108" s="15" t="s">
        <v>35</v>
      </c>
      <c r="U108" s="18"/>
      <c r="V108" s="18" t="s">
        <v>2567</v>
      </c>
      <c r="W108" s="19">
        <v>1</v>
      </c>
      <c r="X108" s="19">
        <v>1</v>
      </c>
      <c r="Y108" s="18" t="s">
        <v>2697</v>
      </c>
      <c r="Z108" s="18" t="s">
        <v>2698</v>
      </c>
      <c r="AA108" s="18">
        <v>2</v>
      </c>
      <c r="AB108" s="29" t="s">
        <v>2699</v>
      </c>
      <c r="AC108" s="18">
        <v>0.5</v>
      </c>
      <c r="AD108" s="18" t="s">
        <v>2700</v>
      </c>
      <c r="AE108" s="18" t="s">
        <v>37</v>
      </c>
      <c r="AF108" s="20"/>
      <c r="AG108" s="20" t="s">
        <v>548</v>
      </c>
      <c r="AH108" s="21">
        <v>1</v>
      </c>
      <c r="AI108" s="21">
        <v>1</v>
      </c>
      <c r="AJ108" s="20" t="s">
        <v>2701</v>
      </c>
      <c r="AK108" s="20">
        <v>0</v>
      </c>
      <c r="AL108" s="20" t="s">
        <v>2702</v>
      </c>
      <c r="AM108" s="20" t="s">
        <v>42</v>
      </c>
      <c r="AN108" s="15"/>
      <c r="AO108" s="15" t="s">
        <v>842</v>
      </c>
      <c r="AP108" s="16">
        <v>1</v>
      </c>
      <c r="AQ108" s="16">
        <v>1</v>
      </c>
      <c r="AR108" s="15" t="s">
        <v>2703</v>
      </c>
      <c r="AS108" s="15" t="s">
        <v>110</v>
      </c>
      <c r="AT108" s="15">
        <v>0</v>
      </c>
      <c r="AU108" s="17">
        <v>0</v>
      </c>
      <c r="AV108" s="15" t="s">
        <v>62</v>
      </c>
      <c r="AW108" s="15">
        <v>1</v>
      </c>
      <c r="AX108" s="15" t="s">
        <v>2704</v>
      </c>
      <c r="AY108" s="15" t="s">
        <v>42</v>
      </c>
      <c r="AZ108" s="18"/>
      <c r="BA108" s="18" t="s">
        <v>2705</v>
      </c>
      <c r="BB108" s="19">
        <v>1</v>
      </c>
      <c r="BC108" s="19">
        <v>1</v>
      </c>
      <c r="BD108" s="18" t="s">
        <v>81</v>
      </c>
      <c r="BE108" s="18">
        <v>0</v>
      </c>
      <c r="BF108" s="18" t="s">
        <v>2706</v>
      </c>
      <c r="BG108" s="18" t="s">
        <v>37</v>
      </c>
      <c r="BH108" s="12"/>
      <c r="BI108" s="12" t="s">
        <v>3149</v>
      </c>
      <c r="BJ108" s="12">
        <v>1</v>
      </c>
      <c r="BK108" s="12">
        <v>1</v>
      </c>
      <c r="BL108" s="12" t="s">
        <v>62</v>
      </c>
      <c r="BM108" s="12">
        <v>0</v>
      </c>
      <c r="BN108" s="12" t="s">
        <v>2708</v>
      </c>
      <c r="BO108" s="12" t="s">
        <v>36</v>
      </c>
      <c r="BP108" s="20"/>
      <c r="BQ108" s="20" t="s">
        <v>383</v>
      </c>
      <c r="BR108" s="20">
        <v>1</v>
      </c>
      <c r="BS108" s="20">
        <v>1</v>
      </c>
      <c r="BT108" s="20" t="s">
        <v>782</v>
      </c>
      <c r="BU108" s="20" t="s">
        <v>783</v>
      </c>
      <c r="BV108" s="20">
        <v>1</v>
      </c>
      <c r="BW108" s="20" t="s">
        <v>2712</v>
      </c>
      <c r="BX108" s="20">
        <v>0</v>
      </c>
      <c r="BY108" s="20" t="s">
        <v>2713</v>
      </c>
      <c r="BZ108" s="20" t="s">
        <v>37</v>
      </c>
    </row>
    <row r="109" spans="1:78">
      <c r="A109">
        <v>10108</v>
      </c>
      <c r="B109" s="12"/>
      <c r="C109" s="12" t="s">
        <v>2714</v>
      </c>
      <c r="D109" s="14">
        <v>0</v>
      </c>
      <c r="E109" s="14">
        <v>0</v>
      </c>
      <c r="F109" s="12" t="s">
        <v>2715</v>
      </c>
      <c r="G109" s="13">
        <v>1</v>
      </c>
      <c r="H109" s="12" t="s">
        <v>2716</v>
      </c>
      <c r="I109" s="12" t="s">
        <v>43</v>
      </c>
      <c r="J109" s="15"/>
      <c r="K109" s="15" t="s">
        <v>2717</v>
      </c>
      <c r="L109" s="16">
        <v>0</v>
      </c>
      <c r="M109" s="16">
        <v>0</v>
      </c>
      <c r="N109" s="15" t="s">
        <v>2718</v>
      </c>
      <c r="O109" s="15" t="s">
        <v>2719</v>
      </c>
      <c r="P109" s="17">
        <v>0</v>
      </c>
      <c r="Q109" s="15" t="s">
        <v>2720</v>
      </c>
      <c r="R109" s="15">
        <v>0.5</v>
      </c>
      <c r="S109" s="15" t="s">
        <v>2721</v>
      </c>
      <c r="T109" s="15" t="s">
        <v>42</v>
      </c>
      <c r="U109" s="18"/>
      <c r="V109" s="18" t="s">
        <v>2722</v>
      </c>
      <c r="W109" s="19">
        <v>1</v>
      </c>
      <c r="X109" s="19">
        <v>1</v>
      </c>
      <c r="Y109" s="18" t="s">
        <v>2723</v>
      </c>
      <c r="Z109" s="18" t="s">
        <v>2724</v>
      </c>
      <c r="AA109" s="18">
        <v>2</v>
      </c>
      <c r="AB109" s="29" t="s">
        <v>2725</v>
      </c>
      <c r="AC109" s="18">
        <v>0</v>
      </c>
      <c r="AD109" s="18" t="s">
        <v>2726</v>
      </c>
      <c r="AE109" s="18" t="s">
        <v>43</v>
      </c>
      <c r="AF109" s="20"/>
      <c r="AG109" s="20" t="s">
        <v>2727</v>
      </c>
      <c r="AH109" s="21">
        <v>1</v>
      </c>
      <c r="AI109" s="21">
        <v>0.5</v>
      </c>
      <c r="AJ109" s="20" t="s">
        <v>79</v>
      </c>
      <c r="AK109" s="20">
        <v>0</v>
      </c>
      <c r="AL109" s="20" t="s">
        <v>2728</v>
      </c>
      <c r="AM109" s="20" t="s">
        <v>35</v>
      </c>
      <c r="AN109" s="15"/>
      <c r="AO109" s="15" t="s">
        <v>2729</v>
      </c>
      <c r="AP109" s="16">
        <v>1</v>
      </c>
      <c r="AQ109" s="16">
        <v>1</v>
      </c>
      <c r="AR109" s="15" t="s">
        <v>2730</v>
      </c>
      <c r="AS109" s="15" t="s">
        <v>2731</v>
      </c>
      <c r="AT109" s="15">
        <v>1</v>
      </c>
      <c r="AU109" s="17">
        <v>0</v>
      </c>
      <c r="AV109" s="15" t="s">
        <v>2732</v>
      </c>
      <c r="AW109" s="15">
        <v>0</v>
      </c>
      <c r="AX109" s="15" t="s">
        <v>2728</v>
      </c>
      <c r="AY109" s="15" t="s">
        <v>37</v>
      </c>
      <c r="AZ109" s="18"/>
      <c r="BA109" s="18" t="s">
        <v>2733</v>
      </c>
      <c r="BB109" s="19">
        <v>1</v>
      </c>
      <c r="BC109" s="19">
        <v>0</v>
      </c>
      <c r="BD109" s="18" t="s">
        <v>2734</v>
      </c>
      <c r="BE109" s="18">
        <v>0</v>
      </c>
      <c r="BF109" s="18" t="s">
        <v>2735</v>
      </c>
      <c r="BG109" s="18" t="s">
        <v>43</v>
      </c>
      <c r="BH109" s="12"/>
      <c r="BI109" s="12" t="s">
        <v>2325</v>
      </c>
      <c r="BJ109" s="12">
        <v>1</v>
      </c>
      <c r="BK109" s="12">
        <v>1</v>
      </c>
      <c r="BL109" s="12" t="s">
        <v>2326</v>
      </c>
      <c r="BM109" s="12">
        <v>1</v>
      </c>
      <c r="BN109" s="12" t="s">
        <v>2737</v>
      </c>
      <c r="BO109" s="12" t="s">
        <v>42</v>
      </c>
      <c r="BP109" s="20"/>
      <c r="BQ109" s="20" t="s">
        <v>414</v>
      </c>
      <c r="BR109" s="20">
        <v>0</v>
      </c>
      <c r="BS109" s="20">
        <v>1</v>
      </c>
      <c r="BT109" s="20" t="s">
        <v>415</v>
      </c>
      <c r="BU109" s="20" t="s">
        <v>416</v>
      </c>
      <c r="BV109" s="20">
        <v>0</v>
      </c>
      <c r="BW109" s="20" t="s">
        <v>182</v>
      </c>
      <c r="BX109" s="20">
        <v>0</v>
      </c>
      <c r="BY109" s="20" t="s">
        <v>2741</v>
      </c>
      <c r="BZ109" s="20" t="s">
        <v>43</v>
      </c>
    </row>
    <row r="110" spans="1:78">
      <c r="A110">
        <v>10109</v>
      </c>
      <c r="B110" s="12"/>
      <c r="C110" s="12" t="s">
        <v>2742</v>
      </c>
      <c r="D110" s="14">
        <v>1</v>
      </c>
      <c r="E110" s="14">
        <v>1</v>
      </c>
      <c r="F110" s="12" t="s">
        <v>2743</v>
      </c>
      <c r="G110" s="13">
        <v>3</v>
      </c>
      <c r="H110" s="12" t="s">
        <v>2744</v>
      </c>
      <c r="I110" s="12" t="s">
        <v>43</v>
      </c>
      <c r="J110" s="15"/>
      <c r="K110" s="15" t="s">
        <v>2492</v>
      </c>
      <c r="L110" s="16">
        <v>1</v>
      </c>
      <c r="M110" s="16">
        <v>1</v>
      </c>
      <c r="N110" s="15" t="s">
        <v>2745</v>
      </c>
      <c r="O110" s="15" t="s">
        <v>2746</v>
      </c>
      <c r="P110" s="17">
        <v>2</v>
      </c>
      <c r="Q110" s="15" t="s">
        <v>2747</v>
      </c>
      <c r="R110" s="15">
        <v>0.5</v>
      </c>
      <c r="S110" s="15" t="s">
        <v>2748</v>
      </c>
      <c r="T110" s="15" t="s">
        <v>43</v>
      </c>
      <c r="U110" s="18"/>
      <c r="V110" s="18" t="s">
        <v>2749</v>
      </c>
      <c r="W110" s="19">
        <v>1</v>
      </c>
      <c r="X110" s="19">
        <v>1</v>
      </c>
      <c r="Y110" s="18" t="s">
        <v>2750</v>
      </c>
      <c r="Z110" s="18" t="s">
        <v>2751</v>
      </c>
      <c r="AA110" s="18">
        <v>2</v>
      </c>
      <c r="AB110" s="29" t="s">
        <v>2752</v>
      </c>
      <c r="AC110" s="18">
        <v>1</v>
      </c>
      <c r="AD110" s="18" t="s">
        <v>2753</v>
      </c>
      <c r="AE110" s="18" t="s">
        <v>43</v>
      </c>
      <c r="AF110" s="20"/>
      <c r="AG110" s="20" t="s">
        <v>2501</v>
      </c>
      <c r="AH110" s="21">
        <v>1</v>
      </c>
      <c r="AI110" s="21">
        <v>1</v>
      </c>
      <c r="AJ110" s="20" t="s">
        <v>2754</v>
      </c>
      <c r="AK110" s="20">
        <v>1</v>
      </c>
      <c r="AL110" s="20" t="s">
        <v>2755</v>
      </c>
      <c r="AM110" s="20" t="s">
        <v>43</v>
      </c>
      <c r="AN110" s="15"/>
      <c r="AO110" s="15" t="s">
        <v>2756</v>
      </c>
      <c r="AP110" s="16">
        <v>1</v>
      </c>
      <c r="AQ110" s="16">
        <v>1</v>
      </c>
      <c r="AR110" s="15" t="s">
        <v>2757</v>
      </c>
      <c r="AS110" s="15" t="s">
        <v>2758</v>
      </c>
      <c r="AT110" s="15">
        <v>0</v>
      </c>
      <c r="AU110" s="17">
        <v>3</v>
      </c>
      <c r="AV110" s="15" t="s">
        <v>125</v>
      </c>
      <c r="AW110" s="15">
        <v>1</v>
      </c>
      <c r="AX110" s="15" t="s">
        <v>2759</v>
      </c>
      <c r="AY110" s="15" t="s">
        <v>37</v>
      </c>
      <c r="AZ110" s="18"/>
      <c r="BA110" s="18" t="s">
        <v>2760</v>
      </c>
      <c r="BB110" s="19">
        <v>1</v>
      </c>
      <c r="BC110" s="19">
        <v>1</v>
      </c>
      <c r="BD110" s="18" t="s">
        <v>2761</v>
      </c>
      <c r="BE110" s="18">
        <v>1</v>
      </c>
      <c r="BF110" s="18" t="s">
        <v>2762</v>
      </c>
      <c r="BG110" s="18" t="s">
        <v>37</v>
      </c>
      <c r="BH110" s="12"/>
      <c r="BI110" s="12" t="s">
        <v>861</v>
      </c>
      <c r="BJ110" s="12">
        <v>1</v>
      </c>
      <c r="BK110" s="12">
        <v>1</v>
      </c>
      <c r="BL110" s="12" t="s">
        <v>862</v>
      </c>
      <c r="BM110" s="12">
        <v>0</v>
      </c>
      <c r="BN110" s="12" t="s">
        <v>2765</v>
      </c>
      <c r="BO110" s="12" t="s">
        <v>43</v>
      </c>
      <c r="BP110" s="20"/>
      <c r="BQ110" s="20" t="s">
        <v>383</v>
      </c>
      <c r="BR110" s="20">
        <v>1</v>
      </c>
      <c r="BS110" s="20">
        <v>1</v>
      </c>
      <c r="BT110" s="20" t="s">
        <v>2917</v>
      </c>
      <c r="BU110" s="20" t="s">
        <v>2918</v>
      </c>
      <c r="BV110" s="20">
        <v>0</v>
      </c>
      <c r="BW110" s="20" t="s">
        <v>2769</v>
      </c>
      <c r="BX110" s="20">
        <v>0</v>
      </c>
      <c r="BY110" s="20" t="s">
        <v>2770</v>
      </c>
      <c r="BZ110" s="20" t="s">
        <v>37</v>
      </c>
    </row>
    <row r="111" spans="1:78">
      <c r="A111">
        <v>10110</v>
      </c>
      <c r="B111" s="12"/>
      <c r="C111" s="12" t="s">
        <v>228</v>
      </c>
      <c r="D111" s="14">
        <v>1</v>
      </c>
      <c r="E111" s="14">
        <v>1</v>
      </c>
      <c r="F111" s="12" t="s">
        <v>2771</v>
      </c>
      <c r="G111" s="13">
        <v>0</v>
      </c>
      <c r="H111" s="12" t="s">
        <v>2772</v>
      </c>
      <c r="I111" s="12" t="s">
        <v>43</v>
      </c>
      <c r="J111" s="15"/>
      <c r="K111" s="15" t="s">
        <v>2773</v>
      </c>
      <c r="L111" s="16">
        <v>1</v>
      </c>
      <c r="M111" s="16">
        <v>1</v>
      </c>
      <c r="N111" s="15" t="s">
        <v>2774</v>
      </c>
      <c r="O111" s="15" t="s">
        <v>2775</v>
      </c>
      <c r="P111" s="17">
        <v>0</v>
      </c>
      <c r="Q111" s="15" t="s">
        <v>52</v>
      </c>
      <c r="R111" s="15">
        <v>0.5</v>
      </c>
      <c r="S111" s="15" t="s">
        <v>2776</v>
      </c>
      <c r="T111" s="15" t="s">
        <v>35</v>
      </c>
      <c r="U111" s="18"/>
      <c r="V111" s="18" t="s">
        <v>263</v>
      </c>
      <c r="W111" s="19">
        <v>1</v>
      </c>
      <c r="X111" s="19">
        <v>1</v>
      </c>
      <c r="Y111" s="18" t="s">
        <v>2777</v>
      </c>
      <c r="Z111" s="18" t="s">
        <v>2778</v>
      </c>
      <c r="AA111" s="18">
        <v>0</v>
      </c>
      <c r="AB111" s="29" t="s">
        <v>178</v>
      </c>
      <c r="AC111" s="18">
        <v>0.5</v>
      </c>
      <c r="AD111" s="18" t="s">
        <v>2779</v>
      </c>
      <c r="AE111" s="18" t="s">
        <v>35</v>
      </c>
      <c r="AF111" s="20"/>
      <c r="AG111" s="20" t="s">
        <v>2780</v>
      </c>
      <c r="AH111" s="21">
        <v>1</v>
      </c>
      <c r="AI111" s="21">
        <v>0</v>
      </c>
      <c r="AJ111" s="20" t="s">
        <v>79</v>
      </c>
      <c r="AK111" s="20">
        <v>0</v>
      </c>
      <c r="AL111" s="20" t="s">
        <v>2779</v>
      </c>
      <c r="AM111" s="20" t="s">
        <v>35</v>
      </c>
      <c r="AN111" s="15"/>
      <c r="AO111" s="15" t="s">
        <v>450</v>
      </c>
      <c r="AP111" s="16">
        <v>1</v>
      </c>
      <c r="AQ111" s="16">
        <v>1</v>
      </c>
      <c r="AR111" s="15" t="s">
        <v>2781</v>
      </c>
      <c r="AS111" s="15" t="s">
        <v>2782</v>
      </c>
      <c r="AT111" s="15">
        <v>0</v>
      </c>
      <c r="AU111" s="17">
        <v>0</v>
      </c>
      <c r="AV111" s="15" t="s">
        <v>52</v>
      </c>
      <c r="AW111" s="15">
        <v>0</v>
      </c>
      <c r="AX111" s="15" t="s">
        <v>150</v>
      </c>
      <c r="AY111" s="15" t="s">
        <v>37</v>
      </c>
      <c r="AZ111" s="18"/>
      <c r="BA111" s="18" t="s">
        <v>2783</v>
      </c>
      <c r="BB111" s="19">
        <v>1</v>
      </c>
      <c r="BC111" s="19">
        <v>1</v>
      </c>
      <c r="BD111" s="18" t="s">
        <v>81</v>
      </c>
      <c r="BE111" s="18">
        <v>0</v>
      </c>
      <c r="BF111" s="18" t="s">
        <v>150</v>
      </c>
      <c r="BG111" s="18" t="s">
        <v>37</v>
      </c>
      <c r="BH111" s="12"/>
      <c r="BI111" s="12" t="s">
        <v>980</v>
      </c>
      <c r="BJ111" s="12">
        <v>1</v>
      </c>
      <c r="BK111" s="12">
        <v>1</v>
      </c>
      <c r="BL111" s="12" t="s">
        <v>981</v>
      </c>
      <c r="BM111" s="12">
        <v>0.5</v>
      </c>
      <c r="BN111" s="12" t="s">
        <v>150</v>
      </c>
      <c r="BO111" s="12" t="s">
        <v>37</v>
      </c>
      <c r="BP111" s="20"/>
      <c r="BQ111" s="20" t="s">
        <v>2785</v>
      </c>
      <c r="BR111" s="20">
        <v>0</v>
      </c>
      <c r="BS111" s="20">
        <v>1</v>
      </c>
      <c r="BT111" s="20" t="s">
        <v>2786</v>
      </c>
      <c r="BU111" s="20" t="s">
        <v>48</v>
      </c>
      <c r="BV111" s="20">
        <v>1</v>
      </c>
      <c r="BW111" s="20" t="s">
        <v>2787</v>
      </c>
      <c r="BX111" s="20">
        <v>0</v>
      </c>
      <c r="BY111" s="20" t="s">
        <v>150</v>
      </c>
      <c r="BZ111" s="20" t="s">
        <v>37</v>
      </c>
    </row>
    <row r="112" spans="1:78">
      <c r="A112">
        <v>10111</v>
      </c>
      <c r="B112" s="12"/>
      <c r="C112" s="12" t="s">
        <v>2788</v>
      </c>
      <c r="D112" s="14">
        <v>1</v>
      </c>
      <c r="E112" s="14">
        <v>0</v>
      </c>
      <c r="F112" s="12" t="s">
        <v>2789</v>
      </c>
      <c r="G112" s="13">
        <v>2</v>
      </c>
      <c r="H112" s="12" t="s">
        <v>2790</v>
      </c>
      <c r="I112" s="12" t="s">
        <v>43</v>
      </c>
      <c r="J112" s="15"/>
      <c r="K112" s="15" t="s">
        <v>2791</v>
      </c>
      <c r="L112" s="16">
        <v>0</v>
      </c>
      <c r="M112" s="16">
        <v>0</v>
      </c>
      <c r="N112" s="15" t="s">
        <v>2792</v>
      </c>
      <c r="O112" s="15" t="s">
        <v>2793</v>
      </c>
      <c r="P112" s="17">
        <v>1</v>
      </c>
      <c r="Q112" s="15" t="s">
        <v>2794</v>
      </c>
      <c r="R112" s="15">
        <v>0.5</v>
      </c>
      <c r="S112" s="15" t="s">
        <v>2795</v>
      </c>
      <c r="T112" s="15" t="s">
        <v>37</v>
      </c>
      <c r="U112" s="18"/>
      <c r="V112" s="18" t="s">
        <v>2796</v>
      </c>
      <c r="W112" s="19">
        <v>0</v>
      </c>
      <c r="X112" s="19">
        <v>0</v>
      </c>
      <c r="Y112" s="18" t="s">
        <v>2797</v>
      </c>
      <c r="Z112" s="18" t="s">
        <v>2798</v>
      </c>
      <c r="AA112" s="18">
        <v>0</v>
      </c>
      <c r="AB112" s="29" t="s">
        <v>105</v>
      </c>
      <c r="AC112" s="18">
        <v>0</v>
      </c>
      <c r="AD112" s="18" t="s">
        <v>2799</v>
      </c>
      <c r="AE112" s="18" t="s">
        <v>43</v>
      </c>
      <c r="AF112" s="20"/>
      <c r="AG112" s="20" t="s">
        <v>2800</v>
      </c>
      <c r="AH112" s="21">
        <v>1</v>
      </c>
      <c r="AI112" s="21">
        <v>0.5</v>
      </c>
      <c r="AJ112" s="20" t="s">
        <v>184</v>
      </c>
      <c r="AK112" s="20">
        <v>0</v>
      </c>
      <c r="AL112" s="20" t="s">
        <v>2801</v>
      </c>
      <c r="AM112" s="20" t="s">
        <v>43</v>
      </c>
      <c r="AN112" s="15"/>
      <c r="AO112" s="15" t="s">
        <v>2802</v>
      </c>
      <c r="AP112" s="16">
        <v>0</v>
      </c>
      <c r="AQ112" s="16">
        <v>0</v>
      </c>
      <c r="AR112" s="15" t="s">
        <v>2803</v>
      </c>
      <c r="AS112" s="15" t="s">
        <v>2804</v>
      </c>
      <c r="AT112" s="15">
        <v>1</v>
      </c>
      <c r="AU112" s="17">
        <v>0</v>
      </c>
      <c r="AV112" s="15" t="s">
        <v>105</v>
      </c>
      <c r="AW112" s="15">
        <v>1</v>
      </c>
      <c r="AX112" s="15" t="s">
        <v>2805</v>
      </c>
      <c r="AY112" s="15" t="s">
        <v>37</v>
      </c>
      <c r="AZ112" s="18"/>
      <c r="BA112" s="18" t="s">
        <v>2806</v>
      </c>
      <c r="BB112" s="19">
        <v>0</v>
      </c>
      <c r="BC112" s="19">
        <v>0</v>
      </c>
      <c r="BD112" s="18" t="s">
        <v>202</v>
      </c>
      <c r="BE112" s="18">
        <v>0</v>
      </c>
      <c r="BF112" s="18" t="s">
        <v>2807</v>
      </c>
      <c r="BG112" s="18" t="s">
        <v>37</v>
      </c>
      <c r="BH112" s="12"/>
      <c r="BI112" s="12" t="s">
        <v>2808</v>
      </c>
      <c r="BJ112" s="12">
        <v>0</v>
      </c>
      <c r="BK112" s="12">
        <v>0</v>
      </c>
      <c r="BL112" s="12" t="s">
        <v>1219</v>
      </c>
      <c r="BM112" s="12">
        <v>0.5</v>
      </c>
      <c r="BN112" s="12" t="s">
        <v>2809</v>
      </c>
      <c r="BO112" s="12" t="s">
        <v>37</v>
      </c>
      <c r="BP112" s="20"/>
      <c r="BQ112" s="20" t="s">
        <v>2328</v>
      </c>
      <c r="BR112" s="20">
        <v>1</v>
      </c>
      <c r="BS112" s="20">
        <v>1</v>
      </c>
      <c r="BT112" s="20" t="s">
        <v>2329</v>
      </c>
      <c r="BU112" s="20" t="s">
        <v>2330</v>
      </c>
      <c r="BV112" s="20">
        <v>1</v>
      </c>
      <c r="BW112" s="20" t="s">
        <v>105</v>
      </c>
      <c r="BX112" s="20">
        <v>0</v>
      </c>
      <c r="BY112" s="20" t="s">
        <v>2813</v>
      </c>
      <c r="BZ112" s="20" t="s">
        <v>37</v>
      </c>
    </row>
    <row r="113" spans="1:78">
      <c r="A113">
        <v>10112</v>
      </c>
      <c r="B113" s="12"/>
      <c r="C113" s="12" t="s">
        <v>2814</v>
      </c>
      <c r="D113" s="14">
        <v>1</v>
      </c>
      <c r="E113" s="14">
        <v>1</v>
      </c>
      <c r="F113" s="12" t="s">
        <v>2815</v>
      </c>
      <c r="G113" s="13">
        <v>2</v>
      </c>
      <c r="H113" s="12" t="s">
        <v>2816</v>
      </c>
      <c r="I113" s="12" t="s">
        <v>37</v>
      </c>
      <c r="J113" s="15"/>
      <c r="K113" s="15" t="s">
        <v>2817</v>
      </c>
      <c r="L113" s="16">
        <v>1</v>
      </c>
      <c r="M113" s="16">
        <v>1</v>
      </c>
      <c r="N113" s="15" t="s">
        <v>2818</v>
      </c>
      <c r="O113" s="15" t="s">
        <v>2819</v>
      </c>
      <c r="P113" s="17">
        <v>1</v>
      </c>
      <c r="Q113" s="15" t="s">
        <v>2820</v>
      </c>
      <c r="R113" s="15">
        <v>0.5</v>
      </c>
      <c r="S113" s="15" t="s">
        <v>185</v>
      </c>
      <c r="T113" s="15" t="s">
        <v>35</v>
      </c>
      <c r="U113" s="18"/>
      <c r="V113" s="18" t="s">
        <v>2821</v>
      </c>
      <c r="W113" s="19">
        <v>1</v>
      </c>
      <c r="X113" s="19">
        <v>1</v>
      </c>
      <c r="Y113" s="18" t="s">
        <v>2822</v>
      </c>
      <c r="Z113" s="18" t="s">
        <v>2823</v>
      </c>
      <c r="AA113" s="18">
        <v>2</v>
      </c>
      <c r="AB113" s="29" t="s">
        <v>2824</v>
      </c>
      <c r="AC113" s="18">
        <v>0</v>
      </c>
      <c r="AD113" s="18" t="s">
        <v>2825</v>
      </c>
      <c r="AE113" s="18" t="s">
        <v>35</v>
      </c>
      <c r="AF113" s="20"/>
      <c r="AG113" s="20" t="s">
        <v>2826</v>
      </c>
      <c r="AH113" s="21">
        <v>1</v>
      </c>
      <c r="AI113" s="21">
        <v>1</v>
      </c>
      <c r="AJ113" s="20" t="s">
        <v>2827</v>
      </c>
      <c r="AK113" s="20">
        <v>0</v>
      </c>
      <c r="AL113" s="20" t="s">
        <v>2828</v>
      </c>
      <c r="AM113" s="20" t="s">
        <v>37</v>
      </c>
      <c r="AN113" s="15"/>
      <c r="AO113" s="15" t="s">
        <v>352</v>
      </c>
      <c r="AP113" s="16">
        <v>1</v>
      </c>
      <c r="AQ113" s="16">
        <v>1</v>
      </c>
      <c r="AR113" s="15" t="s">
        <v>2829</v>
      </c>
      <c r="AS113" s="15" t="s">
        <v>2830</v>
      </c>
      <c r="AT113" s="15">
        <v>1</v>
      </c>
      <c r="AU113" s="17">
        <v>0</v>
      </c>
      <c r="AV113" s="15" t="s">
        <v>2831</v>
      </c>
      <c r="AW113" s="15">
        <v>1</v>
      </c>
      <c r="AX113" s="15" t="s">
        <v>2832</v>
      </c>
      <c r="AY113" s="15" t="s">
        <v>37</v>
      </c>
      <c r="AZ113" s="18"/>
      <c r="BA113" s="18" t="s">
        <v>2833</v>
      </c>
      <c r="BB113" s="19">
        <v>0</v>
      </c>
      <c r="BC113" s="19">
        <v>0</v>
      </c>
      <c r="BD113" s="18" t="s">
        <v>134</v>
      </c>
      <c r="BE113" s="18">
        <v>0</v>
      </c>
      <c r="BF113" s="18" t="s">
        <v>2834</v>
      </c>
      <c r="BG113" s="18" t="s">
        <v>37</v>
      </c>
      <c r="BH113" s="12"/>
      <c r="BI113" s="12" t="s">
        <v>2249</v>
      </c>
      <c r="BJ113" s="12">
        <v>1</v>
      </c>
      <c r="BK113" s="12">
        <v>0</v>
      </c>
      <c r="BL113" s="12" t="s">
        <v>2246</v>
      </c>
      <c r="BM113" s="12">
        <v>0</v>
      </c>
      <c r="BN113" s="12" t="s">
        <v>2837</v>
      </c>
      <c r="BO113" s="12" t="s">
        <v>42</v>
      </c>
      <c r="BP113" s="20"/>
      <c r="BQ113" s="20"/>
      <c r="BR113" s="20">
        <v>0</v>
      </c>
      <c r="BS113" s="20">
        <v>0</v>
      </c>
      <c r="BT113" s="20"/>
      <c r="BU113" s="20"/>
      <c r="BV113" s="20">
        <v>0</v>
      </c>
      <c r="BW113" s="20" t="s">
        <v>2839</v>
      </c>
      <c r="BX113" s="20">
        <v>0</v>
      </c>
      <c r="BY113" s="20" t="s">
        <v>2840</v>
      </c>
      <c r="BZ113" s="20" t="s">
        <v>42</v>
      </c>
    </row>
    <row r="114" spans="1:78">
      <c r="A114">
        <v>10113</v>
      </c>
      <c r="B114" s="12"/>
      <c r="C114" s="12" t="s">
        <v>2841</v>
      </c>
      <c r="D114" s="14">
        <v>0</v>
      </c>
      <c r="E114" s="14">
        <v>0</v>
      </c>
      <c r="F114" s="12" t="s">
        <v>152</v>
      </c>
      <c r="G114" s="13">
        <v>0</v>
      </c>
      <c r="H114" s="12" t="s">
        <v>98</v>
      </c>
      <c r="I114" s="12" t="s">
        <v>43</v>
      </c>
      <c r="J114" s="15"/>
      <c r="K114" s="15" t="s">
        <v>2843</v>
      </c>
      <c r="L114" s="16">
        <v>1</v>
      </c>
      <c r="M114" s="16">
        <v>1</v>
      </c>
      <c r="N114" s="15" t="s">
        <v>135</v>
      </c>
      <c r="O114" s="15" t="s">
        <v>132</v>
      </c>
      <c r="P114" s="17">
        <v>0</v>
      </c>
      <c r="Q114" s="15" t="s">
        <v>153</v>
      </c>
      <c r="R114" s="15">
        <v>0.5</v>
      </c>
      <c r="S114" s="15" t="s">
        <v>2844</v>
      </c>
      <c r="T114" s="15" t="s">
        <v>35</v>
      </c>
      <c r="U114" s="18"/>
      <c r="V114" s="18" t="s">
        <v>263</v>
      </c>
      <c r="W114" s="19">
        <v>1</v>
      </c>
      <c r="X114" s="19">
        <v>1</v>
      </c>
      <c r="Y114" s="18" t="s">
        <v>135</v>
      </c>
      <c r="Z114" s="18" t="s">
        <v>106</v>
      </c>
      <c r="AA114" s="18">
        <v>0</v>
      </c>
      <c r="AB114" s="29" t="s">
        <v>161</v>
      </c>
      <c r="AC114" s="18">
        <v>0.5</v>
      </c>
      <c r="AD114" s="18" t="s">
        <v>2844</v>
      </c>
      <c r="AE114" s="18" t="s">
        <v>35</v>
      </c>
      <c r="AF114" s="20"/>
      <c r="AG114" s="20" t="s">
        <v>1332</v>
      </c>
      <c r="AH114" s="21">
        <v>1</v>
      </c>
      <c r="AI114" s="21">
        <v>1</v>
      </c>
      <c r="AJ114" s="20" t="s">
        <v>76</v>
      </c>
      <c r="AK114" s="20">
        <v>0</v>
      </c>
      <c r="AL114" s="20" t="s">
        <v>2844</v>
      </c>
      <c r="AM114" s="20" t="s">
        <v>35</v>
      </c>
      <c r="AN114" s="15"/>
      <c r="AO114" s="15" t="s">
        <v>241</v>
      </c>
      <c r="AP114" s="16">
        <v>1</v>
      </c>
      <c r="AQ114" s="16">
        <v>1</v>
      </c>
      <c r="AR114" s="15" t="s">
        <v>135</v>
      </c>
      <c r="AS114" s="15" t="s">
        <v>2845</v>
      </c>
      <c r="AT114" s="15">
        <v>0</v>
      </c>
      <c r="AU114" s="17">
        <v>0</v>
      </c>
      <c r="AV114" s="15" t="s">
        <v>2846</v>
      </c>
      <c r="AW114" s="15">
        <v>0</v>
      </c>
      <c r="AX114" s="15" t="s">
        <v>2844</v>
      </c>
      <c r="AY114" s="15" t="s">
        <v>42</v>
      </c>
      <c r="AZ114" s="18"/>
      <c r="BA114" s="18" t="s">
        <v>2847</v>
      </c>
      <c r="BB114" s="19">
        <v>1</v>
      </c>
      <c r="BC114" s="19">
        <v>1</v>
      </c>
      <c r="BD114" s="18" t="s">
        <v>2848</v>
      </c>
      <c r="BE114" s="18">
        <v>0</v>
      </c>
      <c r="BF114" s="18" t="s">
        <v>2844</v>
      </c>
      <c r="BG114" s="18" t="s">
        <v>35</v>
      </c>
      <c r="BH114" s="12"/>
      <c r="BI114" s="12" t="s">
        <v>652</v>
      </c>
      <c r="BJ114" s="12">
        <v>1</v>
      </c>
      <c r="BK114" s="12">
        <v>1</v>
      </c>
      <c r="BL114" s="12" t="s">
        <v>159</v>
      </c>
      <c r="BM114" s="12">
        <v>0</v>
      </c>
      <c r="BN114" s="12" t="s">
        <v>2844</v>
      </c>
      <c r="BO114" s="12" t="s">
        <v>35</v>
      </c>
      <c r="BP114" s="20"/>
      <c r="BQ114" s="20" t="s">
        <v>557</v>
      </c>
      <c r="BR114" s="20">
        <v>1</v>
      </c>
      <c r="BS114" s="20">
        <v>1</v>
      </c>
      <c r="BT114" s="20" t="s">
        <v>558</v>
      </c>
      <c r="BU114" s="20" t="s">
        <v>559</v>
      </c>
      <c r="BV114" s="20">
        <v>0</v>
      </c>
      <c r="BW114" s="20" t="s">
        <v>51</v>
      </c>
      <c r="BX114" s="20">
        <v>0</v>
      </c>
      <c r="BY114" s="20" t="s">
        <v>2844</v>
      </c>
      <c r="BZ114" s="20" t="s">
        <v>35</v>
      </c>
    </row>
    <row r="115" spans="1:78">
      <c r="A115">
        <v>10114</v>
      </c>
      <c r="B115" s="12"/>
      <c r="C115" s="12" t="s">
        <v>2850</v>
      </c>
      <c r="D115" s="14">
        <v>1</v>
      </c>
      <c r="E115" s="14">
        <v>1</v>
      </c>
      <c r="F115" s="12" t="s">
        <v>2851</v>
      </c>
      <c r="G115" s="13">
        <v>1</v>
      </c>
      <c r="H115" s="12" t="s">
        <v>2852</v>
      </c>
      <c r="I115" s="12" t="s">
        <v>37</v>
      </c>
      <c r="J115" s="15"/>
      <c r="K115" s="15" t="s">
        <v>2853</v>
      </c>
      <c r="L115" s="16">
        <v>1</v>
      </c>
      <c r="M115" s="16">
        <v>1</v>
      </c>
      <c r="N115" s="15" t="s">
        <v>2854</v>
      </c>
      <c r="O115" s="15" t="s">
        <v>2855</v>
      </c>
      <c r="P115" s="17">
        <v>1</v>
      </c>
      <c r="Q115" s="15" t="s">
        <v>1219</v>
      </c>
      <c r="R115" s="15">
        <v>0.5</v>
      </c>
      <c r="S115" s="15" t="s">
        <v>2856</v>
      </c>
      <c r="T115" s="15" t="s">
        <v>37</v>
      </c>
      <c r="U115" s="18"/>
      <c r="V115" s="18" t="s">
        <v>2857</v>
      </c>
      <c r="W115" s="18">
        <v>1</v>
      </c>
      <c r="X115" s="18">
        <v>1</v>
      </c>
      <c r="Y115" s="18" t="s">
        <v>2858</v>
      </c>
      <c r="Z115" s="18" t="s">
        <v>2859</v>
      </c>
      <c r="AA115" s="18">
        <v>2</v>
      </c>
      <c r="AB115" s="29" t="s">
        <v>62</v>
      </c>
      <c r="AC115" s="18">
        <v>0</v>
      </c>
      <c r="AD115" s="18" t="s">
        <v>2860</v>
      </c>
      <c r="AE115" s="18" t="s">
        <v>43</v>
      </c>
      <c r="AF115" s="20"/>
      <c r="AG115" s="20" t="s">
        <v>2861</v>
      </c>
      <c r="AH115" s="21">
        <v>1</v>
      </c>
      <c r="AI115" s="21">
        <v>1</v>
      </c>
      <c r="AJ115" s="20" t="s">
        <v>2862</v>
      </c>
      <c r="AK115" s="20">
        <v>0</v>
      </c>
      <c r="AL115" s="20" t="s">
        <v>2863</v>
      </c>
      <c r="AM115" s="20" t="s">
        <v>37</v>
      </c>
      <c r="AN115" s="15"/>
      <c r="AO115" s="15" t="s">
        <v>2864</v>
      </c>
      <c r="AP115" s="16">
        <v>1</v>
      </c>
      <c r="AQ115" s="16">
        <v>1</v>
      </c>
      <c r="AR115" s="15" t="s">
        <v>2865</v>
      </c>
      <c r="AS115" s="15" t="s">
        <v>2866</v>
      </c>
      <c r="AT115" s="15">
        <v>2</v>
      </c>
      <c r="AU115" s="17">
        <v>0</v>
      </c>
      <c r="AV115" s="15" t="s">
        <v>62</v>
      </c>
      <c r="AW115" s="15">
        <v>1</v>
      </c>
      <c r="AX115" s="15" t="s">
        <v>2867</v>
      </c>
      <c r="AY115" s="15" t="s">
        <v>43</v>
      </c>
      <c r="AZ115" s="18"/>
      <c r="BA115" s="18" t="s">
        <v>2868</v>
      </c>
      <c r="BB115" s="19">
        <v>1</v>
      </c>
      <c r="BC115" s="19">
        <v>1</v>
      </c>
      <c r="BD115" s="18" t="s">
        <v>61</v>
      </c>
      <c r="BE115" s="18">
        <v>0</v>
      </c>
      <c r="BF115" s="18" t="s">
        <v>2869</v>
      </c>
      <c r="BG115" s="18" t="s">
        <v>37</v>
      </c>
      <c r="BH115" s="12"/>
      <c r="BI115" s="12" t="s">
        <v>1298</v>
      </c>
      <c r="BJ115" s="12">
        <v>1</v>
      </c>
      <c r="BK115" s="12">
        <v>1</v>
      </c>
      <c r="BL115" s="12" t="s">
        <v>1299</v>
      </c>
      <c r="BM115" s="12">
        <v>0</v>
      </c>
      <c r="BN115" s="12" t="s">
        <v>2872</v>
      </c>
      <c r="BO115" s="12" t="s">
        <v>37</v>
      </c>
      <c r="BP115" s="20"/>
      <c r="BQ115" s="20" t="s">
        <v>1458</v>
      </c>
      <c r="BR115" s="20">
        <v>1</v>
      </c>
      <c r="BS115" s="20">
        <v>1</v>
      </c>
      <c r="BT115" s="20" t="s">
        <v>1459</v>
      </c>
      <c r="BU115" s="20" t="s">
        <v>1460</v>
      </c>
      <c r="BV115" s="20">
        <v>0</v>
      </c>
      <c r="BW115" s="20" t="s">
        <v>62</v>
      </c>
      <c r="BX115" s="20">
        <v>0</v>
      </c>
      <c r="BY115" s="20" t="s">
        <v>2876</v>
      </c>
      <c r="BZ115" s="20" t="s">
        <v>37</v>
      </c>
    </row>
    <row r="116" spans="1:78">
      <c r="A116">
        <v>10115</v>
      </c>
      <c r="B116" s="12"/>
      <c r="C116" s="12" t="s">
        <v>2877</v>
      </c>
      <c r="D116" s="14">
        <v>1</v>
      </c>
      <c r="E116" s="14">
        <v>1</v>
      </c>
      <c r="F116" s="12" t="s">
        <v>2878</v>
      </c>
      <c r="G116" s="13">
        <v>0</v>
      </c>
      <c r="H116" s="12" t="s">
        <v>2879</v>
      </c>
      <c r="I116" s="12" t="s">
        <v>37</v>
      </c>
      <c r="J116" s="15"/>
      <c r="K116" s="15" t="s">
        <v>2880</v>
      </c>
      <c r="L116" s="16">
        <v>1</v>
      </c>
      <c r="M116" s="16">
        <v>1</v>
      </c>
      <c r="N116" s="15" t="s">
        <v>2881</v>
      </c>
      <c r="O116" s="15" t="s">
        <v>2882</v>
      </c>
      <c r="P116" s="17">
        <v>0</v>
      </c>
      <c r="Q116" s="15" t="s">
        <v>2883</v>
      </c>
      <c r="R116" s="15">
        <v>0.5</v>
      </c>
      <c r="S116" s="15" t="s">
        <v>2884</v>
      </c>
      <c r="T116" s="15" t="s">
        <v>43</v>
      </c>
      <c r="U116" s="18"/>
      <c r="V116" s="18" t="s">
        <v>2885</v>
      </c>
      <c r="W116" s="19">
        <v>1</v>
      </c>
      <c r="X116" s="19">
        <v>1</v>
      </c>
      <c r="Y116" s="18" t="s">
        <v>2886</v>
      </c>
      <c r="Z116" s="18" t="s">
        <v>2887</v>
      </c>
      <c r="AA116" s="18">
        <v>2</v>
      </c>
      <c r="AB116" s="29" t="s">
        <v>566</v>
      </c>
      <c r="AC116" s="18">
        <v>0.5</v>
      </c>
      <c r="AD116" s="18" t="s">
        <v>2888</v>
      </c>
      <c r="AE116" s="18" t="s">
        <v>43</v>
      </c>
      <c r="AF116" s="20"/>
      <c r="AG116" s="20" t="s">
        <v>2889</v>
      </c>
      <c r="AH116" s="21">
        <v>1</v>
      </c>
      <c r="AI116" s="21">
        <v>1</v>
      </c>
      <c r="AJ116" s="20" t="s">
        <v>2890</v>
      </c>
      <c r="AK116" s="20">
        <v>0</v>
      </c>
      <c r="AL116" s="20" t="s">
        <v>2891</v>
      </c>
      <c r="AM116" s="20" t="s">
        <v>43</v>
      </c>
      <c r="AN116" s="15"/>
      <c r="AO116" s="15" t="s">
        <v>2892</v>
      </c>
      <c r="AP116" s="16">
        <v>1</v>
      </c>
      <c r="AQ116" s="16">
        <v>1</v>
      </c>
      <c r="AR116" s="15" t="s">
        <v>2893</v>
      </c>
      <c r="AS116" s="15" t="s">
        <v>85</v>
      </c>
      <c r="AT116" s="15">
        <v>1</v>
      </c>
      <c r="AU116" s="17">
        <v>0</v>
      </c>
      <c r="AV116" s="15" t="s">
        <v>2894</v>
      </c>
      <c r="AW116" s="15">
        <v>0</v>
      </c>
      <c r="AX116" s="15" t="s">
        <v>2895</v>
      </c>
      <c r="AY116" s="15" t="s">
        <v>43</v>
      </c>
      <c r="AZ116" s="18"/>
      <c r="BA116" s="18" t="s">
        <v>2896</v>
      </c>
      <c r="BB116" s="19">
        <v>1</v>
      </c>
      <c r="BC116" s="19">
        <v>1</v>
      </c>
      <c r="BD116" s="18" t="s">
        <v>81</v>
      </c>
      <c r="BE116" s="18">
        <v>0</v>
      </c>
      <c r="BF116" s="18" t="s">
        <v>2897</v>
      </c>
      <c r="BG116" s="18" t="s">
        <v>42</v>
      </c>
      <c r="BH116" s="12"/>
      <c r="BI116" s="12" t="s">
        <v>248</v>
      </c>
      <c r="BJ116" s="12">
        <v>1</v>
      </c>
      <c r="BK116" s="12">
        <v>1</v>
      </c>
      <c r="BL116" s="12" t="s">
        <v>1402</v>
      </c>
      <c r="BM116" s="12">
        <v>0</v>
      </c>
      <c r="BN116" s="12" t="s">
        <v>2900</v>
      </c>
      <c r="BO116" s="12" t="s">
        <v>43</v>
      </c>
      <c r="BP116" s="20"/>
      <c r="BQ116" s="20" t="s">
        <v>1960</v>
      </c>
      <c r="BR116" s="20">
        <v>1</v>
      </c>
      <c r="BS116" s="20">
        <v>1</v>
      </c>
      <c r="BT116" s="20" t="s">
        <v>1961</v>
      </c>
      <c r="BU116" s="20" t="s">
        <v>1962</v>
      </c>
      <c r="BV116" s="20">
        <v>2</v>
      </c>
      <c r="BW116" s="20" t="s">
        <v>2903</v>
      </c>
      <c r="BX116" s="20">
        <v>0</v>
      </c>
      <c r="BY116" s="20" t="s">
        <v>2904</v>
      </c>
      <c r="BZ116" s="20" t="s">
        <v>37</v>
      </c>
    </row>
    <row r="117" spans="1:78">
      <c r="A117">
        <v>10116</v>
      </c>
      <c r="B117" s="12"/>
      <c r="C117" s="12" t="s">
        <v>228</v>
      </c>
      <c r="D117" s="14">
        <v>1</v>
      </c>
      <c r="E117" s="14">
        <v>1</v>
      </c>
      <c r="F117" s="12" t="s">
        <v>2905</v>
      </c>
      <c r="G117" s="13">
        <v>0</v>
      </c>
      <c r="H117" s="12" t="s">
        <v>2906</v>
      </c>
      <c r="I117" s="12" t="s">
        <v>35</v>
      </c>
      <c r="J117" s="15"/>
      <c r="K117" s="15" t="s">
        <v>465</v>
      </c>
      <c r="L117" s="16">
        <v>1</v>
      </c>
      <c r="M117" s="16">
        <v>1</v>
      </c>
      <c r="N117" s="15" t="s">
        <v>2907</v>
      </c>
      <c r="O117" s="15" t="s">
        <v>2908</v>
      </c>
      <c r="P117" s="17">
        <v>2</v>
      </c>
      <c r="Q117" s="15" t="s">
        <v>2909</v>
      </c>
      <c r="R117" s="15">
        <v>0.5</v>
      </c>
      <c r="S117" s="15" t="s">
        <v>2910</v>
      </c>
      <c r="T117" s="15" t="s">
        <v>36</v>
      </c>
      <c r="U117" s="18"/>
      <c r="V117" s="18" t="s">
        <v>263</v>
      </c>
      <c r="W117" s="18">
        <v>1</v>
      </c>
      <c r="X117" s="18">
        <v>1</v>
      </c>
      <c r="Y117" s="18" t="s">
        <v>2911</v>
      </c>
      <c r="Z117" s="18" t="s">
        <v>204</v>
      </c>
      <c r="AA117" s="18">
        <v>0</v>
      </c>
      <c r="AB117" s="29" t="s">
        <v>62</v>
      </c>
      <c r="AC117" s="18">
        <v>0</v>
      </c>
      <c r="AD117" s="18" t="s">
        <v>2912</v>
      </c>
      <c r="AE117" s="18" t="s">
        <v>43</v>
      </c>
      <c r="AF117" s="20"/>
      <c r="AG117" s="20" t="s">
        <v>612</v>
      </c>
      <c r="AH117" s="21">
        <v>1</v>
      </c>
      <c r="AI117" s="21">
        <v>1</v>
      </c>
      <c r="AJ117" s="20" t="s">
        <v>190</v>
      </c>
      <c r="AK117" s="20">
        <v>0</v>
      </c>
      <c r="AL117" s="20" t="s">
        <v>2913</v>
      </c>
      <c r="AM117" s="20" t="s">
        <v>37</v>
      </c>
      <c r="AN117" s="15"/>
      <c r="AO117" s="15" t="s">
        <v>241</v>
      </c>
      <c r="AP117" s="16">
        <v>1</v>
      </c>
      <c r="AQ117" s="16">
        <v>1</v>
      </c>
      <c r="AR117" s="15" t="s">
        <v>120</v>
      </c>
      <c r="AS117" s="15" t="s">
        <v>2914</v>
      </c>
      <c r="AT117" s="15">
        <v>1</v>
      </c>
      <c r="AU117" s="17">
        <v>0</v>
      </c>
      <c r="AV117" s="15" t="s">
        <v>62</v>
      </c>
      <c r="AW117" s="15">
        <v>1</v>
      </c>
      <c r="AX117" s="15" t="s">
        <v>2915</v>
      </c>
      <c r="AY117" s="15" t="s">
        <v>43</v>
      </c>
      <c r="AZ117" s="18"/>
      <c r="BA117" s="18" t="s">
        <v>573</v>
      </c>
      <c r="BB117" s="19">
        <v>1</v>
      </c>
      <c r="BC117" s="19">
        <v>1</v>
      </c>
      <c r="BD117" s="18" t="s">
        <v>62</v>
      </c>
      <c r="BE117" s="18">
        <v>0</v>
      </c>
      <c r="BF117" s="18" t="s">
        <v>2916</v>
      </c>
      <c r="BG117" s="18" t="s">
        <v>42</v>
      </c>
      <c r="BH117" s="12"/>
      <c r="BI117" s="12" t="s">
        <v>1062</v>
      </c>
      <c r="BJ117" s="12">
        <v>1</v>
      </c>
      <c r="BK117" s="12">
        <v>1</v>
      </c>
      <c r="BL117" s="12" t="s">
        <v>1063</v>
      </c>
      <c r="BM117" s="12">
        <v>0.5</v>
      </c>
      <c r="BN117" s="12" t="s">
        <v>189</v>
      </c>
      <c r="BO117" s="12" t="s">
        <v>42</v>
      </c>
      <c r="BP117" s="20"/>
      <c r="BQ117" s="20" t="s">
        <v>250</v>
      </c>
      <c r="BR117" s="20">
        <v>1</v>
      </c>
      <c r="BS117" s="20">
        <v>1</v>
      </c>
      <c r="BT117" s="20" t="s">
        <v>164</v>
      </c>
      <c r="BU117" s="20" t="s">
        <v>705</v>
      </c>
      <c r="BV117" s="20">
        <v>0</v>
      </c>
      <c r="BW117" s="20" t="s">
        <v>181</v>
      </c>
      <c r="BX117" s="20">
        <v>0</v>
      </c>
      <c r="BY117" s="20" t="s">
        <v>2919</v>
      </c>
      <c r="BZ117" s="20" t="s">
        <v>42</v>
      </c>
    </row>
    <row r="118" spans="1:78">
      <c r="A118">
        <v>10117</v>
      </c>
      <c r="B118" s="12"/>
      <c r="C118" s="12" t="s">
        <v>462</v>
      </c>
      <c r="D118" s="14">
        <v>1</v>
      </c>
      <c r="E118" s="14">
        <v>1</v>
      </c>
      <c r="F118" s="12" t="s">
        <v>2920</v>
      </c>
      <c r="G118" s="13">
        <v>3</v>
      </c>
      <c r="H118" s="12" t="s">
        <v>2921</v>
      </c>
      <c r="I118" s="12" t="s">
        <v>37</v>
      </c>
      <c r="J118" s="15"/>
      <c r="K118" s="15" t="s">
        <v>465</v>
      </c>
      <c r="L118" s="16">
        <v>1</v>
      </c>
      <c r="M118" s="16">
        <v>1</v>
      </c>
      <c r="N118" s="15" t="s">
        <v>2922</v>
      </c>
      <c r="O118" s="15" t="s">
        <v>2923</v>
      </c>
      <c r="P118" s="17">
        <v>0</v>
      </c>
      <c r="Q118" s="15" t="s">
        <v>2924</v>
      </c>
      <c r="R118" s="15">
        <v>0.5</v>
      </c>
      <c r="S118" s="15" t="s">
        <v>2925</v>
      </c>
      <c r="T118" s="15" t="s">
        <v>37</v>
      </c>
      <c r="U118" s="18"/>
      <c r="V118" s="18" t="s">
        <v>565</v>
      </c>
      <c r="W118" s="18">
        <v>1</v>
      </c>
      <c r="X118" s="18">
        <v>1</v>
      </c>
      <c r="Y118" s="18" t="s">
        <v>2926</v>
      </c>
      <c r="Z118" s="18" t="s">
        <v>2927</v>
      </c>
      <c r="AA118" s="18">
        <v>0</v>
      </c>
      <c r="AB118" s="29" t="s">
        <v>2928</v>
      </c>
      <c r="AC118" s="18">
        <v>0.5</v>
      </c>
      <c r="AD118" s="18" t="s">
        <v>2929</v>
      </c>
      <c r="AE118" s="18" t="s">
        <v>43</v>
      </c>
      <c r="AF118" s="20"/>
      <c r="AG118" s="20" t="s">
        <v>2930</v>
      </c>
      <c r="AH118" s="21">
        <v>1</v>
      </c>
      <c r="AI118" s="21">
        <v>1</v>
      </c>
      <c r="AJ118" s="20" t="s">
        <v>2931</v>
      </c>
      <c r="AK118" s="20">
        <v>0</v>
      </c>
      <c r="AL118" s="20" t="s">
        <v>2932</v>
      </c>
      <c r="AM118" s="20" t="s">
        <v>37</v>
      </c>
      <c r="AN118" s="15"/>
      <c r="AO118" s="15" t="s">
        <v>450</v>
      </c>
      <c r="AP118" s="16">
        <v>1</v>
      </c>
      <c r="AQ118" s="16">
        <v>1</v>
      </c>
      <c r="AR118" s="15" t="s">
        <v>2933</v>
      </c>
      <c r="AS118" s="15" t="s">
        <v>2934</v>
      </c>
      <c r="AT118" s="15">
        <v>3</v>
      </c>
      <c r="AU118" s="17">
        <v>0</v>
      </c>
      <c r="AV118" s="15" t="s">
        <v>2935</v>
      </c>
      <c r="AW118" s="15">
        <v>1</v>
      </c>
      <c r="AX118" s="15" t="s">
        <v>2936</v>
      </c>
      <c r="AY118" s="15" t="s">
        <v>43</v>
      </c>
      <c r="AZ118" s="18"/>
      <c r="BA118" s="18" t="s">
        <v>2937</v>
      </c>
      <c r="BB118" s="19">
        <v>1</v>
      </c>
      <c r="BC118" s="19">
        <v>1</v>
      </c>
      <c r="BD118" s="18" t="s">
        <v>2938</v>
      </c>
      <c r="BE118" s="18">
        <v>0</v>
      </c>
      <c r="BF118" s="18" t="s">
        <v>2939</v>
      </c>
      <c r="BG118" s="18" t="s">
        <v>37</v>
      </c>
      <c r="BH118" s="12"/>
      <c r="BI118" s="12" t="s">
        <v>2940</v>
      </c>
      <c r="BJ118" s="12">
        <v>1</v>
      </c>
      <c r="BK118" s="12">
        <v>1</v>
      </c>
      <c r="BL118" s="12" t="s">
        <v>2941</v>
      </c>
      <c r="BM118" s="12">
        <v>0.5</v>
      </c>
      <c r="BN118" s="12" t="s">
        <v>1928</v>
      </c>
      <c r="BO118" s="12" t="s">
        <v>43</v>
      </c>
      <c r="BP118" s="20"/>
      <c r="BQ118" s="20" t="s">
        <v>279</v>
      </c>
      <c r="BR118" s="20">
        <v>1</v>
      </c>
      <c r="BS118" s="20">
        <v>1</v>
      </c>
      <c r="BT118" s="20" t="s">
        <v>2942</v>
      </c>
      <c r="BU118" s="20" t="s">
        <v>2943</v>
      </c>
      <c r="BV118" s="20">
        <v>0</v>
      </c>
      <c r="BW118" s="20" t="s">
        <v>2944</v>
      </c>
      <c r="BX118" s="20">
        <v>0</v>
      </c>
      <c r="BY118" s="20" t="s">
        <v>2945</v>
      </c>
      <c r="BZ118" s="20" t="s">
        <v>37</v>
      </c>
    </row>
    <row r="119" spans="1:78">
      <c r="A119">
        <v>10118</v>
      </c>
      <c r="B119" s="12"/>
      <c r="C119" s="12" t="s">
        <v>2946</v>
      </c>
      <c r="D119" s="14">
        <v>1</v>
      </c>
      <c r="E119" s="14">
        <v>1</v>
      </c>
      <c r="F119" s="12" t="s">
        <v>2947</v>
      </c>
      <c r="G119" s="13">
        <v>2</v>
      </c>
      <c r="H119" s="12" t="s">
        <v>2948</v>
      </c>
      <c r="I119" s="12" t="s">
        <v>43</v>
      </c>
      <c r="J119" s="15"/>
      <c r="K119" s="15" t="s">
        <v>837</v>
      </c>
      <c r="L119" s="16">
        <v>1</v>
      </c>
      <c r="M119" s="16">
        <v>1</v>
      </c>
      <c r="N119" s="15" t="s">
        <v>2949</v>
      </c>
      <c r="O119" s="15" t="s">
        <v>2950</v>
      </c>
      <c r="P119" s="17">
        <v>0</v>
      </c>
      <c r="Q119" s="15" t="s">
        <v>2951</v>
      </c>
      <c r="R119" s="15">
        <v>0.5</v>
      </c>
      <c r="S119" s="15" t="s">
        <v>2952</v>
      </c>
      <c r="T119" s="15" t="s">
        <v>37</v>
      </c>
      <c r="U119" s="18"/>
      <c r="V119" s="18" t="s">
        <v>2953</v>
      </c>
      <c r="W119" s="18">
        <v>1</v>
      </c>
      <c r="X119" s="18">
        <v>1</v>
      </c>
      <c r="Y119" s="18" t="s">
        <v>2954</v>
      </c>
      <c r="Z119" s="18" t="s">
        <v>2955</v>
      </c>
      <c r="AA119" s="18">
        <v>2</v>
      </c>
      <c r="AB119" s="29" t="s">
        <v>2956</v>
      </c>
      <c r="AC119" s="18">
        <v>0.5</v>
      </c>
      <c r="AD119" s="18" t="s">
        <v>2957</v>
      </c>
      <c r="AE119" s="18" t="s">
        <v>43</v>
      </c>
      <c r="AF119" s="20"/>
      <c r="AG119" s="20" t="s">
        <v>941</v>
      </c>
      <c r="AH119" s="21">
        <v>1</v>
      </c>
      <c r="AI119" s="21">
        <v>0</v>
      </c>
      <c r="AJ119" s="20" t="s">
        <v>2958</v>
      </c>
      <c r="AK119" s="20">
        <v>0</v>
      </c>
      <c r="AL119" s="20" t="s">
        <v>2959</v>
      </c>
      <c r="AM119" s="20" t="s">
        <v>37</v>
      </c>
      <c r="AN119" s="15"/>
      <c r="AO119" s="15" t="s">
        <v>2573</v>
      </c>
      <c r="AP119" s="16">
        <v>1</v>
      </c>
      <c r="AQ119" s="16">
        <v>1</v>
      </c>
      <c r="AR119" s="15" t="s">
        <v>2960</v>
      </c>
      <c r="AS119" s="15" t="s">
        <v>2961</v>
      </c>
      <c r="AT119" s="15">
        <v>1</v>
      </c>
      <c r="AU119" s="17">
        <v>0</v>
      </c>
      <c r="AV119" s="15" t="s">
        <v>2962</v>
      </c>
      <c r="AW119" s="15">
        <v>1</v>
      </c>
      <c r="AX119" s="15" t="s">
        <v>2963</v>
      </c>
      <c r="AY119" s="15" t="s">
        <v>43</v>
      </c>
      <c r="AZ119" s="18"/>
      <c r="BA119" s="18" t="s">
        <v>2964</v>
      </c>
      <c r="BB119" s="19">
        <v>1</v>
      </c>
      <c r="BC119" s="19">
        <v>1</v>
      </c>
      <c r="BD119" s="18" t="s">
        <v>2965</v>
      </c>
      <c r="BE119" s="18">
        <v>1</v>
      </c>
      <c r="BF119" s="18" t="s">
        <v>2966</v>
      </c>
      <c r="BG119" s="18" t="s">
        <v>42</v>
      </c>
      <c r="BH119" s="12"/>
      <c r="BI119" s="12" t="s">
        <v>2898</v>
      </c>
      <c r="BJ119" s="12">
        <v>1</v>
      </c>
      <c r="BK119" s="12">
        <v>1</v>
      </c>
      <c r="BL119" s="12" t="s">
        <v>2899</v>
      </c>
      <c r="BM119" s="12">
        <v>0.5</v>
      </c>
      <c r="BN119" s="12" t="s">
        <v>2968</v>
      </c>
      <c r="BO119" s="12" t="s">
        <v>37</v>
      </c>
      <c r="BP119" s="20"/>
      <c r="BQ119" s="20" t="s">
        <v>279</v>
      </c>
      <c r="BR119" s="20">
        <v>1</v>
      </c>
      <c r="BS119" s="20">
        <v>1</v>
      </c>
      <c r="BT119" s="20" t="s">
        <v>814</v>
      </c>
      <c r="BU119" s="20" t="s">
        <v>815</v>
      </c>
      <c r="BV119" s="20">
        <v>0</v>
      </c>
      <c r="BW119" s="20" t="s">
        <v>2972</v>
      </c>
      <c r="BX119" s="20">
        <v>0</v>
      </c>
      <c r="BY119" s="20" t="s">
        <v>2973</v>
      </c>
      <c r="BZ119" s="20" t="s">
        <v>37</v>
      </c>
    </row>
    <row r="120" spans="1:78">
      <c r="A120">
        <v>10119</v>
      </c>
      <c r="B120" s="12"/>
      <c r="C120" s="12" t="s">
        <v>2974</v>
      </c>
      <c r="D120" s="14">
        <v>1</v>
      </c>
      <c r="E120" s="14">
        <v>1</v>
      </c>
      <c r="F120" s="12" t="s">
        <v>2975</v>
      </c>
      <c r="G120" s="13">
        <v>0</v>
      </c>
      <c r="H120" s="12" t="s">
        <v>2976</v>
      </c>
      <c r="I120" s="12" t="s">
        <v>37</v>
      </c>
      <c r="J120" s="15"/>
      <c r="K120" s="15" t="s">
        <v>2349</v>
      </c>
      <c r="L120" s="16">
        <v>1</v>
      </c>
      <c r="M120" s="16">
        <v>0</v>
      </c>
      <c r="N120" s="15" t="s">
        <v>2977</v>
      </c>
      <c r="O120" s="15" t="s">
        <v>2978</v>
      </c>
      <c r="P120" s="17">
        <v>0</v>
      </c>
      <c r="Q120" s="15" t="s">
        <v>2979</v>
      </c>
      <c r="R120" s="15">
        <v>0.5</v>
      </c>
      <c r="S120" s="15" t="s">
        <v>147</v>
      </c>
      <c r="T120" s="15" t="s">
        <v>43</v>
      </c>
      <c r="U120" s="18"/>
      <c r="V120" s="18" t="s">
        <v>1747</v>
      </c>
      <c r="W120" s="19">
        <v>1</v>
      </c>
      <c r="X120" s="19">
        <v>0</v>
      </c>
      <c r="Y120" s="18" t="s">
        <v>2980</v>
      </c>
      <c r="Z120" s="18" t="s">
        <v>2981</v>
      </c>
      <c r="AA120" s="18">
        <v>0</v>
      </c>
      <c r="AB120" s="29" t="s">
        <v>2982</v>
      </c>
      <c r="AC120" s="18">
        <v>0.5</v>
      </c>
      <c r="AD120" s="18" t="s">
        <v>147</v>
      </c>
      <c r="AE120" s="18" t="s">
        <v>43</v>
      </c>
      <c r="AF120" s="20"/>
      <c r="AG120" s="20" t="s">
        <v>941</v>
      </c>
      <c r="AH120" s="21">
        <v>1</v>
      </c>
      <c r="AI120" s="21">
        <v>0</v>
      </c>
      <c r="AJ120" s="20" t="s">
        <v>2983</v>
      </c>
      <c r="AK120" s="20">
        <v>0</v>
      </c>
      <c r="AL120" s="20" t="s">
        <v>2984</v>
      </c>
      <c r="AM120" s="20" t="s">
        <v>37</v>
      </c>
      <c r="AN120" s="15"/>
      <c r="AO120" s="15" t="s">
        <v>2985</v>
      </c>
      <c r="AP120" s="16">
        <v>1</v>
      </c>
      <c r="AQ120" s="16">
        <v>1</v>
      </c>
      <c r="AR120" s="15" t="s">
        <v>2986</v>
      </c>
      <c r="AS120" s="15" t="s">
        <v>2987</v>
      </c>
      <c r="AT120" s="15">
        <v>1</v>
      </c>
      <c r="AU120" s="17">
        <v>0</v>
      </c>
      <c r="AV120" s="15" t="s">
        <v>2988</v>
      </c>
      <c r="AW120" s="15">
        <v>0</v>
      </c>
      <c r="AX120" s="15" t="s">
        <v>2989</v>
      </c>
      <c r="AY120" s="15" t="s">
        <v>37</v>
      </c>
      <c r="AZ120" s="18"/>
      <c r="BA120" s="18" t="s">
        <v>1750</v>
      </c>
      <c r="BB120" s="19">
        <v>1</v>
      </c>
      <c r="BC120" s="19">
        <v>1</v>
      </c>
      <c r="BD120" s="18" t="s">
        <v>2990</v>
      </c>
      <c r="BE120" s="18">
        <v>0</v>
      </c>
      <c r="BF120" s="18" t="s">
        <v>2991</v>
      </c>
      <c r="BG120" s="18" t="s">
        <v>37</v>
      </c>
      <c r="BH120" s="12"/>
      <c r="BI120" s="12" t="s">
        <v>436</v>
      </c>
      <c r="BJ120" s="12">
        <v>1</v>
      </c>
      <c r="BK120" s="12">
        <v>0</v>
      </c>
      <c r="BL120" s="12" t="s">
        <v>47</v>
      </c>
      <c r="BM120" s="12">
        <v>0.5</v>
      </c>
      <c r="BN120" s="12" t="s">
        <v>2993</v>
      </c>
      <c r="BO120" s="12" t="s">
        <v>37</v>
      </c>
      <c r="BP120" s="20"/>
      <c r="BQ120" s="20" t="s">
        <v>1690</v>
      </c>
      <c r="BR120" s="20">
        <v>0</v>
      </c>
      <c r="BS120" s="20">
        <v>1</v>
      </c>
      <c r="BT120" s="20" t="s">
        <v>1691</v>
      </c>
      <c r="BU120" s="20" t="s">
        <v>1692</v>
      </c>
      <c r="BV120" s="20">
        <v>2</v>
      </c>
      <c r="BW120" s="20" t="s">
        <v>2997</v>
      </c>
      <c r="BX120" s="20">
        <v>0</v>
      </c>
      <c r="BY120" s="20" t="s">
        <v>2998</v>
      </c>
      <c r="BZ120" s="20" t="s">
        <v>35</v>
      </c>
    </row>
    <row r="121" spans="1:78">
      <c r="A121">
        <v>10120</v>
      </c>
      <c r="B121" s="12"/>
      <c r="C121" s="12" t="s">
        <v>2999</v>
      </c>
      <c r="D121" s="14">
        <v>1</v>
      </c>
      <c r="E121" s="14">
        <v>1</v>
      </c>
      <c r="F121" s="12" t="s">
        <v>135</v>
      </c>
      <c r="G121" s="13">
        <v>0</v>
      </c>
      <c r="H121" s="12" t="s">
        <v>3000</v>
      </c>
      <c r="I121" s="12" t="s">
        <v>43</v>
      </c>
      <c r="J121" s="15"/>
      <c r="K121" s="15" t="s">
        <v>3001</v>
      </c>
      <c r="L121" s="16">
        <v>1</v>
      </c>
      <c r="M121" s="16">
        <v>1</v>
      </c>
      <c r="N121" s="15" t="s">
        <v>97</v>
      </c>
      <c r="O121" s="15" t="s">
        <v>3002</v>
      </c>
      <c r="P121" s="17">
        <v>1</v>
      </c>
      <c r="Q121" s="15" t="s">
        <v>3003</v>
      </c>
      <c r="R121" s="15">
        <v>0</v>
      </c>
      <c r="S121" s="15" t="s">
        <v>163</v>
      </c>
      <c r="T121" s="15" t="s">
        <v>37</v>
      </c>
      <c r="U121" s="18"/>
      <c r="V121" s="18" t="s">
        <v>3004</v>
      </c>
      <c r="W121" s="18">
        <v>1</v>
      </c>
      <c r="X121" s="18">
        <v>1</v>
      </c>
      <c r="Y121" s="18" t="s">
        <v>97</v>
      </c>
      <c r="Z121" s="18" t="s">
        <v>3005</v>
      </c>
      <c r="AA121" s="18">
        <v>1</v>
      </c>
      <c r="AB121" s="29" t="s">
        <v>3006</v>
      </c>
      <c r="AC121" s="18">
        <v>0.5</v>
      </c>
      <c r="AD121" s="18" t="s">
        <v>163</v>
      </c>
      <c r="AE121" s="18" t="s">
        <v>43</v>
      </c>
      <c r="AF121" s="20"/>
      <c r="AG121" s="20" t="s">
        <v>3007</v>
      </c>
      <c r="AH121" s="21">
        <v>1</v>
      </c>
      <c r="AI121" s="21">
        <v>1</v>
      </c>
      <c r="AJ121" s="20" t="s">
        <v>3008</v>
      </c>
      <c r="AK121" s="20">
        <v>0</v>
      </c>
      <c r="AL121" s="20" t="s">
        <v>3009</v>
      </c>
      <c r="AM121" s="20" t="s">
        <v>37</v>
      </c>
      <c r="AN121" s="15"/>
      <c r="AO121" s="15" t="s">
        <v>3010</v>
      </c>
      <c r="AP121" s="16">
        <v>1</v>
      </c>
      <c r="AQ121" s="16">
        <v>1</v>
      </c>
      <c r="AR121" s="15" t="s">
        <v>3011</v>
      </c>
      <c r="AS121" s="15" t="s">
        <v>132</v>
      </c>
      <c r="AT121" s="15">
        <v>0</v>
      </c>
      <c r="AU121" s="17">
        <v>0</v>
      </c>
      <c r="AV121" s="15" t="s">
        <v>3012</v>
      </c>
      <c r="AW121" s="15">
        <v>1</v>
      </c>
      <c r="AX121" s="15" t="s">
        <v>3013</v>
      </c>
      <c r="AY121" s="15" t="s">
        <v>42</v>
      </c>
      <c r="AZ121" s="18"/>
      <c r="BA121" s="18" t="s">
        <v>3014</v>
      </c>
      <c r="BB121" s="19">
        <v>1</v>
      </c>
      <c r="BC121" s="19">
        <v>1</v>
      </c>
      <c r="BD121" s="18" t="s">
        <v>3015</v>
      </c>
      <c r="BE121" s="18">
        <v>0</v>
      </c>
      <c r="BF121" s="18" t="s">
        <v>163</v>
      </c>
      <c r="BG121" s="18" t="s">
        <v>43</v>
      </c>
      <c r="BH121" s="12"/>
      <c r="BI121" s="12" t="s">
        <v>3016</v>
      </c>
      <c r="BJ121" s="12">
        <v>1</v>
      </c>
      <c r="BK121" s="12">
        <v>1</v>
      </c>
      <c r="BL121" s="12" t="s">
        <v>3017</v>
      </c>
      <c r="BM121" s="12">
        <v>0</v>
      </c>
      <c r="BN121" s="12" t="s">
        <v>108</v>
      </c>
      <c r="BO121" s="12" t="s">
        <v>35</v>
      </c>
      <c r="BP121" s="20"/>
      <c r="BQ121" s="20" t="s">
        <v>383</v>
      </c>
      <c r="BR121" s="20">
        <v>1</v>
      </c>
      <c r="BS121" s="20">
        <v>1</v>
      </c>
      <c r="BT121" s="20" t="s">
        <v>2532</v>
      </c>
      <c r="BU121" s="20" t="s">
        <v>2533</v>
      </c>
      <c r="BV121" s="20">
        <v>0</v>
      </c>
      <c r="BW121" s="20" t="s">
        <v>3019</v>
      </c>
      <c r="BX121" s="20">
        <v>0</v>
      </c>
      <c r="BY121" s="20" t="s">
        <v>129</v>
      </c>
      <c r="BZ121" s="20" t="s">
        <v>37</v>
      </c>
    </row>
    <row r="122" spans="1:78">
      <c r="A122">
        <v>10121</v>
      </c>
      <c r="B122" s="12"/>
      <c r="C122" s="12" t="s">
        <v>3020</v>
      </c>
      <c r="D122" s="14">
        <v>1</v>
      </c>
      <c r="E122" s="14">
        <v>1</v>
      </c>
      <c r="F122" s="12" t="s">
        <v>121</v>
      </c>
      <c r="G122" s="13">
        <v>0</v>
      </c>
      <c r="H122" s="12" t="s">
        <v>3021</v>
      </c>
      <c r="I122" s="12" t="s">
        <v>42</v>
      </c>
      <c r="J122" s="15"/>
      <c r="K122" s="15" t="s">
        <v>837</v>
      </c>
      <c r="L122" s="16">
        <v>1</v>
      </c>
      <c r="M122" s="16">
        <v>1</v>
      </c>
      <c r="N122" s="15" t="s">
        <v>3022</v>
      </c>
      <c r="O122" s="15" t="s">
        <v>3023</v>
      </c>
      <c r="P122" s="17">
        <v>0</v>
      </c>
      <c r="Q122" s="15" t="s">
        <v>3024</v>
      </c>
      <c r="R122" s="15">
        <v>1</v>
      </c>
      <c r="S122" s="15" t="s">
        <v>3025</v>
      </c>
      <c r="T122" s="15" t="s">
        <v>37</v>
      </c>
      <c r="U122" s="18"/>
      <c r="V122" s="18" t="s">
        <v>839</v>
      </c>
      <c r="W122" s="19">
        <v>1</v>
      </c>
      <c r="X122" s="19">
        <v>1</v>
      </c>
      <c r="Y122" s="18" t="s">
        <v>121</v>
      </c>
      <c r="Z122" s="18" t="s">
        <v>3026</v>
      </c>
      <c r="AA122" s="18">
        <v>0</v>
      </c>
      <c r="AB122" s="29" t="s">
        <v>94</v>
      </c>
      <c r="AC122" s="18">
        <v>0.5</v>
      </c>
      <c r="AD122" s="18" t="s">
        <v>3027</v>
      </c>
      <c r="AE122" s="18" t="s">
        <v>35</v>
      </c>
      <c r="AF122" s="20"/>
      <c r="AG122" s="20" t="s">
        <v>548</v>
      </c>
      <c r="AH122" s="21">
        <v>1</v>
      </c>
      <c r="AI122" s="21">
        <v>1</v>
      </c>
      <c r="AJ122" s="20" t="s">
        <v>3028</v>
      </c>
      <c r="AK122" s="20">
        <v>1</v>
      </c>
      <c r="AL122" s="20" t="s">
        <v>3029</v>
      </c>
      <c r="AM122" s="20" t="s">
        <v>37</v>
      </c>
      <c r="AN122" s="15"/>
      <c r="AO122" s="15" t="s">
        <v>2620</v>
      </c>
      <c r="AP122" s="16">
        <v>1</v>
      </c>
      <c r="AQ122" s="16">
        <v>1</v>
      </c>
      <c r="AR122" s="15" t="s">
        <v>120</v>
      </c>
      <c r="AS122" s="15" t="s">
        <v>3030</v>
      </c>
      <c r="AT122" s="15">
        <v>1</v>
      </c>
      <c r="AU122" s="17">
        <v>0</v>
      </c>
      <c r="AV122" s="15" t="s">
        <v>3031</v>
      </c>
      <c r="AW122" s="15">
        <v>1</v>
      </c>
      <c r="AX122" s="15" t="s">
        <v>3032</v>
      </c>
      <c r="AY122" s="15" t="s">
        <v>37</v>
      </c>
      <c r="AZ122" s="18"/>
      <c r="BA122" s="18" t="s">
        <v>3033</v>
      </c>
      <c r="BB122" s="19">
        <v>1</v>
      </c>
      <c r="BC122" s="19">
        <v>1</v>
      </c>
      <c r="BD122" s="18" t="s">
        <v>3034</v>
      </c>
      <c r="BE122" s="18">
        <v>1</v>
      </c>
      <c r="BF122" s="18" t="s">
        <v>3021</v>
      </c>
      <c r="BG122" s="18" t="s">
        <v>42</v>
      </c>
      <c r="BH122" s="12"/>
      <c r="BI122" s="12" t="s">
        <v>276</v>
      </c>
      <c r="BJ122" s="12">
        <v>1</v>
      </c>
      <c r="BK122" s="12">
        <v>1</v>
      </c>
      <c r="BL122" s="12" t="s">
        <v>608</v>
      </c>
      <c r="BM122" s="12">
        <v>0.5</v>
      </c>
      <c r="BN122" s="12" t="s">
        <v>3037</v>
      </c>
      <c r="BO122" s="12" t="s">
        <v>37</v>
      </c>
      <c r="BP122" s="20"/>
      <c r="BQ122" s="20" t="s">
        <v>846</v>
      </c>
      <c r="BR122" s="20">
        <v>1</v>
      </c>
      <c r="BS122" s="20">
        <v>1</v>
      </c>
      <c r="BT122" s="20" t="s">
        <v>97</v>
      </c>
      <c r="BU122" s="20" t="s">
        <v>106</v>
      </c>
      <c r="BV122" s="20">
        <v>1</v>
      </c>
      <c r="BW122" s="20" t="s">
        <v>3039</v>
      </c>
      <c r="BX122" s="20">
        <v>0</v>
      </c>
      <c r="BY122" s="20" t="s">
        <v>3040</v>
      </c>
      <c r="BZ122" s="20" t="s">
        <v>37</v>
      </c>
    </row>
    <row r="123" spans="1:78">
      <c r="A123">
        <v>10122</v>
      </c>
      <c r="B123" s="12"/>
      <c r="C123" s="12" t="s">
        <v>3041</v>
      </c>
      <c r="D123" s="14">
        <v>1</v>
      </c>
      <c r="E123" s="14">
        <v>1</v>
      </c>
      <c r="F123" s="12" t="s">
        <v>3042</v>
      </c>
      <c r="G123" s="13">
        <v>3</v>
      </c>
      <c r="H123" s="12" t="s">
        <v>3043</v>
      </c>
      <c r="I123" s="12" t="s">
        <v>37</v>
      </c>
      <c r="J123" s="15"/>
      <c r="K123" s="15" t="s">
        <v>3044</v>
      </c>
      <c r="L123" s="16">
        <v>1</v>
      </c>
      <c r="M123" s="16">
        <v>1</v>
      </c>
      <c r="N123" s="15" t="s">
        <v>3045</v>
      </c>
      <c r="O123" s="15" t="s">
        <v>3046</v>
      </c>
      <c r="P123" s="17">
        <v>2</v>
      </c>
      <c r="Q123" s="15" t="s">
        <v>153</v>
      </c>
      <c r="R123" s="15">
        <v>0.5</v>
      </c>
      <c r="S123" s="15" t="s">
        <v>3047</v>
      </c>
      <c r="T123" s="15" t="s">
        <v>36</v>
      </c>
      <c r="U123" s="18"/>
      <c r="V123" s="18" t="s">
        <v>2000</v>
      </c>
      <c r="W123" s="18">
        <v>1</v>
      </c>
      <c r="X123" s="18">
        <v>1</v>
      </c>
      <c r="Y123" s="18" t="s">
        <v>3048</v>
      </c>
      <c r="Z123" s="18" t="s">
        <v>3049</v>
      </c>
      <c r="AA123" s="18">
        <v>2</v>
      </c>
      <c r="AB123" s="29" t="s">
        <v>3050</v>
      </c>
      <c r="AC123" s="18">
        <v>0.5</v>
      </c>
      <c r="AD123" s="18" t="s">
        <v>3051</v>
      </c>
      <c r="AE123" s="18" t="s">
        <v>37</v>
      </c>
      <c r="AF123" s="20"/>
      <c r="AG123" s="20" t="s">
        <v>3052</v>
      </c>
      <c r="AH123" s="21">
        <v>1</v>
      </c>
      <c r="AI123" s="21">
        <v>1</v>
      </c>
      <c r="AJ123" s="20" t="s">
        <v>161</v>
      </c>
      <c r="AK123" s="20">
        <v>0</v>
      </c>
      <c r="AL123" s="20" t="s">
        <v>3053</v>
      </c>
      <c r="AM123" s="20" t="s">
        <v>43</v>
      </c>
      <c r="AN123" s="15"/>
      <c r="AO123" s="15" t="s">
        <v>352</v>
      </c>
      <c r="AP123" s="16">
        <v>1</v>
      </c>
      <c r="AQ123" s="16">
        <v>1</v>
      </c>
      <c r="AR123" s="15" t="s">
        <v>3054</v>
      </c>
      <c r="AS123" s="15" t="s">
        <v>3055</v>
      </c>
      <c r="AT123" s="15">
        <v>3</v>
      </c>
      <c r="AU123" s="17">
        <v>0</v>
      </c>
      <c r="AV123" s="15" t="s">
        <v>134</v>
      </c>
      <c r="AW123" s="15">
        <v>0</v>
      </c>
      <c r="AX123" s="15" t="s">
        <v>3056</v>
      </c>
      <c r="AY123" s="15" t="s">
        <v>43</v>
      </c>
      <c r="AZ123" s="18"/>
      <c r="BA123" s="18" t="s">
        <v>1906</v>
      </c>
      <c r="BB123" s="19">
        <v>1</v>
      </c>
      <c r="BC123" s="19">
        <v>1</v>
      </c>
      <c r="BD123" s="18" t="s">
        <v>195</v>
      </c>
      <c r="BE123" s="18">
        <v>0</v>
      </c>
      <c r="BF123" s="18" t="s">
        <v>3057</v>
      </c>
      <c r="BG123" s="18" t="s">
        <v>42</v>
      </c>
      <c r="BH123" s="12"/>
      <c r="BI123" s="12" t="s">
        <v>276</v>
      </c>
      <c r="BJ123" s="12">
        <v>1</v>
      </c>
      <c r="BK123" s="12">
        <v>1</v>
      </c>
      <c r="BL123" s="12" t="s">
        <v>608</v>
      </c>
      <c r="BM123" s="12">
        <v>0.5</v>
      </c>
      <c r="BN123" s="12" t="s">
        <v>3059</v>
      </c>
      <c r="BO123" s="12" t="s">
        <v>43</v>
      </c>
      <c r="BP123" s="20"/>
      <c r="BQ123" s="20" t="s">
        <v>458</v>
      </c>
      <c r="BR123" s="20">
        <v>1</v>
      </c>
      <c r="BS123" s="20">
        <v>1</v>
      </c>
      <c r="BT123" s="20" t="s">
        <v>3060</v>
      </c>
      <c r="BU123" s="20" t="s">
        <v>3061</v>
      </c>
      <c r="BV123" s="20">
        <v>0</v>
      </c>
      <c r="BW123" s="20"/>
      <c r="BX123" s="20">
        <v>0</v>
      </c>
      <c r="BY123" s="20"/>
      <c r="BZ123" s="20" t="s">
        <v>37</v>
      </c>
    </row>
    <row r="124" spans="1:78">
      <c r="A124">
        <v>10123</v>
      </c>
      <c r="B124" s="12"/>
      <c r="C124" s="12" t="s">
        <v>3062</v>
      </c>
      <c r="D124" s="14">
        <v>1</v>
      </c>
      <c r="E124" s="14">
        <v>1</v>
      </c>
      <c r="F124" s="12" t="s">
        <v>3063</v>
      </c>
      <c r="G124" s="13">
        <v>1</v>
      </c>
      <c r="H124" s="12" t="s">
        <v>3064</v>
      </c>
      <c r="I124" s="12" t="s">
        <v>36</v>
      </c>
      <c r="J124" s="15"/>
      <c r="K124" s="15" t="s">
        <v>2453</v>
      </c>
      <c r="L124" s="16">
        <v>1</v>
      </c>
      <c r="M124" s="16">
        <v>1</v>
      </c>
      <c r="N124" s="15" t="s">
        <v>3065</v>
      </c>
      <c r="O124" s="15" t="s">
        <v>3066</v>
      </c>
      <c r="P124" s="17">
        <v>0</v>
      </c>
      <c r="Q124" s="15" t="s">
        <v>3067</v>
      </c>
      <c r="R124" s="15">
        <v>0.5</v>
      </c>
      <c r="S124" s="15" t="s">
        <v>3068</v>
      </c>
      <c r="T124" s="15" t="s">
        <v>43</v>
      </c>
      <c r="U124" s="18"/>
      <c r="V124" s="18" t="s">
        <v>3069</v>
      </c>
      <c r="W124" s="19">
        <v>1</v>
      </c>
      <c r="X124" s="19">
        <v>1</v>
      </c>
      <c r="Y124" s="18" t="s">
        <v>3070</v>
      </c>
      <c r="Z124" s="18" t="s">
        <v>3070</v>
      </c>
      <c r="AA124" s="18">
        <v>1</v>
      </c>
      <c r="AB124" s="29" t="s">
        <v>3071</v>
      </c>
      <c r="AC124" s="18">
        <v>0.5</v>
      </c>
      <c r="AD124" s="18" t="s">
        <v>3072</v>
      </c>
      <c r="AE124" s="18" t="s">
        <v>36</v>
      </c>
      <c r="AF124" s="20"/>
      <c r="AG124" s="20" t="s">
        <v>3073</v>
      </c>
      <c r="AH124" s="21">
        <v>1</v>
      </c>
      <c r="AI124" s="21">
        <v>1</v>
      </c>
      <c r="AJ124" s="20" t="s">
        <v>3074</v>
      </c>
      <c r="AK124" s="20">
        <v>0</v>
      </c>
      <c r="AL124" s="20" t="s">
        <v>3075</v>
      </c>
      <c r="AM124" s="20" t="s">
        <v>37</v>
      </c>
      <c r="AN124" s="15"/>
      <c r="AO124" s="15" t="s">
        <v>1837</v>
      </c>
      <c r="AP124" s="16">
        <v>1</v>
      </c>
      <c r="AQ124" s="16">
        <v>1</v>
      </c>
      <c r="AR124" s="15" t="s">
        <v>3076</v>
      </c>
      <c r="AS124" s="15" t="s">
        <v>3077</v>
      </c>
      <c r="AT124" s="15">
        <v>2</v>
      </c>
      <c r="AU124" s="17">
        <v>0</v>
      </c>
      <c r="AV124" s="15" t="s">
        <v>105</v>
      </c>
      <c r="AW124" s="15">
        <v>1</v>
      </c>
      <c r="AX124" s="15" t="s">
        <v>3078</v>
      </c>
      <c r="AY124" s="15" t="s">
        <v>43</v>
      </c>
      <c r="AZ124" s="18"/>
      <c r="BA124" s="18" t="s">
        <v>3079</v>
      </c>
      <c r="BB124" s="19">
        <v>1</v>
      </c>
      <c r="BC124" s="19">
        <v>1</v>
      </c>
      <c r="BD124" s="18" t="s">
        <v>3080</v>
      </c>
      <c r="BE124" s="18">
        <v>0</v>
      </c>
      <c r="BF124" s="18" t="s">
        <v>3081</v>
      </c>
      <c r="BG124" s="18" t="s">
        <v>67</v>
      </c>
      <c r="BH124" s="12"/>
      <c r="BI124" s="12" t="s">
        <v>248</v>
      </c>
      <c r="BJ124" s="12">
        <v>1</v>
      </c>
      <c r="BK124" s="12">
        <v>1</v>
      </c>
      <c r="BL124" s="12" t="s">
        <v>381</v>
      </c>
      <c r="BM124" s="12">
        <v>0.5</v>
      </c>
      <c r="BN124" s="12" t="s">
        <v>1059</v>
      </c>
      <c r="BO124" s="12" t="s">
        <v>43</v>
      </c>
      <c r="BP124" s="20"/>
      <c r="BQ124" s="20" t="s">
        <v>279</v>
      </c>
      <c r="BR124" s="20">
        <v>1</v>
      </c>
      <c r="BS124" s="20">
        <v>1</v>
      </c>
      <c r="BT124" s="20" t="s">
        <v>1118</v>
      </c>
      <c r="BU124" s="20" t="s">
        <v>1119</v>
      </c>
      <c r="BV124" s="20">
        <v>1</v>
      </c>
      <c r="BW124" s="20" t="s">
        <v>62</v>
      </c>
      <c r="BX124" s="20">
        <v>0</v>
      </c>
      <c r="BY124" s="20" t="s">
        <v>3086</v>
      </c>
      <c r="BZ124" s="20" t="s">
        <v>42</v>
      </c>
    </row>
    <row r="125" spans="1:78">
      <c r="A125">
        <v>10124</v>
      </c>
      <c r="B125" s="12"/>
      <c r="C125" s="12" t="s">
        <v>604</v>
      </c>
      <c r="D125" s="14">
        <v>1</v>
      </c>
      <c r="E125" s="14">
        <v>1</v>
      </c>
      <c r="F125" s="12" t="s">
        <v>3087</v>
      </c>
      <c r="G125" s="13">
        <v>1</v>
      </c>
      <c r="H125" s="12" t="s">
        <v>168</v>
      </c>
      <c r="I125" s="12" t="s">
        <v>37</v>
      </c>
      <c r="J125" s="15"/>
      <c r="K125" s="15" t="s">
        <v>3088</v>
      </c>
      <c r="L125" s="16">
        <v>1</v>
      </c>
      <c r="M125" s="16">
        <v>1</v>
      </c>
      <c r="N125" s="15" t="s">
        <v>120</v>
      </c>
      <c r="O125" s="15" t="s">
        <v>3089</v>
      </c>
      <c r="P125" s="17">
        <v>1</v>
      </c>
      <c r="Q125" s="15" t="s">
        <v>52</v>
      </c>
      <c r="R125" s="15">
        <v>0.5</v>
      </c>
      <c r="S125" s="15" t="s">
        <v>168</v>
      </c>
      <c r="T125" s="15" t="s">
        <v>35</v>
      </c>
      <c r="U125" s="18"/>
      <c r="V125" s="18" t="s">
        <v>263</v>
      </c>
      <c r="W125" s="19">
        <v>1</v>
      </c>
      <c r="X125" s="19">
        <v>1</v>
      </c>
      <c r="Y125" s="18" t="s">
        <v>3090</v>
      </c>
      <c r="Z125" s="18" t="s">
        <v>3091</v>
      </c>
      <c r="AA125" s="18">
        <v>0</v>
      </c>
      <c r="AB125" s="29" t="s">
        <v>68</v>
      </c>
      <c r="AC125" s="18">
        <v>0.5</v>
      </c>
      <c r="AD125" s="18" t="s">
        <v>168</v>
      </c>
      <c r="AE125" s="18" t="s">
        <v>35</v>
      </c>
      <c r="AF125" s="20"/>
      <c r="AG125" s="20" t="s">
        <v>1574</v>
      </c>
      <c r="AH125" s="21">
        <v>1</v>
      </c>
      <c r="AI125" s="21">
        <v>1</v>
      </c>
      <c r="AJ125" s="20" t="s">
        <v>79</v>
      </c>
      <c r="AK125" s="20">
        <v>0</v>
      </c>
      <c r="AL125" s="20" t="s">
        <v>168</v>
      </c>
      <c r="AM125" s="20" t="s">
        <v>35</v>
      </c>
      <c r="AN125" s="15"/>
      <c r="AO125" s="15" t="s">
        <v>241</v>
      </c>
      <c r="AP125" s="16">
        <v>1</v>
      </c>
      <c r="AQ125" s="16">
        <v>1</v>
      </c>
      <c r="AR125" s="15" t="s">
        <v>121</v>
      </c>
      <c r="AS125" s="15" t="s">
        <v>3092</v>
      </c>
      <c r="AT125" s="15">
        <v>0</v>
      </c>
      <c r="AU125" s="17">
        <v>0</v>
      </c>
      <c r="AV125" s="15" t="s">
        <v>62</v>
      </c>
      <c r="AW125" s="15">
        <v>1</v>
      </c>
      <c r="AX125" s="15" t="s">
        <v>168</v>
      </c>
      <c r="AY125" s="15" t="s">
        <v>37</v>
      </c>
      <c r="AZ125" s="18"/>
      <c r="BA125" s="18" t="s">
        <v>3093</v>
      </c>
      <c r="BB125" s="19">
        <v>1</v>
      </c>
      <c r="BC125" s="19">
        <v>1</v>
      </c>
      <c r="BD125" s="18" t="s">
        <v>81</v>
      </c>
      <c r="BE125" s="18">
        <v>0</v>
      </c>
      <c r="BF125" s="18" t="s">
        <v>168</v>
      </c>
      <c r="BG125" s="18" t="s">
        <v>35</v>
      </c>
      <c r="BH125" s="12"/>
      <c r="BI125" s="12" t="s">
        <v>248</v>
      </c>
      <c r="BJ125" s="12">
        <v>1</v>
      </c>
      <c r="BK125" s="12">
        <v>1</v>
      </c>
      <c r="BL125" s="12" t="s">
        <v>1604</v>
      </c>
      <c r="BM125" s="12">
        <v>0.5</v>
      </c>
      <c r="BN125" s="12" t="s">
        <v>168</v>
      </c>
      <c r="BO125" s="12" t="s">
        <v>35</v>
      </c>
      <c r="BP125" s="20"/>
      <c r="BQ125" s="20" t="s">
        <v>279</v>
      </c>
      <c r="BR125" s="20">
        <v>1</v>
      </c>
      <c r="BS125" s="20">
        <v>1</v>
      </c>
      <c r="BT125" s="20" t="s">
        <v>3305</v>
      </c>
      <c r="BU125" s="20" t="s">
        <v>3306</v>
      </c>
      <c r="BV125" s="20">
        <v>2</v>
      </c>
      <c r="BW125" s="20" t="s">
        <v>62</v>
      </c>
      <c r="BX125" s="20">
        <v>0</v>
      </c>
      <c r="BY125" s="20" t="s">
        <v>168</v>
      </c>
      <c r="BZ125" s="20" t="s">
        <v>35</v>
      </c>
    </row>
    <row r="126" spans="1:78">
      <c r="A126">
        <v>10125</v>
      </c>
      <c r="B126" s="12"/>
      <c r="C126" s="12" t="s">
        <v>228</v>
      </c>
      <c r="D126" s="14">
        <v>1</v>
      </c>
      <c r="E126" s="14">
        <v>1</v>
      </c>
      <c r="F126" s="12" t="s">
        <v>3094</v>
      </c>
      <c r="G126" s="13">
        <v>0</v>
      </c>
      <c r="H126" s="12" t="s">
        <v>3095</v>
      </c>
      <c r="I126" s="12" t="s">
        <v>35</v>
      </c>
      <c r="J126" s="15"/>
      <c r="K126" s="15" t="s">
        <v>230</v>
      </c>
      <c r="L126" s="16">
        <v>1</v>
      </c>
      <c r="M126" s="16">
        <v>1</v>
      </c>
      <c r="N126" s="15" t="s">
        <v>3094</v>
      </c>
      <c r="O126" s="15" t="s">
        <v>3096</v>
      </c>
      <c r="P126" s="17">
        <v>0</v>
      </c>
      <c r="Q126" s="15" t="s">
        <v>153</v>
      </c>
      <c r="R126" s="15">
        <v>0.5</v>
      </c>
      <c r="S126" s="15" t="s">
        <v>3095</v>
      </c>
      <c r="T126" s="15" t="s">
        <v>35</v>
      </c>
      <c r="U126" s="18"/>
      <c r="V126" s="18" t="s">
        <v>1231</v>
      </c>
      <c r="W126" s="19">
        <v>1</v>
      </c>
      <c r="X126" s="19">
        <v>1</v>
      </c>
      <c r="Y126" s="18" t="s">
        <v>3097</v>
      </c>
      <c r="Z126" s="18" t="s">
        <v>3098</v>
      </c>
      <c r="AA126" s="18">
        <v>2</v>
      </c>
      <c r="AB126" s="29" t="s">
        <v>1563</v>
      </c>
      <c r="AC126" s="18">
        <v>0.5</v>
      </c>
      <c r="AD126" s="18" t="s">
        <v>3095</v>
      </c>
      <c r="AE126" s="18" t="s">
        <v>35</v>
      </c>
      <c r="AF126" s="20"/>
      <c r="AG126" s="20" t="s">
        <v>238</v>
      </c>
      <c r="AH126" s="21">
        <v>1</v>
      </c>
      <c r="AI126" s="21">
        <v>1</v>
      </c>
      <c r="AJ126" s="20" t="s">
        <v>116</v>
      </c>
      <c r="AK126" s="20">
        <v>0</v>
      </c>
      <c r="AL126" s="20" t="s">
        <v>3095</v>
      </c>
      <c r="AM126" s="20" t="s">
        <v>35</v>
      </c>
      <c r="AN126" s="15"/>
      <c r="AO126" s="15" t="s">
        <v>2082</v>
      </c>
      <c r="AP126" s="16">
        <v>1</v>
      </c>
      <c r="AQ126" s="16">
        <v>1</v>
      </c>
      <c r="AR126" s="15" t="s">
        <v>3099</v>
      </c>
      <c r="AS126" s="15" t="s">
        <v>3100</v>
      </c>
      <c r="AT126" s="15">
        <v>3</v>
      </c>
      <c r="AU126" s="17">
        <v>0</v>
      </c>
      <c r="AV126" s="15" t="s">
        <v>70</v>
      </c>
      <c r="AW126" s="15">
        <v>1</v>
      </c>
      <c r="AX126" s="15" t="s">
        <v>3101</v>
      </c>
      <c r="AY126" s="15" t="s">
        <v>35</v>
      </c>
      <c r="AZ126" s="18"/>
      <c r="BA126" s="18" t="s">
        <v>777</v>
      </c>
      <c r="BB126" s="19">
        <v>1</v>
      </c>
      <c r="BC126" s="19">
        <v>1</v>
      </c>
      <c r="BD126" s="18" t="s">
        <v>176</v>
      </c>
      <c r="BE126" s="18">
        <v>0</v>
      </c>
      <c r="BF126" s="18" t="s">
        <v>3102</v>
      </c>
      <c r="BG126" s="18" t="s">
        <v>64</v>
      </c>
      <c r="BH126" s="12"/>
      <c r="BI126" s="12" t="s">
        <v>483</v>
      </c>
      <c r="BJ126" s="12">
        <v>1</v>
      </c>
      <c r="BK126" s="12">
        <v>1</v>
      </c>
      <c r="BL126" s="12" t="s">
        <v>484</v>
      </c>
      <c r="BM126" s="12">
        <v>0.5</v>
      </c>
      <c r="BN126" s="12" t="s">
        <v>3101</v>
      </c>
      <c r="BO126" s="12" t="s">
        <v>35</v>
      </c>
      <c r="BP126" s="20"/>
      <c r="BQ126" s="20" t="s">
        <v>1889</v>
      </c>
      <c r="BR126" s="20">
        <v>1</v>
      </c>
      <c r="BS126" s="20">
        <v>1</v>
      </c>
      <c r="BT126" s="20" t="s">
        <v>97</v>
      </c>
      <c r="BU126" s="20" t="s">
        <v>1890</v>
      </c>
      <c r="BV126" s="20">
        <v>1</v>
      </c>
      <c r="BW126" s="20" t="s">
        <v>138</v>
      </c>
      <c r="BX126" s="20">
        <v>0</v>
      </c>
      <c r="BY126" s="20" t="s">
        <v>3101</v>
      </c>
      <c r="BZ126" s="20" t="s">
        <v>35</v>
      </c>
    </row>
    <row r="127" spans="1:78">
      <c r="A127">
        <v>10126</v>
      </c>
      <c r="B127" s="12"/>
      <c r="C127" s="12" t="s">
        <v>3104</v>
      </c>
      <c r="D127" s="14">
        <v>1</v>
      </c>
      <c r="E127" s="14">
        <v>1</v>
      </c>
      <c r="F127" s="12" t="s">
        <v>3105</v>
      </c>
      <c r="G127" s="13">
        <v>0</v>
      </c>
      <c r="H127" s="12" t="s">
        <v>3106</v>
      </c>
      <c r="I127" s="12" t="s">
        <v>42</v>
      </c>
      <c r="J127" s="15"/>
      <c r="K127" s="15" t="s">
        <v>3107</v>
      </c>
      <c r="L127" s="16">
        <v>1</v>
      </c>
      <c r="M127" s="16">
        <v>1</v>
      </c>
      <c r="N127" s="15" t="s">
        <v>3108</v>
      </c>
      <c r="O127" s="15" t="s">
        <v>3109</v>
      </c>
      <c r="P127" s="17">
        <v>2</v>
      </c>
      <c r="Q127" s="15" t="s">
        <v>199</v>
      </c>
      <c r="R127" s="15">
        <v>0.5</v>
      </c>
      <c r="S127" s="15" t="s">
        <v>3110</v>
      </c>
      <c r="T127" s="15" t="s">
        <v>35</v>
      </c>
      <c r="U127" s="18"/>
      <c r="V127" s="18" t="s">
        <v>3111</v>
      </c>
      <c r="W127" s="19">
        <v>1</v>
      </c>
      <c r="X127" s="19">
        <v>1</v>
      </c>
      <c r="Y127" s="18" t="s">
        <v>3112</v>
      </c>
      <c r="Z127" s="18" t="s">
        <v>3113</v>
      </c>
      <c r="AA127" s="18">
        <v>1</v>
      </c>
      <c r="AB127" s="29" t="s">
        <v>3114</v>
      </c>
      <c r="AC127" s="18">
        <v>0</v>
      </c>
      <c r="AD127" s="18" t="s">
        <v>3115</v>
      </c>
      <c r="AE127" s="18" t="s">
        <v>42</v>
      </c>
      <c r="AF127" s="20"/>
      <c r="AG127" s="20" t="s">
        <v>3116</v>
      </c>
      <c r="AH127" s="21">
        <v>1</v>
      </c>
      <c r="AI127" s="21">
        <v>1</v>
      </c>
      <c r="AJ127" s="20" t="s">
        <v>3117</v>
      </c>
      <c r="AK127" s="20">
        <v>0</v>
      </c>
      <c r="AL127" s="20" t="s">
        <v>3118</v>
      </c>
      <c r="AM127" s="20" t="s">
        <v>43</v>
      </c>
      <c r="AN127" s="15"/>
      <c r="AO127" s="15" t="s">
        <v>3119</v>
      </c>
      <c r="AP127" s="16">
        <v>1</v>
      </c>
      <c r="AQ127" s="16">
        <v>1</v>
      </c>
      <c r="AR127" s="15" t="s">
        <v>3120</v>
      </c>
      <c r="AS127" s="15" t="s">
        <v>3121</v>
      </c>
      <c r="AT127" s="15">
        <v>3</v>
      </c>
      <c r="AU127" s="17">
        <v>0</v>
      </c>
      <c r="AV127" s="15" t="s">
        <v>3122</v>
      </c>
      <c r="AW127" s="15">
        <v>1</v>
      </c>
      <c r="AX127" s="15" t="s">
        <v>3123</v>
      </c>
      <c r="AY127" s="15" t="s">
        <v>43</v>
      </c>
      <c r="AZ127" s="18"/>
      <c r="BA127" s="18" t="s">
        <v>3124</v>
      </c>
      <c r="BB127" s="19">
        <v>1</v>
      </c>
      <c r="BC127" s="19">
        <v>0</v>
      </c>
      <c r="BD127" s="18" t="s">
        <v>3125</v>
      </c>
      <c r="BE127" s="18">
        <v>0</v>
      </c>
      <c r="BF127" s="18" t="s">
        <v>3126</v>
      </c>
      <c r="BG127" s="18" t="s">
        <v>42</v>
      </c>
      <c r="BH127" s="12"/>
      <c r="BI127" s="12" t="s">
        <v>248</v>
      </c>
      <c r="BJ127" s="12">
        <v>1</v>
      </c>
      <c r="BK127" s="12">
        <v>1</v>
      </c>
      <c r="BL127" s="12" t="s">
        <v>196</v>
      </c>
      <c r="BM127" s="12">
        <v>0.5</v>
      </c>
      <c r="BN127" s="12" t="s">
        <v>3129</v>
      </c>
      <c r="BO127" s="12" t="s">
        <v>37</v>
      </c>
      <c r="BP127" s="20"/>
      <c r="BQ127" s="20" t="s">
        <v>2969</v>
      </c>
      <c r="BR127" s="20">
        <v>1</v>
      </c>
      <c r="BS127" s="20">
        <v>1</v>
      </c>
      <c r="BT127" s="20" t="s">
        <v>3038</v>
      </c>
      <c r="BU127" s="20" t="s">
        <v>488</v>
      </c>
      <c r="BV127" s="20">
        <v>0</v>
      </c>
      <c r="BW127" s="20" t="s">
        <v>51</v>
      </c>
      <c r="BX127" s="20">
        <v>0</v>
      </c>
      <c r="BY127" s="20" t="s">
        <v>3133</v>
      </c>
      <c r="BZ127" s="20" t="s">
        <v>42</v>
      </c>
    </row>
    <row r="128" spans="1:78">
      <c r="A128">
        <v>10127</v>
      </c>
      <c r="B128" s="12"/>
      <c r="C128" s="12" t="s">
        <v>3134</v>
      </c>
      <c r="D128" s="14">
        <v>1</v>
      </c>
      <c r="E128" s="14">
        <v>1</v>
      </c>
      <c r="F128" s="12" t="s">
        <v>3135</v>
      </c>
      <c r="G128" s="13">
        <v>0</v>
      </c>
      <c r="H128" s="12" t="s">
        <v>3136</v>
      </c>
      <c r="I128" s="12" t="s">
        <v>42</v>
      </c>
      <c r="J128" s="15"/>
      <c r="K128" s="15" t="s">
        <v>3137</v>
      </c>
      <c r="L128" s="16">
        <v>1</v>
      </c>
      <c r="M128" s="16">
        <v>1</v>
      </c>
      <c r="N128" s="15" t="s">
        <v>3138</v>
      </c>
      <c r="O128" s="15" t="s">
        <v>3139</v>
      </c>
      <c r="P128" s="17">
        <v>1</v>
      </c>
      <c r="Q128" s="15" t="s">
        <v>166</v>
      </c>
      <c r="R128" s="15">
        <v>0.5</v>
      </c>
      <c r="S128" s="15" t="s">
        <v>3140</v>
      </c>
      <c r="T128" s="15" t="s">
        <v>37</v>
      </c>
      <c r="U128" s="18"/>
      <c r="V128" s="18" t="s">
        <v>839</v>
      </c>
      <c r="W128" s="18">
        <v>1</v>
      </c>
      <c r="X128" s="18">
        <v>1</v>
      </c>
      <c r="Y128" s="18" t="s">
        <v>3141</v>
      </c>
      <c r="Z128" s="18" t="s">
        <v>86</v>
      </c>
      <c r="AA128" s="18">
        <v>0</v>
      </c>
      <c r="AB128" s="29" t="s">
        <v>3142</v>
      </c>
      <c r="AC128" s="18">
        <v>0.5</v>
      </c>
      <c r="AD128" s="18" t="s">
        <v>83</v>
      </c>
      <c r="AE128" s="18" t="s">
        <v>42</v>
      </c>
      <c r="AF128" s="20"/>
      <c r="AG128" s="20" t="s">
        <v>840</v>
      </c>
      <c r="AH128" s="21">
        <v>1</v>
      </c>
      <c r="AI128" s="21">
        <v>1</v>
      </c>
      <c r="AJ128" s="20" t="s">
        <v>3143</v>
      </c>
      <c r="AK128" s="20">
        <v>0</v>
      </c>
      <c r="AL128" s="20" t="s">
        <v>3144</v>
      </c>
      <c r="AM128" s="20" t="s">
        <v>43</v>
      </c>
      <c r="AN128" s="15"/>
      <c r="AO128" s="15" t="s">
        <v>3145</v>
      </c>
      <c r="AP128" s="16">
        <v>1</v>
      </c>
      <c r="AQ128" s="16">
        <v>1</v>
      </c>
      <c r="AR128" s="15" t="s">
        <v>200</v>
      </c>
      <c r="AS128" s="15" t="s">
        <v>86</v>
      </c>
      <c r="AT128" s="15">
        <v>0</v>
      </c>
      <c r="AU128" s="17">
        <v>0</v>
      </c>
      <c r="AV128" s="15" t="s">
        <v>62</v>
      </c>
      <c r="AW128" s="15">
        <v>1</v>
      </c>
      <c r="AX128" s="15" t="s">
        <v>3146</v>
      </c>
      <c r="AY128" s="15" t="s">
        <v>37</v>
      </c>
      <c r="AZ128" s="18"/>
      <c r="BA128" s="18" t="s">
        <v>3147</v>
      </c>
      <c r="BB128" s="19">
        <v>1</v>
      </c>
      <c r="BC128" s="19">
        <v>1</v>
      </c>
      <c r="BD128" s="18" t="s">
        <v>134</v>
      </c>
      <c r="BE128" s="18">
        <v>0</v>
      </c>
      <c r="BF128" s="18" t="s">
        <v>3148</v>
      </c>
      <c r="BG128" s="18" t="s">
        <v>67</v>
      </c>
      <c r="BH128" s="12"/>
      <c r="BI128" s="12" t="s">
        <v>411</v>
      </c>
      <c r="BJ128" s="12">
        <v>1</v>
      </c>
      <c r="BK128" s="12">
        <v>1</v>
      </c>
      <c r="BL128" s="12" t="s">
        <v>412</v>
      </c>
      <c r="BM128" s="12">
        <v>0.5</v>
      </c>
      <c r="BN128" s="12" t="s">
        <v>3150</v>
      </c>
      <c r="BO128" s="12" t="s">
        <v>43</v>
      </c>
      <c r="BP128" s="20"/>
      <c r="BQ128" s="20" t="s">
        <v>3151</v>
      </c>
      <c r="BR128" s="20">
        <v>1</v>
      </c>
      <c r="BS128" s="20">
        <v>1</v>
      </c>
      <c r="BT128" s="20" t="s">
        <v>3152</v>
      </c>
      <c r="BU128" s="20" t="s">
        <v>3153</v>
      </c>
      <c r="BV128" s="20">
        <v>1</v>
      </c>
      <c r="BW128" s="20" t="s">
        <v>3154</v>
      </c>
      <c r="BX128" s="20">
        <v>0</v>
      </c>
      <c r="BY128" s="20" t="s">
        <v>3155</v>
      </c>
      <c r="BZ128" s="20" t="s">
        <v>43</v>
      </c>
    </row>
    <row r="129" spans="1:78">
      <c r="A129">
        <v>10128</v>
      </c>
      <c r="B129" s="12"/>
      <c r="C129" s="12" t="s">
        <v>604</v>
      </c>
      <c r="D129" s="14">
        <v>1</v>
      </c>
      <c r="E129" s="14">
        <v>1</v>
      </c>
      <c r="F129" s="12" t="s">
        <v>3156</v>
      </c>
      <c r="G129" s="13">
        <v>0</v>
      </c>
      <c r="H129" s="12" t="s">
        <v>201</v>
      </c>
      <c r="I129" s="12" t="s">
        <v>35</v>
      </c>
      <c r="J129" s="15"/>
      <c r="K129" s="15" t="s">
        <v>465</v>
      </c>
      <c r="L129" s="16">
        <v>1</v>
      </c>
      <c r="M129" s="16">
        <v>1</v>
      </c>
      <c r="N129" s="15" t="s">
        <v>3157</v>
      </c>
      <c r="O129" s="15" t="s">
        <v>60</v>
      </c>
      <c r="P129" s="17">
        <v>0</v>
      </c>
      <c r="Q129" s="15" t="s">
        <v>3158</v>
      </c>
      <c r="R129" s="15">
        <v>0.5</v>
      </c>
      <c r="S129" s="15" t="s">
        <v>93</v>
      </c>
      <c r="T129" s="15" t="s">
        <v>37</v>
      </c>
      <c r="U129" s="18"/>
      <c r="V129" s="18" t="s">
        <v>263</v>
      </c>
      <c r="W129" s="18">
        <v>1</v>
      </c>
      <c r="X129" s="18">
        <v>1</v>
      </c>
      <c r="Y129" s="18" t="s">
        <v>3157</v>
      </c>
      <c r="Z129" s="18" t="s">
        <v>60</v>
      </c>
      <c r="AA129" s="18">
        <v>0</v>
      </c>
      <c r="AB129" s="29" t="s">
        <v>3159</v>
      </c>
      <c r="AC129" s="18">
        <v>0.5</v>
      </c>
      <c r="AD129" s="18" t="s">
        <v>93</v>
      </c>
      <c r="AE129" s="18" t="s">
        <v>37</v>
      </c>
      <c r="AF129" s="20"/>
      <c r="AG129" s="20" t="s">
        <v>1574</v>
      </c>
      <c r="AH129" s="21">
        <v>1</v>
      </c>
      <c r="AI129" s="21">
        <v>1</v>
      </c>
      <c r="AJ129" s="20" t="s">
        <v>184</v>
      </c>
      <c r="AK129" s="20">
        <v>0</v>
      </c>
      <c r="AL129" s="20" t="s">
        <v>93</v>
      </c>
      <c r="AM129" s="20" t="s">
        <v>37</v>
      </c>
      <c r="AN129" s="15"/>
      <c r="AO129" s="15" t="s">
        <v>241</v>
      </c>
      <c r="AP129" s="16">
        <v>1</v>
      </c>
      <c r="AQ129" s="16">
        <v>1</v>
      </c>
      <c r="AR129" s="15" t="s">
        <v>65</v>
      </c>
      <c r="AS129" s="15" t="s">
        <v>3160</v>
      </c>
      <c r="AT129" s="15">
        <v>0</v>
      </c>
      <c r="AU129" s="17">
        <v>0</v>
      </c>
      <c r="AV129" s="15" t="s">
        <v>3161</v>
      </c>
      <c r="AW129" s="15">
        <v>0</v>
      </c>
      <c r="AX129" s="15" t="s">
        <v>93</v>
      </c>
      <c r="AY129" s="15" t="s">
        <v>37</v>
      </c>
      <c r="AZ129" s="18"/>
      <c r="BA129" s="18" t="s">
        <v>3162</v>
      </c>
      <c r="BB129" s="19">
        <v>1</v>
      </c>
      <c r="BC129" s="19">
        <v>1</v>
      </c>
      <c r="BD129" s="18" t="s">
        <v>202</v>
      </c>
      <c r="BE129" s="18">
        <v>0</v>
      </c>
      <c r="BF129" s="18" t="s">
        <v>93</v>
      </c>
      <c r="BG129" s="18" t="s">
        <v>37</v>
      </c>
      <c r="BH129" s="12"/>
      <c r="BI129" s="12" t="s">
        <v>360</v>
      </c>
      <c r="BJ129" s="12">
        <v>1</v>
      </c>
      <c r="BK129" s="12">
        <v>1</v>
      </c>
      <c r="BL129" s="12" t="s">
        <v>361</v>
      </c>
      <c r="BM129" s="12">
        <v>0</v>
      </c>
      <c r="BN129" s="12" t="s">
        <v>93</v>
      </c>
      <c r="BO129" s="12" t="s">
        <v>37</v>
      </c>
      <c r="BP129" s="20"/>
      <c r="BQ129" s="20" t="s">
        <v>1847</v>
      </c>
      <c r="BR129" s="20">
        <v>1</v>
      </c>
      <c r="BS129" s="20">
        <v>1</v>
      </c>
      <c r="BT129" s="20" t="s">
        <v>1848</v>
      </c>
      <c r="BU129" s="20" t="s">
        <v>1849</v>
      </c>
      <c r="BV129" s="20">
        <v>0</v>
      </c>
      <c r="BW129" s="20" t="s">
        <v>3167</v>
      </c>
      <c r="BX129" s="20">
        <v>0</v>
      </c>
      <c r="BY129" s="20" t="s">
        <v>93</v>
      </c>
      <c r="BZ129" s="20" t="s">
        <v>37</v>
      </c>
    </row>
    <row r="130" spans="1:78">
      <c r="A130">
        <v>10129</v>
      </c>
      <c r="B130" s="12"/>
      <c r="C130" s="12" t="s">
        <v>3168</v>
      </c>
      <c r="D130" s="14">
        <v>1</v>
      </c>
      <c r="E130" s="14">
        <v>0</v>
      </c>
      <c r="F130" s="12" t="s">
        <v>3169</v>
      </c>
      <c r="G130" s="13">
        <v>0</v>
      </c>
      <c r="H130" s="12" t="s">
        <v>3170</v>
      </c>
      <c r="I130" s="12" t="s">
        <v>37</v>
      </c>
      <c r="J130" s="15"/>
      <c r="K130" s="15" t="s">
        <v>3171</v>
      </c>
      <c r="L130" s="16">
        <v>0</v>
      </c>
      <c r="M130" s="16">
        <v>0</v>
      </c>
      <c r="N130" s="15" t="s">
        <v>3172</v>
      </c>
      <c r="O130" s="15" t="s">
        <v>3173</v>
      </c>
      <c r="P130" s="17">
        <v>0</v>
      </c>
      <c r="Q130" s="15" t="s">
        <v>3174</v>
      </c>
      <c r="R130" s="15">
        <v>1</v>
      </c>
      <c r="S130" s="15" t="s">
        <v>3175</v>
      </c>
      <c r="T130" s="15" t="s">
        <v>43</v>
      </c>
      <c r="U130" s="18"/>
      <c r="V130" s="18" t="s">
        <v>3176</v>
      </c>
      <c r="W130" s="19">
        <v>1</v>
      </c>
      <c r="X130" s="19">
        <v>1</v>
      </c>
      <c r="Y130" s="18" t="s">
        <v>3177</v>
      </c>
      <c r="Z130" s="18" t="s">
        <v>3178</v>
      </c>
      <c r="AA130" s="18">
        <v>1</v>
      </c>
      <c r="AB130" s="29" t="s">
        <v>3179</v>
      </c>
      <c r="AC130" s="18">
        <v>0.5</v>
      </c>
      <c r="AD130" s="18" t="s">
        <v>3180</v>
      </c>
      <c r="AE130" s="18" t="s">
        <v>43</v>
      </c>
      <c r="AF130" s="20"/>
      <c r="AG130" s="20" t="s">
        <v>3181</v>
      </c>
      <c r="AH130" s="21">
        <v>1</v>
      </c>
      <c r="AI130" s="21">
        <v>1</v>
      </c>
      <c r="AJ130" s="20" t="s">
        <v>79</v>
      </c>
      <c r="AK130" s="20">
        <v>0</v>
      </c>
      <c r="AL130" s="20" t="s">
        <v>3182</v>
      </c>
      <c r="AM130" s="20" t="s">
        <v>43</v>
      </c>
      <c r="AN130" s="15"/>
      <c r="AO130" s="15" t="s">
        <v>3183</v>
      </c>
      <c r="AP130" s="16">
        <v>1</v>
      </c>
      <c r="AQ130" s="16">
        <v>1</v>
      </c>
      <c r="AR130" s="15" t="s">
        <v>3184</v>
      </c>
      <c r="AS130" s="15" t="s">
        <v>3185</v>
      </c>
      <c r="AT130" s="15">
        <v>3</v>
      </c>
      <c r="AU130" s="17">
        <v>2</v>
      </c>
      <c r="AV130" s="15" t="s">
        <v>2894</v>
      </c>
      <c r="AW130" s="15">
        <v>0</v>
      </c>
      <c r="AX130" s="15" t="s">
        <v>3186</v>
      </c>
      <c r="AY130" s="15" t="s">
        <v>37</v>
      </c>
      <c r="AZ130" s="18"/>
      <c r="BA130" s="18" t="s">
        <v>3187</v>
      </c>
      <c r="BB130" s="19">
        <v>1</v>
      </c>
      <c r="BC130" s="19">
        <v>1</v>
      </c>
      <c r="BD130" s="18" t="s">
        <v>3188</v>
      </c>
      <c r="BE130" s="18">
        <v>1</v>
      </c>
      <c r="BF130" s="18" t="s">
        <v>71</v>
      </c>
      <c r="BG130" s="18" t="s">
        <v>35</v>
      </c>
      <c r="BH130" s="12"/>
      <c r="BI130" s="12" t="s">
        <v>652</v>
      </c>
      <c r="BJ130" s="12">
        <v>1</v>
      </c>
      <c r="BK130" s="12">
        <v>1</v>
      </c>
      <c r="BL130" s="12" t="s">
        <v>62</v>
      </c>
      <c r="BM130" s="12">
        <v>0</v>
      </c>
      <c r="BN130" s="12" t="s">
        <v>3190</v>
      </c>
      <c r="BO130" s="12" t="s">
        <v>35</v>
      </c>
      <c r="BP130" s="20"/>
      <c r="BQ130" s="20" t="s">
        <v>924</v>
      </c>
      <c r="BR130" s="20">
        <v>0</v>
      </c>
      <c r="BS130" s="20">
        <v>1</v>
      </c>
      <c r="BT130" s="20" t="s">
        <v>925</v>
      </c>
      <c r="BU130" s="20" t="s">
        <v>926</v>
      </c>
      <c r="BV130" s="20">
        <v>1</v>
      </c>
      <c r="BW130" s="20" t="s">
        <v>3179</v>
      </c>
      <c r="BX130" s="20">
        <v>0</v>
      </c>
      <c r="BY130" s="20" t="s">
        <v>3194</v>
      </c>
      <c r="BZ130" s="20" t="s">
        <v>37</v>
      </c>
    </row>
    <row r="131" spans="1:78">
      <c r="A131">
        <v>10130</v>
      </c>
      <c r="B131" s="12"/>
      <c r="C131" s="12" t="s">
        <v>3195</v>
      </c>
      <c r="D131" s="14">
        <v>1</v>
      </c>
      <c r="E131" s="14">
        <v>1</v>
      </c>
      <c r="F131" s="12" t="s">
        <v>3196</v>
      </c>
      <c r="G131" s="13">
        <v>1</v>
      </c>
      <c r="H131" s="12" t="s">
        <v>1797</v>
      </c>
      <c r="I131" s="12" t="s">
        <v>43</v>
      </c>
      <c r="J131" s="15"/>
      <c r="K131" s="15" t="s">
        <v>3197</v>
      </c>
      <c r="L131" s="16">
        <v>1</v>
      </c>
      <c r="M131" s="16">
        <v>1</v>
      </c>
      <c r="N131" s="15" t="s">
        <v>3198</v>
      </c>
      <c r="O131" s="15" t="s">
        <v>3199</v>
      </c>
      <c r="P131" s="17">
        <v>1</v>
      </c>
      <c r="Q131" s="15" t="s">
        <v>3200</v>
      </c>
      <c r="R131" s="15">
        <v>1</v>
      </c>
      <c r="S131" s="15" t="s">
        <v>3201</v>
      </c>
      <c r="T131" s="15" t="s">
        <v>37</v>
      </c>
      <c r="U131" s="18"/>
      <c r="V131" s="18" t="s">
        <v>839</v>
      </c>
      <c r="W131" s="19">
        <v>1</v>
      </c>
      <c r="X131" s="19">
        <v>1</v>
      </c>
      <c r="Y131" s="18" t="s">
        <v>3202</v>
      </c>
      <c r="Z131" s="18" t="s">
        <v>3203</v>
      </c>
      <c r="AA131" s="18">
        <v>1</v>
      </c>
      <c r="AB131" s="29" t="s">
        <v>1877</v>
      </c>
      <c r="AC131" s="18">
        <v>0.5</v>
      </c>
      <c r="AD131" s="18" t="s">
        <v>3204</v>
      </c>
      <c r="AE131" s="18" t="s">
        <v>36</v>
      </c>
      <c r="AF131" s="20"/>
      <c r="AG131" s="20" t="s">
        <v>3205</v>
      </c>
      <c r="AH131" s="21">
        <v>1</v>
      </c>
      <c r="AI131" s="21">
        <v>1</v>
      </c>
      <c r="AJ131" s="20" t="s">
        <v>3206</v>
      </c>
      <c r="AK131" s="20">
        <v>1</v>
      </c>
      <c r="AL131" s="20" t="s">
        <v>3207</v>
      </c>
      <c r="AM131" s="20" t="s">
        <v>37</v>
      </c>
      <c r="AN131" s="15"/>
      <c r="AO131" s="15" t="s">
        <v>2642</v>
      </c>
      <c r="AP131" s="16">
        <v>1</v>
      </c>
      <c r="AQ131" s="16">
        <v>1</v>
      </c>
      <c r="AR131" s="15" t="s">
        <v>3208</v>
      </c>
      <c r="AS131" s="15" t="s">
        <v>3209</v>
      </c>
      <c r="AT131" s="15">
        <v>2</v>
      </c>
      <c r="AU131" s="17">
        <v>0</v>
      </c>
      <c r="AV131" s="15" t="s">
        <v>3210</v>
      </c>
      <c r="AW131" s="15">
        <v>0</v>
      </c>
      <c r="AX131" s="15" t="s">
        <v>3211</v>
      </c>
      <c r="AY131" s="15" t="s">
        <v>37</v>
      </c>
      <c r="AZ131" s="18"/>
      <c r="BA131" s="18" t="s">
        <v>3212</v>
      </c>
      <c r="BB131" s="19">
        <v>0</v>
      </c>
      <c r="BC131" s="19">
        <v>1</v>
      </c>
      <c r="BD131" s="18" t="s">
        <v>3213</v>
      </c>
      <c r="BE131" s="18">
        <v>1</v>
      </c>
      <c r="BF131" s="18" t="s">
        <v>3214</v>
      </c>
      <c r="BG131" s="18" t="s">
        <v>37</v>
      </c>
      <c r="BH131" s="12"/>
      <c r="BI131" s="12" t="s">
        <v>3215</v>
      </c>
      <c r="BJ131" s="12">
        <v>1</v>
      </c>
      <c r="BK131" s="12">
        <v>1</v>
      </c>
      <c r="BL131" s="12" t="s">
        <v>3216</v>
      </c>
      <c r="BM131" s="12">
        <v>0.5</v>
      </c>
      <c r="BN131" s="12" t="s">
        <v>3217</v>
      </c>
      <c r="BO131" s="12" t="s">
        <v>37</v>
      </c>
      <c r="BP131" s="20"/>
      <c r="BQ131" s="20" t="s">
        <v>3511</v>
      </c>
      <c r="BR131" s="20">
        <v>0</v>
      </c>
      <c r="BS131" s="20">
        <v>0</v>
      </c>
      <c r="BT131" s="20" t="s">
        <v>3512</v>
      </c>
      <c r="BU131" s="20" t="s">
        <v>3513</v>
      </c>
      <c r="BV131" s="20">
        <v>0</v>
      </c>
      <c r="BW131" s="20" t="s">
        <v>41</v>
      </c>
      <c r="BX131" s="20">
        <v>0</v>
      </c>
      <c r="BY131" s="20" t="s">
        <v>3220</v>
      </c>
      <c r="BZ131" s="20" t="s">
        <v>37</v>
      </c>
    </row>
    <row r="132" spans="1:78">
      <c r="A132">
        <v>10131</v>
      </c>
      <c r="B132" s="12"/>
      <c r="C132" s="12" t="s">
        <v>3221</v>
      </c>
      <c r="D132" s="14">
        <v>1</v>
      </c>
      <c r="E132" s="14">
        <v>1</v>
      </c>
      <c r="F132" s="12" t="s">
        <v>3222</v>
      </c>
      <c r="G132" s="13">
        <v>1</v>
      </c>
      <c r="H132" s="12" t="s">
        <v>3223</v>
      </c>
      <c r="I132" s="12" t="s">
        <v>43</v>
      </c>
      <c r="J132" s="15"/>
      <c r="K132" s="15" t="s">
        <v>3224</v>
      </c>
      <c r="L132" s="16">
        <v>1</v>
      </c>
      <c r="M132" s="16">
        <v>0</v>
      </c>
      <c r="N132" s="15" t="s">
        <v>3225</v>
      </c>
      <c r="O132" s="15" t="s">
        <v>3226</v>
      </c>
      <c r="P132" s="17">
        <v>2</v>
      </c>
      <c r="Q132" s="15" t="s">
        <v>3227</v>
      </c>
      <c r="R132" s="15">
        <v>1</v>
      </c>
      <c r="S132" s="15" t="s">
        <v>3228</v>
      </c>
      <c r="T132" s="15" t="s">
        <v>43</v>
      </c>
      <c r="U132" s="18"/>
      <c r="V132" s="18" t="s">
        <v>3229</v>
      </c>
      <c r="W132" s="19">
        <v>1</v>
      </c>
      <c r="X132" s="19">
        <v>1</v>
      </c>
      <c r="Y132" s="18" t="s">
        <v>3230</v>
      </c>
      <c r="Z132" s="18" t="s">
        <v>3231</v>
      </c>
      <c r="AA132" s="18">
        <v>2</v>
      </c>
      <c r="AB132" s="29" t="s">
        <v>44</v>
      </c>
      <c r="AC132" s="18">
        <v>0</v>
      </c>
      <c r="AD132" s="18" t="s">
        <v>3232</v>
      </c>
      <c r="AE132" s="18" t="s">
        <v>43</v>
      </c>
      <c r="AF132" s="20"/>
      <c r="AG132" s="20" t="s">
        <v>3233</v>
      </c>
      <c r="AH132" s="21">
        <v>1</v>
      </c>
      <c r="AI132" s="21">
        <v>0.5</v>
      </c>
      <c r="AJ132" s="20" t="s">
        <v>3234</v>
      </c>
      <c r="AK132" s="20">
        <v>1</v>
      </c>
      <c r="AL132" s="20" t="s">
        <v>3235</v>
      </c>
      <c r="AM132" s="20" t="s">
        <v>43</v>
      </c>
      <c r="AN132" s="15"/>
      <c r="AO132" s="15" t="s">
        <v>3236</v>
      </c>
      <c r="AP132" s="16">
        <v>1</v>
      </c>
      <c r="AQ132" s="16">
        <v>1</v>
      </c>
      <c r="AR132" s="15" t="s">
        <v>3237</v>
      </c>
      <c r="AS132" s="15" t="s">
        <v>3238</v>
      </c>
      <c r="AT132" s="15">
        <v>3</v>
      </c>
      <c r="AU132" s="17">
        <v>0</v>
      </c>
      <c r="AV132" s="15" t="s">
        <v>140</v>
      </c>
      <c r="AW132" s="15">
        <v>1</v>
      </c>
      <c r="AX132" s="15" t="s">
        <v>3239</v>
      </c>
      <c r="AY132" s="15" t="s">
        <v>37</v>
      </c>
      <c r="AZ132" s="18"/>
      <c r="BA132" s="18" t="s">
        <v>3240</v>
      </c>
      <c r="BB132" s="18">
        <v>0</v>
      </c>
      <c r="BC132" s="18">
        <v>0</v>
      </c>
      <c r="BD132" s="18" t="s">
        <v>3241</v>
      </c>
      <c r="BE132" s="18">
        <v>0</v>
      </c>
      <c r="BF132" s="18" t="s">
        <v>3242</v>
      </c>
      <c r="BG132" s="18" t="s">
        <v>35</v>
      </c>
      <c r="BH132" s="12"/>
      <c r="BI132" s="12" t="s">
        <v>3189</v>
      </c>
      <c r="BJ132" s="12">
        <v>1</v>
      </c>
      <c r="BK132" s="12">
        <v>1</v>
      </c>
      <c r="BL132" s="12" t="s">
        <v>52</v>
      </c>
      <c r="BM132" s="12">
        <v>0.5</v>
      </c>
      <c r="BN132" s="12" t="s">
        <v>3232</v>
      </c>
      <c r="BO132" s="12" t="s">
        <v>43</v>
      </c>
      <c r="BP132" s="20"/>
      <c r="BQ132" s="20" t="s">
        <v>250</v>
      </c>
      <c r="BR132" s="20">
        <v>1</v>
      </c>
      <c r="BS132" s="20">
        <v>1</v>
      </c>
      <c r="BT132" s="20" t="s">
        <v>3244</v>
      </c>
      <c r="BU132" s="20" t="s">
        <v>3238</v>
      </c>
      <c r="BV132" s="20">
        <v>2</v>
      </c>
      <c r="BW132" s="20" t="s">
        <v>3245</v>
      </c>
      <c r="BX132" s="20">
        <v>1</v>
      </c>
      <c r="BY132" s="20" t="s">
        <v>3246</v>
      </c>
      <c r="BZ132" s="20" t="s">
        <v>42</v>
      </c>
    </row>
    <row r="133" spans="1:78">
      <c r="A133">
        <v>10132</v>
      </c>
      <c r="B133" s="12"/>
      <c r="C133" s="12" t="s">
        <v>3247</v>
      </c>
      <c r="D133" s="14">
        <v>1</v>
      </c>
      <c r="E133" s="14">
        <v>1</v>
      </c>
      <c r="F133" s="12" t="s">
        <v>3248</v>
      </c>
      <c r="G133" s="13">
        <v>1</v>
      </c>
      <c r="H133" s="12" t="s">
        <v>3249</v>
      </c>
      <c r="I133" s="12" t="s">
        <v>35</v>
      </c>
      <c r="J133" s="15"/>
      <c r="K133" s="15" t="s">
        <v>3250</v>
      </c>
      <c r="L133" s="16">
        <v>1</v>
      </c>
      <c r="M133" s="16">
        <v>1</v>
      </c>
      <c r="N133" s="15" t="s">
        <v>3251</v>
      </c>
      <c r="O133" s="15" t="s">
        <v>3252</v>
      </c>
      <c r="P133" s="17">
        <v>2</v>
      </c>
      <c r="Q133" s="15" t="s">
        <v>3253</v>
      </c>
      <c r="R133" s="15">
        <v>0.5</v>
      </c>
      <c r="S133" s="15" t="s">
        <v>3254</v>
      </c>
      <c r="T133" s="15" t="s">
        <v>37</v>
      </c>
      <c r="U133" s="18"/>
      <c r="V133" s="18" t="s">
        <v>263</v>
      </c>
      <c r="W133" s="19">
        <v>1</v>
      </c>
      <c r="X133" s="19">
        <v>1</v>
      </c>
      <c r="Y133" s="18" t="s">
        <v>3255</v>
      </c>
      <c r="Z133" s="18" t="s">
        <v>3256</v>
      </c>
      <c r="AA133" s="18">
        <v>0</v>
      </c>
      <c r="AB133" s="29" t="s">
        <v>133</v>
      </c>
      <c r="AC133" s="18">
        <v>0.5</v>
      </c>
      <c r="AD133" s="18" t="s">
        <v>3257</v>
      </c>
      <c r="AE133" s="18" t="s">
        <v>43</v>
      </c>
      <c r="AF133" s="20"/>
      <c r="AG133" s="20" t="s">
        <v>3258</v>
      </c>
      <c r="AH133" s="21">
        <v>1</v>
      </c>
      <c r="AI133" s="21">
        <v>0.5</v>
      </c>
      <c r="AJ133" s="20" t="s">
        <v>3259</v>
      </c>
      <c r="AK133" s="20">
        <v>0</v>
      </c>
      <c r="AL133" s="20" t="s">
        <v>3260</v>
      </c>
      <c r="AM133" s="20" t="s">
        <v>43</v>
      </c>
      <c r="AN133" s="15"/>
      <c r="AO133" s="15" t="s">
        <v>1902</v>
      </c>
      <c r="AP133" s="16">
        <v>1</v>
      </c>
      <c r="AQ133" s="16">
        <v>1</v>
      </c>
      <c r="AR133" s="15" t="s">
        <v>3261</v>
      </c>
      <c r="AS133" s="15" t="s">
        <v>3262</v>
      </c>
      <c r="AT133" s="15">
        <v>3</v>
      </c>
      <c r="AU133" s="17">
        <v>3</v>
      </c>
      <c r="AV133" s="15" t="s">
        <v>62</v>
      </c>
      <c r="AW133" s="15">
        <v>1</v>
      </c>
      <c r="AX133" s="15" t="s">
        <v>3263</v>
      </c>
      <c r="AY133" s="15" t="s">
        <v>43</v>
      </c>
      <c r="AZ133" s="18"/>
      <c r="BA133" s="18" t="s">
        <v>3264</v>
      </c>
      <c r="BB133" s="19">
        <v>1</v>
      </c>
      <c r="BC133" s="19">
        <v>1</v>
      </c>
      <c r="BD133" s="18" t="s">
        <v>3265</v>
      </c>
      <c r="BE133" s="18">
        <v>0</v>
      </c>
      <c r="BF133" s="18" t="s">
        <v>3266</v>
      </c>
      <c r="BG133" s="18" t="s">
        <v>42</v>
      </c>
      <c r="BH133" s="12"/>
      <c r="BI133" s="12" t="s">
        <v>3058</v>
      </c>
      <c r="BJ133" s="12">
        <v>1</v>
      </c>
      <c r="BK133" s="12">
        <v>1</v>
      </c>
      <c r="BL133" s="12" t="s">
        <v>161</v>
      </c>
      <c r="BM133" s="12">
        <v>0.5</v>
      </c>
      <c r="BN133" s="12" t="s">
        <v>3268</v>
      </c>
      <c r="BO133" s="12" t="s">
        <v>37</v>
      </c>
      <c r="BP133" s="20"/>
      <c r="BQ133" s="20" t="s">
        <v>1738</v>
      </c>
      <c r="BR133" s="20">
        <v>0</v>
      </c>
      <c r="BS133" s="20">
        <v>1</v>
      </c>
      <c r="BT133" s="20" t="s">
        <v>1739</v>
      </c>
      <c r="BU133" s="20" t="s">
        <v>1740</v>
      </c>
      <c r="BV133" s="20">
        <v>2</v>
      </c>
      <c r="BW133" s="20" t="s">
        <v>3271</v>
      </c>
      <c r="BX133" s="20">
        <v>0</v>
      </c>
      <c r="BY133" s="20" t="s">
        <v>3272</v>
      </c>
      <c r="BZ133" s="20" t="s">
        <v>35</v>
      </c>
    </row>
    <row r="134" spans="1:78">
      <c r="A134">
        <v>10133</v>
      </c>
      <c r="B134" s="12"/>
      <c r="C134" s="12" t="s">
        <v>3273</v>
      </c>
      <c r="D134" s="14">
        <v>1</v>
      </c>
      <c r="E134" s="14">
        <v>1</v>
      </c>
      <c r="F134" s="12" t="s">
        <v>100</v>
      </c>
      <c r="G134" s="13">
        <v>0</v>
      </c>
      <c r="H134" s="12" t="s">
        <v>3274</v>
      </c>
      <c r="I134" s="12" t="s">
        <v>37</v>
      </c>
      <c r="J134" s="15"/>
      <c r="K134" s="15" t="s">
        <v>3275</v>
      </c>
      <c r="L134" s="16">
        <v>1</v>
      </c>
      <c r="M134" s="16">
        <v>1</v>
      </c>
      <c r="N134" s="15" t="s">
        <v>100</v>
      </c>
      <c r="O134" s="15" t="s">
        <v>3276</v>
      </c>
      <c r="P134" s="17">
        <v>0</v>
      </c>
      <c r="Q134" s="15" t="s">
        <v>62</v>
      </c>
      <c r="R134" s="15">
        <v>0</v>
      </c>
      <c r="S134" s="15" t="s">
        <v>3277</v>
      </c>
      <c r="T134" s="15" t="s">
        <v>37</v>
      </c>
      <c r="U134" s="18"/>
      <c r="V134" s="18" t="s">
        <v>1128</v>
      </c>
      <c r="W134" s="18">
        <v>1</v>
      </c>
      <c r="X134" s="18">
        <v>1</v>
      </c>
      <c r="Y134" s="18" t="s">
        <v>100</v>
      </c>
      <c r="Z134" s="18" t="s">
        <v>3278</v>
      </c>
      <c r="AA134" s="18">
        <v>0</v>
      </c>
      <c r="AB134" s="29" t="s">
        <v>149</v>
      </c>
      <c r="AC134" s="18">
        <v>0</v>
      </c>
      <c r="AD134" s="18" t="s">
        <v>3279</v>
      </c>
      <c r="AE134" s="18" t="s">
        <v>37</v>
      </c>
      <c r="AF134" s="20"/>
      <c r="AG134" s="20" t="s">
        <v>3280</v>
      </c>
      <c r="AH134" s="21">
        <v>1</v>
      </c>
      <c r="AI134" s="21">
        <v>1</v>
      </c>
      <c r="AJ134" s="20" t="s">
        <v>151</v>
      </c>
      <c r="AK134" s="20">
        <v>0</v>
      </c>
      <c r="AL134" s="20" t="s">
        <v>3281</v>
      </c>
      <c r="AM134" s="20" t="s">
        <v>36</v>
      </c>
      <c r="AN134" s="15"/>
      <c r="AO134" s="15" t="s">
        <v>3145</v>
      </c>
      <c r="AP134" s="16">
        <v>1</v>
      </c>
      <c r="AQ134" s="16">
        <v>1</v>
      </c>
      <c r="AR134" s="15" t="s">
        <v>3282</v>
      </c>
      <c r="AS134" s="15" t="s">
        <v>3283</v>
      </c>
      <c r="AT134" s="15">
        <v>1</v>
      </c>
      <c r="AU134" s="17">
        <v>0</v>
      </c>
      <c r="AV134" s="15" t="s">
        <v>149</v>
      </c>
      <c r="AW134" s="15">
        <v>0</v>
      </c>
      <c r="AX134" s="15" t="s">
        <v>3284</v>
      </c>
      <c r="AY134" s="15" t="s">
        <v>37</v>
      </c>
      <c r="AZ134" s="18"/>
      <c r="BA134" s="18" t="s">
        <v>3285</v>
      </c>
      <c r="BB134" s="19">
        <v>1</v>
      </c>
      <c r="BC134" s="19">
        <v>1</v>
      </c>
      <c r="BD134" s="18" t="s">
        <v>151</v>
      </c>
      <c r="BE134" s="18">
        <v>0</v>
      </c>
      <c r="BF134" s="18" t="s">
        <v>3286</v>
      </c>
      <c r="BG134" s="18" t="s">
        <v>37</v>
      </c>
      <c r="BH134" s="12"/>
      <c r="BI134" s="12" t="s">
        <v>2113</v>
      </c>
      <c r="BJ134" s="12">
        <v>1</v>
      </c>
      <c r="BK134" s="12">
        <v>0</v>
      </c>
      <c r="BL134" s="12" t="s">
        <v>2114</v>
      </c>
      <c r="BM134" s="12">
        <v>0</v>
      </c>
      <c r="BN134" s="12" t="s">
        <v>3288</v>
      </c>
      <c r="BO134" s="12" t="s">
        <v>37</v>
      </c>
      <c r="BP134" s="20"/>
      <c r="BQ134" s="20" t="s">
        <v>2250</v>
      </c>
      <c r="BR134" s="20">
        <v>1</v>
      </c>
      <c r="BS134" s="20">
        <v>0</v>
      </c>
      <c r="BT134" s="20" t="s">
        <v>2251</v>
      </c>
      <c r="BU134" s="20" t="s">
        <v>2252</v>
      </c>
      <c r="BV134" s="20">
        <v>0</v>
      </c>
      <c r="BW134" s="20" t="s">
        <v>151</v>
      </c>
      <c r="BX134" s="20">
        <v>0</v>
      </c>
      <c r="BY134" s="20" t="s">
        <v>3292</v>
      </c>
      <c r="BZ134" s="20" t="s">
        <v>36</v>
      </c>
    </row>
    <row r="135" spans="1:78">
      <c r="A135">
        <v>10134</v>
      </c>
      <c r="B135" s="12"/>
      <c r="C135" s="12" t="s">
        <v>462</v>
      </c>
      <c r="D135" s="14">
        <v>1</v>
      </c>
      <c r="E135" s="14">
        <v>1</v>
      </c>
      <c r="F135" s="12" t="s">
        <v>3293</v>
      </c>
      <c r="G135" s="13">
        <v>2</v>
      </c>
      <c r="H135" s="12" t="s">
        <v>3294</v>
      </c>
      <c r="I135" s="12" t="s">
        <v>37</v>
      </c>
      <c r="J135" s="15"/>
      <c r="K135" s="15" t="s">
        <v>465</v>
      </c>
      <c r="L135" s="16">
        <v>1</v>
      </c>
      <c r="M135" s="16">
        <v>1</v>
      </c>
      <c r="N135" s="15" t="s">
        <v>3295</v>
      </c>
      <c r="O135" s="15" t="s">
        <v>3296</v>
      </c>
      <c r="P135" s="17">
        <v>2</v>
      </c>
      <c r="Q135" s="15" t="s">
        <v>52</v>
      </c>
      <c r="R135" s="15">
        <v>0.5</v>
      </c>
      <c r="S135" s="15" t="s">
        <v>3294</v>
      </c>
      <c r="T135" s="15" t="s">
        <v>36</v>
      </c>
      <c r="U135" s="18"/>
      <c r="V135" s="18" t="s">
        <v>609</v>
      </c>
      <c r="W135" s="18">
        <v>1</v>
      </c>
      <c r="X135" s="18">
        <v>1</v>
      </c>
      <c r="Y135" s="18" t="s">
        <v>3297</v>
      </c>
      <c r="Z135" s="18" t="s">
        <v>3298</v>
      </c>
      <c r="AA135" s="18">
        <v>0</v>
      </c>
      <c r="AB135" s="29" t="s">
        <v>92</v>
      </c>
      <c r="AC135" s="18">
        <v>0.5</v>
      </c>
      <c r="AD135" s="18" t="s">
        <v>3294</v>
      </c>
      <c r="AE135" s="18" t="s">
        <v>37</v>
      </c>
      <c r="AF135" s="20"/>
      <c r="AG135" s="20" t="s">
        <v>771</v>
      </c>
      <c r="AH135" s="21">
        <v>1</v>
      </c>
      <c r="AI135" s="21">
        <v>1</v>
      </c>
      <c r="AJ135" s="20" t="s">
        <v>3299</v>
      </c>
      <c r="AK135" s="20">
        <v>0</v>
      </c>
      <c r="AL135" s="20" t="s">
        <v>3294</v>
      </c>
      <c r="AM135" s="20" t="s">
        <v>35</v>
      </c>
      <c r="AN135" s="15"/>
      <c r="AO135" s="15" t="s">
        <v>3300</v>
      </c>
      <c r="AP135" s="16">
        <v>1</v>
      </c>
      <c r="AQ135" s="16">
        <v>1</v>
      </c>
      <c r="AR135" s="15" t="s">
        <v>3301</v>
      </c>
      <c r="AS135" s="15" t="s">
        <v>3302</v>
      </c>
      <c r="AT135" s="15">
        <v>1</v>
      </c>
      <c r="AU135" s="17">
        <v>0</v>
      </c>
      <c r="AV135" s="15" t="s">
        <v>62</v>
      </c>
      <c r="AW135" s="15">
        <v>1</v>
      </c>
      <c r="AX135" s="15" t="s">
        <v>3294</v>
      </c>
      <c r="AY135" s="15" t="s">
        <v>35</v>
      </c>
      <c r="AZ135" s="18"/>
      <c r="BA135" s="18" t="s">
        <v>3303</v>
      </c>
      <c r="BB135" s="19">
        <v>1</v>
      </c>
      <c r="BC135" s="19">
        <v>1</v>
      </c>
      <c r="BD135" s="18" t="s">
        <v>81</v>
      </c>
      <c r="BE135" s="18">
        <v>0</v>
      </c>
      <c r="BF135" s="18" t="s">
        <v>3294</v>
      </c>
      <c r="BG135" s="18" t="s">
        <v>37</v>
      </c>
      <c r="BH135" s="12"/>
      <c r="BI135" s="12" t="s">
        <v>844</v>
      </c>
      <c r="BJ135" s="12">
        <v>1</v>
      </c>
      <c r="BK135" s="12">
        <v>1</v>
      </c>
      <c r="BL135" s="12" t="s">
        <v>845</v>
      </c>
      <c r="BM135" s="12">
        <v>0.5</v>
      </c>
      <c r="BN135" s="12" t="s">
        <v>3294</v>
      </c>
      <c r="BO135" s="12" t="s">
        <v>35</v>
      </c>
      <c r="BP135" s="20"/>
      <c r="BQ135" s="20" t="s">
        <v>458</v>
      </c>
      <c r="BR135" s="20">
        <v>1</v>
      </c>
      <c r="BS135" s="20">
        <v>1</v>
      </c>
      <c r="BT135" s="20" t="s">
        <v>459</v>
      </c>
      <c r="BU135" s="20" t="s">
        <v>460</v>
      </c>
      <c r="BV135" s="20">
        <v>1</v>
      </c>
      <c r="BW135" s="20" t="s">
        <v>62</v>
      </c>
      <c r="BX135" s="20">
        <v>0</v>
      </c>
      <c r="BY135" s="20" t="s">
        <v>3294</v>
      </c>
      <c r="BZ135" s="20" t="s">
        <v>35</v>
      </c>
    </row>
    <row r="136" spans="1:78">
      <c r="A136">
        <v>10135</v>
      </c>
      <c r="B136" s="12"/>
      <c r="C136" s="12" t="s">
        <v>228</v>
      </c>
      <c r="D136" s="14">
        <v>1</v>
      </c>
      <c r="E136" s="14">
        <v>1</v>
      </c>
      <c r="F136" s="12" t="s">
        <v>3307</v>
      </c>
      <c r="G136" s="13">
        <v>2</v>
      </c>
      <c r="H136" s="12" t="s">
        <v>3308</v>
      </c>
      <c r="I136" s="12" t="s">
        <v>43</v>
      </c>
      <c r="J136" s="15"/>
      <c r="K136" s="15" t="s">
        <v>230</v>
      </c>
      <c r="L136" s="16">
        <v>1</v>
      </c>
      <c r="M136" s="16">
        <v>1</v>
      </c>
      <c r="N136" s="15" t="s">
        <v>3309</v>
      </c>
      <c r="O136" s="15" t="s">
        <v>3310</v>
      </c>
      <c r="P136" s="17">
        <v>1</v>
      </c>
      <c r="Q136" s="15" t="s">
        <v>153</v>
      </c>
      <c r="R136" s="15">
        <v>0.5</v>
      </c>
      <c r="S136" s="15" t="s">
        <v>3311</v>
      </c>
      <c r="T136" s="15" t="s">
        <v>43</v>
      </c>
      <c r="U136" s="18"/>
      <c r="V136" s="18" t="s">
        <v>565</v>
      </c>
      <c r="W136" s="19">
        <v>1</v>
      </c>
      <c r="X136" s="19">
        <v>1</v>
      </c>
      <c r="Y136" s="18" t="s">
        <v>3312</v>
      </c>
      <c r="Z136" s="18" t="s">
        <v>3313</v>
      </c>
      <c r="AA136" s="18">
        <v>1</v>
      </c>
      <c r="AB136" s="29" t="s">
        <v>41</v>
      </c>
      <c r="AC136" s="18">
        <v>0</v>
      </c>
      <c r="AD136" s="18" t="s">
        <v>3314</v>
      </c>
      <c r="AE136" s="18" t="s">
        <v>43</v>
      </c>
      <c r="AF136" s="20"/>
      <c r="AG136" s="20" t="s">
        <v>238</v>
      </c>
      <c r="AH136" s="21">
        <v>1</v>
      </c>
      <c r="AI136" s="21">
        <v>1</v>
      </c>
      <c r="AJ136" s="20" t="s">
        <v>116</v>
      </c>
      <c r="AK136" s="20">
        <v>0</v>
      </c>
      <c r="AL136" s="20" t="s">
        <v>3315</v>
      </c>
      <c r="AM136" s="20" t="s">
        <v>37</v>
      </c>
      <c r="AN136" s="15"/>
      <c r="AO136" s="15" t="s">
        <v>450</v>
      </c>
      <c r="AP136" s="16">
        <v>1</v>
      </c>
      <c r="AQ136" s="16">
        <v>1</v>
      </c>
      <c r="AR136" s="15" t="s">
        <v>3316</v>
      </c>
      <c r="AS136" s="15" t="s">
        <v>3317</v>
      </c>
      <c r="AT136" s="15">
        <v>3</v>
      </c>
      <c r="AU136" s="17">
        <v>0</v>
      </c>
      <c r="AV136" s="15" t="s">
        <v>41</v>
      </c>
      <c r="AW136" s="15">
        <v>1</v>
      </c>
      <c r="AX136" s="15" t="s">
        <v>3318</v>
      </c>
      <c r="AY136" s="15" t="s">
        <v>37</v>
      </c>
      <c r="AZ136" s="18"/>
      <c r="BA136" s="18" t="s">
        <v>573</v>
      </c>
      <c r="BB136" s="19">
        <v>1</v>
      </c>
      <c r="BC136" s="19">
        <v>1</v>
      </c>
      <c r="BD136" s="18" t="s">
        <v>202</v>
      </c>
      <c r="BE136" s="18">
        <v>0</v>
      </c>
      <c r="BF136" s="18" t="s">
        <v>3319</v>
      </c>
      <c r="BG136" s="18" t="s">
        <v>43</v>
      </c>
      <c r="BH136" s="12"/>
      <c r="BI136" s="12" t="s">
        <v>2367</v>
      </c>
      <c r="BJ136" s="12">
        <v>1</v>
      </c>
      <c r="BK136" s="12">
        <v>0</v>
      </c>
      <c r="BL136" s="12" t="s">
        <v>2368</v>
      </c>
      <c r="BM136" s="12">
        <v>1</v>
      </c>
      <c r="BN136" s="12" t="s">
        <v>3322</v>
      </c>
      <c r="BO136" s="12" t="s">
        <v>37</v>
      </c>
      <c r="BP136" s="20"/>
      <c r="BQ136" s="20" t="s">
        <v>1374</v>
      </c>
      <c r="BR136" s="20">
        <v>1</v>
      </c>
      <c r="BS136" s="20">
        <v>1</v>
      </c>
      <c r="BT136" s="20" t="s">
        <v>1375</v>
      </c>
      <c r="BU136" s="20" t="s">
        <v>1376</v>
      </c>
      <c r="BV136" s="20">
        <v>1</v>
      </c>
      <c r="BW136" s="20" t="s">
        <v>41</v>
      </c>
      <c r="BX136" s="20">
        <v>0</v>
      </c>
      <c r="BY136" s="20" t="s">
        <v>3325</v>
      </c>
      <c r="BZ136" s="20" t="s">
        <v>43</v>
      </c>
    </row>
    <row r="137" spans="1:78">
      <c r="A137" s="30">
        <v>10136</v>
      </c>
      <c r="B137" s="12"/>
      <c r="C137" s="12" t="s">
        <v>228</v>
      </c>
      <c r="D137" s="14">
        <v>1</v>
      </c>
      <c r="E137" s="14">
        <v>1</v>
      </c>
      <c r="F137" s="12" t="s">
        <v>3326</v>
      </c>
      <c r="G137" s="13">
        <v>1</v>
      </c>
      <c r="H137" s="12" t="s">
        <v>3327</v>
      </c>
      <c r="I137" s="12" t="s">
        <v>37</v>
      </c>
      <c r="J137" s="15"/>
      <c r="K137" s="15" t="s">
        <v>230</v>
      </c>
      <c r="L137" s="16">
        <v>1</v>
      </c>
      <c r="M137" s="16">
        <v>1</v>
      </c>
      <c r="N137" s="15" t="s">
        <v>3328</v>
      </c>
      <c r="O137" s="15" t="s">
        <v>3329</v>
      </c>
      <c r="P137" s="17">
        <v>2</v>
      </c>
      <c r="Q137" s="15" t="s">
        <v>47</v>
      </c>
      <c r="R137" s="15">
        <v>0.5</v>
      </c>
      <c r="S137" s="15" t="s">
        <v>3330</v>
      </c>
      <c r="T137" s="15" t="s">
        <v>43</v>
      </c>
      <c r="U137" s="18"/>
      <c r="V137" s="18" t="s">
        <v>1231</v>
      </c>
      <c r="W137" s="19">
        <v>1</v>
      </c>
      <c r="X137" s="19">
        <v>1</v>
      </c>
      <c r="Y137" s="18" t="s">
        <v>3331</v>
      </c>
      <c r="Z137" s="18" t="s">
        <v>3332</v>
      </c>
      <c r="AA137" s="18">
        <v>0</v>
      </c>
      <c r="AB137" s="29" t="s">
        <v>41</v>
      </c>
      <c r="AC137" s="18">
        <v>0</v>
      </c>
      <c r="AD137" s="18" t="s">
        <v>3333</v>
      </c>
      <c r="AE137" s="18" t="s">
        <v>37</v>
      </c>
      <c r="AF137" s="20"/>
      <c r="AG137" s="20" t="s">
        <v>238</v>
      </c>
      <c r="AH137" s="21">
        <v>1</v>
      </c>
      <c r="AI137" s="21">
        <v>1</v>
      </c>
      <c r="AJ137" s="20" t="s">
        <v>103</v>
      </c>
      <c r="AK137" s="20">
        <v>0</v>
      </c>
      <c r="AL137" s="20" t="s">
        <v>3334</v>
      </c>
      <c r="AM137" s="20" t="s">
        <v>43</v>
      </c>
      <c r="AN137" s="15"/>
      <c r="AO137" s="15" t="s">
        <v>320</v>
      </c>
      <c r="AP137" s="16">
        <v>1</v>
      </c>
      <c r="AQ137" s="16">
        <v>1</v>
      </c>
      <c r="AR137" s="15" t="s">
        <v>3335</v>
      </c>
      <c r="AS137" s="15" t="s">
        <v>3336</v>
      </c>
      <c r="AT137" s="15">
        <v>3</v>
      </c>
      <c r="AU137" s="17">
        <v>2</v>
      </c>
      <c r="AV137" s="15" t="s">
        <v>158</v>
      </c>
      <c r="AW137" s="15">
        <v>1</v>
      </c>
      <c r="AX137" s="15" t="s">
        <v>3337</v>
      </c>
      <c r="AY137" s="15" t="s">
        <v>36</v>
      </c>
      <c r="AZ137" s="18"/>
      <c r="BA137" s="18" t="s">
        <v>3338</v>
      </c>
      <c r="BB137" s="19">
        <v>1</v>
      </c>
      <c r="BC137" s="19">
        <v>1</v>
      </c>
      <c r="BD137" s="18" t="s">
        <v>78</v>
      </c>
      <c r="BE137" s="18">
        <v>0</v>
      </c>
      <c r="BF137" s="18" t="s">
        <v>3339</v>
      </c>
      <c r="BG137" s="18" t="s">
        <v>37</v>
      </c>
      <c r="BH137" s="12"/>
      <c r="BI137" s="12" t="s">
        <v>3287</v>
      </c>
      <c r="BJ137" s="12">
        <v>1</v>
      </c>
      <c r="BK137" s="12">
        <v>1</v>
      </c>
      <c r="BL137" s="12" t="s">
        <v>151</v>
      </c>
      <c r="BM137" s="12">
        <v>0.5</v>
      </c>
      <c r="BN137" s="12" t="s">
        <v>3341</v>
      </c>
      <c r="BO137" s="12" t="s">
        <v>43</v>
      </c>
      <c r="BP137" s="20"/>
      <c r="BQ137" s="20" t="s">
        <v>1660</v>
      </c>
      <c r="BR137" s="20">
        <v>1</v>
      </c>
      <c r="BS137" s="20">
        <v>1</v>
      </c>
      <c r="BT137" s="20" t="s">
        <v>1661</v>
      </c>
      <c r="BU137" s="20" t="s">
        <v>1662</v>
      </c>
      <c r="BV137" s="20">
        <v>0</v>
      </c>
      <c r="BW137" s="20" t="s">
        <v>41</v>
      </c>
      <c r="BX137" s="20">
        <v>0</v>
      </c>
      <c r="BY137" s="20" t="s">
        <v>3344</v>
      </c>
      <c r="BZ137" s="20" t="s">
        <v>37</v>
      </c>
    </row>
    <row r="138" spans="1:78">
      <c r="A138" s="30">
        <v>10137</v>
      </c>
      <c r="B138" s="12"/>
      <c r="C138" s="12" t="s">
        <v>3345</v>
      </c>
      <c r="D138" s="14">
        <v>1</v>
      </c>
      <c r="E138" s="14">
        <v>0</v>
      </c>
      <c r="F138" s="12" t="s">
        <v>3346</v>
      </c>
      <c r="G138" s="13">
        <v>3</v>
      </c>
      <c r="H138" s="12" t="s">
        <v>3347</v>
      </c>
      <c r="I138" s="12" t="s">
        <v>42</v>
      </c>
      <c r="J138" s="15"/>
      <c r="K138" s="15" t="s">
        <v>2349</v>
      </c>
      <c r="L138" s="16">
        <v>1</v>
      </c>
      <c r="M138" s="16">
        <v>0</v>
      </c>
      <c r="N138" s="15" t="s">
        <v>3348</v>
      </c>
      <c r="O138" s="15" t="s">
        <v>3349</v>
      </c>
      <c r="P138" s="17">
        <v>0</v>
      </c>
      <c r="Q138" s="15" t="s">
        <v>3350</v>
      </c>
      <c r="R138" s="15">
        <v>1</v>
      </c>
      <c r="S138" s="15" t="s">
        <v>3351</v>
      </c>
      <c r="T138" s="15" t="s">
        <v>35</v>
      </c>
      <c r="U138" s="18"/>
      <c r="V138" s="18" t="s">
        <v>1747</v>
      </c>
      <c r="W138" s="19">
        <v>1</v>
      </c>
      <c r="X138" s="19">
        <v>0</v>
      </c>
      <c r="Y138" s="18" t="s">
        <v>3352</v>
      </c>
      <c r="Z138" s="18" t="s">
        <v>3353</v>
      </c>
      <c r="AA138" s="18">
        <v>0</v>
      </c>
      <c r="AB138" s="29" t="s">
        <v>3354</v>
      </c>
      <c r="AC138" s="18">
        <v>0.5</v>
      </c>
      <c r="AD138" s="18" t="s">
        <v>3355</v>
      </c>
      <c r="AE138" s="18" t="s">
        <v>42</v>
      </c>
      <c r="AF138" s="20"/>
      <c r="AG138" s="20" t="s">
        <v>3356</v>
      </c>
      <c r="AH138" s="21">
        <v>1</v>
      </c>
      <c r="AI138" s="21">
        <v>1</v>
      </c>
      <c r="AJ138" s="20" t="s">
        <v>184</v>
      </c>
      <c r="AK138" s="20">
        <v>0</v>
      </c>
      <c r="AL138" s="20" t="s">
        <v>3357</v>
      </c>
      <c r="AM138" s="20" t="s">
        <v>43</v>
      </c>
      <c r="AN138" s="15"/>
      <c r="AO138" s="15" t="s">
        <v>2108</v>
      </c>
      <c r="AP138" s="16">
        <v>1</v>
      </c>
      <c r="AQ138" s="16">
        <v>0</v>
      </c>
      <c r="AR138" s="15" t="s">
        <v>3358</v>
      </c>
      <c r="AS138" s="15" t="s">
        <v>3359</v>
      </c>
      <c r="AT138" s="15">
        <v>0</v>
      </c>
      <c r="AU138" s="17">
        <v>3</v>
      </c>
      <c r="AV138" s="15" t="s">
        <v>3360</v>
      </c>
      <c r="AW138" s="15">
        <v>1</v>
      </c>
      <c r="AX138" s="15" t="s">
        <v>3361</v>
      </c>
      <c r="AY138" s="15" t="s">
        <v>35</v>
      </c>
      <c r="AZ138" s="18"/>
      <c r="BA138" s="18" t="s">
        <v>3362</v>
      </c>
      <c r="BB138" s="19">
        <v>1</v>
      </c>
      <c r="BC138" s="19">
        <v>0</v>
      </c>
      <c r="BD138" s="18" t="s">
        <v>176</v>
      </c>
      <c r="BE138" s="18">
        <v>0</v>
      </c>
      <c r="BF138" s="18" t="s">
        <v>3363</v>
      </c>
      <c r="BG138" s="18" t="s">
        <v>37</v>
      </c>
      <c r="BH138" s="12"/>
      <c r="BI138" s="12" t="s">
        <v>1164</v>
      </c>
      <c r="BJ138" s="12">
        <v>1</v>
      </c>
      <c r="BK138" s="12">
        <v>1</v>
      </c>
      <c r="BL138" s="12" t="s">
        <v>1165</v>
      </c>
      <c r="BM138" s="12">
        <v>0</v>
      </c>
      <c r="BN138" s="12" t="s">
        <v>3366</v>
      </c>
      <c r="BO138" s="12" t="s">
        <v>64</v>
      </c>
      <c r="BP138" s="20"/>
      <c r="BQ138" s="20" t="s">
        <v>1140</v>
      </c>
      <c r="BR138" s="20">
        <v>1</v>
      </c>
      <c r="BS138" s="20">
        <v>1</v>
      </c>
      <c r="BT138" s="20" t="s">
        <v>2583</v>
      </c>
      <c r="BU138" s="20" t="s">
        <v>2583</v>
      </c>
      <c r="BV138" s="20">
        <v>0</v>
      </c>
      <c r="BW138" s="20" t="s">
        <v>3370</v>
      </c>
      <c r="BX138" s="20">
        <v>1</v>
      </c>
      <c r="BY138" s="20" t="s">
        <v>3371</v>
      </c>
      <c r="BZ138" s="20" t="s">
        <v>37</v>
      </c>
    </row>
    <row r="139" spans="1:78">
      <c r="A139" s="30">
        <v>10138</v>
      </c>
      <c r="B139" s="12"/>
      <c r="C139" s="12" t="s">
        <v>3372</v>
      </c>
      <c r="D139" s="14">
        <v>1</v>
      </c>
      <c r="E139" s="14">
        <v>0</v>
      </c>
      <c r="F139" s="12" t="s">
        <v>3373</v>
      </c>
      <c r="G139" s="13">
        <v>0</v>
      </c>
      <c r="H139" s="12" t="s">
        <v>3374</v>
      </c>
      <c r="I139" s="12" t="s">
        <v>35</v>
      </c>
      <c r="J139" s="15"/>
      <c r="K139" s="15" t="s">
        <v>3375</v>
      </c>
      <c r="L139" s="16">
        <v>1</v>
      </c>
      <c r="M139" s="16">
        <v>0</v>
      </c>
      <c r="N139" s="15" t="s">
        <v>3376</v>
      </c>
      <c r="O139" s="15" t="s">
        <v>3377</v>
      </c>
      <c r="P139" s="17">
        <v>0</v>
      </c>
      <c r="Q139" s="15" t="s">
        <v>3378</v>
      </c>
      <c r="R139" s="15">
        <v>0.5</v>
      </c>
      <c r="S139" s="15" t="s">
        <v>3374</v>
      </c>
      <c r="T139" s="15" t="s">
        <v>35</v>
      </c>
      <c r="U139" s="18"/>
      <c r="V139" s="18" t="s">
        <v>1747</v>
      </c>
      <c r="W139" s="19">
        <v>1</v>
      </c>
      <c r="X139" s="19">
        <v>0</v>
      </c>
      <c r="Y139" s="18" t="s">
        <v>3379</v>
      </c>
      <c r="Z139" s="18" t="s">
        <v>3380</v>
      </c>
      <c r="AA139" s="18">
        <v>2</v>
      </c>
      <c r="AB139" s="29" t="s">
        <v>3381</v>
      </c>
      <c r="AC139" s="18">
        <v>0.5</v>
      </c>
      <c r="AD139" s="18" t="s">
        <v>3374</v>
      </c>
      <c r="AE139" s="18" t="s">
        <v>35</v>
      </c>
      <c r="AF139" s="20"/>
      <c r="AG139" s="20" t="s">
        <v>3382</v>
      </c>
      <c r="AH139" s="21">
        <v>1</v>
      </c>
      <c r="AI139" s="21">
        <v>0.5</v>
      </c>
      <c r="AJ139" s="20" t="s">
        <v>3383</v>
      </c>
      <c r="AK139" s="20">
        <v>0</v>
      </c>
      <c r="AL139" s="20" t="s">
        <v>3374</v>
      </c>
      <c r="AM139" s="20" t="s">
        <v>35</v>
      </c>
      <c r="AN139" s="15"/>
      <c r="AO139" s="15" t="s">
        <v>2108</v>
      </c>
      <c r="AP139" s="16">
        <v>1</v>
      </c>
      <c r="AQ139" s="16">
        <v>0</v>
      </c>
      <c r="AR139" s="15" t="s">
        <v>3384</v>
      </c>
      <c r="AS139" s="15" t="s">
        <v>3385</v>
      </c>
      <c r="AT139" s="15">
        <v>0</v>
      </c>
      <c r="AU139" s="17">
        <v>0</v>
      </c>
      <c r="AV139" s="15" t="s">
        <v>3386</v>
      </c>
      <c r="AW139" s="15">
        <v>0</v>
      </c>
      <c r="AX139" s="15" t="s">
        <v>3374</v>
      </c>
      <c r="AY139" s="15" t="s">
        <v>35</v>
      </c>
      <c r="AZ139" s="18"/>
      <c r="BA139" s="18" t="s">
        <v>3387</v>
      </c>
      <c r="BB139" s="19">
        <v>1</v>
      </c>
      <c r="BC139" s="19">
        <v>0</v>
      </c>
      <c r="BD139" s="18" t="s">
        <v>3388</v>
      </c>
      <c r="BE139" s="18">
        <v>0</v>
      </c>
      <c r="BF139" s="18" t="s">
        <v>3374</v>
      </c>
      <c r="BG139" s="18" t="s">
        <v>35</v>
      </c>
      <c r="BH139" s="12"/>
      <c r="BI139" s="12" t="s">
        <v>1009</v>
      </c>
      <c r="BJ139" s="12">
        <v>1</v>
      </c>
      <c r="BK139" s="12">
        <v>1</v>
      </c>
      <c r="BL139" s="12" t="s">
        <v>1010</v>
      </c>
      <c r="BM139" s="12">
        <v>0</v>
      </c>
      <c r="BN139" s="12" t="s">
        <v>3374</v>
      </c>
      <c r="BO139" s="12" t="s">
        <v>35</v>
      </c>
      <c r="BP139" s="20"/>
      <c r="BQ139" s="20" t="s">
        <v>2115</v>
      </c>
      <c r="BR139" s="20">
        <v>0</v>
      </c>
      <c r="BS139" s="20">
        <v>0</v>
      </c>
      <c r="BT139" s="20" t="s">
        <v>2116</v>
      </c>
      <c r="BU139" s="20" t="s">
        <v>2117</v>
      </c>
      <c r="BV139" s="20">
        <v>0</v>
      </c>
      <c r="BW139" s="20" t="s">
        <v>203</v>
      </c>
      <c r="BX139" s="20">
        <v>0</v>
      </c>
      <c r="BY139" s="20" t="s">
        <v>3374</v>
      </c>
      <c r="BZ139" s="20" t="s">
        <v>35</v>
      </c>
    </row>
    <row r="140" spans="1:78">
      <c r="A140" s="30">
        <v>10139</v>
      </c>
      <c r="B140" s="12"/>
      <c r="C140" s="12" t="s">
        <v>3392</v>
      </c>
      <c r="D140" s="14">
        <v>1</v>
      </c>
      <c r="E140" s="14">
        <v>1</v>
      </c>
      <c r="F140" s="12" t="s">
        <v>3393</v>
      </c>
      <c r="G140" s="13">
        <v>1</v>
      </c>
      <c r="H140" s="12" t="s">
        <v>3394</v>
      </c>
      <c r="I140" s="12" t="s">
        <v>37</v>
      </c>
      <c r="J140" s="15"/>
      <c r="K140" s="15" t="s">
        <v>3395</v>
      </c>
      <c r="L140" s="16">
        <v>1</v>
      </c>
      <c r="M140" s="16">
        <v>1</v>
      </c>
      <c r="N140" s="15" t="s">
        <v>3396</v>
      </c>
      <c r="O140" s="15" t="s">
        <v>3397</v>
      </c>
      <c r="P140" s="17">
        <v>2</v>
      </c>
      <c r="Q140" s="15" t="s">
        <v>3398</v>
      </c>
      <c r="R140" s="15">
        <v>1</v>
      </c>
      <c r="S140" s="15" t="s">
        <v>3399</v>
      </c>
      <c r="T140" s="15" t="s">
        <v>37</v>
      </c>
      <c r="U140" s="18"/>
      <c r="V140" s="18" t="s">
        <v>3400</v>
      </c>
      <c r="W140" s="19">
        <v>1</v>
      </c>
      <c r="X140" s="19">
        <v>1</v>
      </c>
      <c r="Y140" s="18" t="s">
        <v>3401</v>
      </c>
      <c r="Z140" s="18" t="s">
        <v>3402</v>
      </c>
      <c r="AA140" s="18">
        <v>0</v>
      </c>
      <c r="AB140" s="29" t="s">
        <v>3403</v>
      </c>
      <c r="AC140" s="18">
        <v>1</v>
      </c>
      <c r="AD140" s="18" t="s">
        <v>3404</v>
      </c>
      <c r="AE140" s="18" t="s">
        <v>37</v>
      </c>
      <c r="AF140" s="20"/>
      <c r="AG140" s="20" t="s">
        <v>3405</v>
      </c>
      <c r="AH140" s="21">
        <v>1</v>
      </c>
      <c r="AI140" s="21">
        <v>0</v>
      </c>
      <c r="AJ140" s="20" t="s">
        <v>3406</v>
      </c>
      <c r="AK140" s="20">
        <v>0</v>
      </c>
      <c r="AL140" s="20" t="s">
        <v>3407</v>
      </c>
      <c r="AM140" s="20" t="s">
        <v>37</v>
      </c>
      <c r="AN140" s="15"/>
      <c r="AO140" s="15" t="s">
        <v>3408</v>
      </c>
      <c r="AP140" s="16">
        <v>1</v>
      </c>
      <c r="AQ140" s="16">
        <v>1</v>
      </c>
      <c r="AR140" s="15" t="s">
        <v>3409</v>
      </c>
      <c r="AS140" s="15" t="s">
        <v>3410</v>
      </c>
      <c r="AT140" s="15">
        <v>3</v>
      </c>
      <c r="AU140" s="17">
        <v>0</v>
      </c>
      <c r="AV140" s="15" t="s">
        <v>3411</v>
      </c>
      <c r="AW140" s="15">
        <v>0</v>
      </c>
      <c r="AX140" s="15" t="s">
        <v>3407</v>
      </c>
      <c r="AY140" s="15" t="s">
        <v>37</v>
      </c>
      <c r="AZ140" s="18"/>
      <c r="BA140" s="18" t="s">
        <v>3412</v>
      </c>
      <c r="BB140" s="19">
        <v>1</v>
      </c>
      <c r="BC140" s="19">
        <v>1</v>
      </c>
      <c r="BD140" s="18" t="s">
        <v>81</v>
      </c>
      <c r="BE140" s="18">
        <v>0</v>
      </c>
      <c r="BF140" s="18" t="s">
        <v>3413</v>
      </c>
      <c r="BG140" s="18" t="s">
        <v>37</v>
      </c>
      <c r="BH140" s="12"/>
      <c r="BI140" s="12" t="s">
        <v>2835</v>
      </c>
      <c r="BJ140" s="12">
        <v>1</v>
      </c>
      <c r="BK140" s="12">
        <v>1</v>
      </c>
      <c r="BL140" s="12" t="s">
        <v>2836</v>
      </c>
      <c r="BM140" s="12">
        <v>0.5</v>
      </c>
      <c r="BN140" s="12" t="s">
        <v>3407</v>
      </c>
      <c r="BO140" s="12" t="s">
        <v>37</v>
      </c>
      <c r="BP140" s="20"/>
      <c r="BQ140" s="20" t="s">
        <v>383</v>
      </c>
      <c r="BR140" s="20">
        <v>1</v>
      </c>
      <c r="BS140" s="20">
        <v>1</v>
      </c>
      <c r="BT140" s="20" t="s">
        <v>2390</v>
      </c>
      <c r="BU140" s="20" t="s">
        <v>2391</v>
      </c>
      <c r="BV140" s="20">
        <v>1</v>
      </c>
      <c r="BW140" s="20" t="s">
        <v>49</v>
      </c>
      <c r="BX140" s="20">
        <v>0</v>
      </c>
      <c r="BY140" s="20" t="s">
        <v>3418</v>
      </c>
      <c r="BZ140" s="20" t="s">
        <v>37</v>
      </c>
    </row>
    <row r="141" spans="1:78">
      <c r="A141" s="30">
        <v>10140</v>
      </c>
      <c r="B141" s="12"/>
      <c r="C141" s="12" t="s">
        <v>3419</v>
      </c>
      <c r="D141" s="14">
        <v>1</v>
      </c>
      <c r="E141" s="14">
        <v>1</v>
      </c>
      <c r="F141" s="12" t="s">
        <v>3420</v>
      </c>
      <c r="G141" s="13">
        <v>1</v>
      </c>
      <c r="H141" s="12" t="s">
        <v>3421</v>
      </c>
      <c r="I141" s="12" t="s">
        <v>37</v>
      </c>
      <c r="J141" s="15"/>
      <c r="K141" s="15" t="s">
        <v>3422</v>
      </c>
      <c r="L141" s="16">
        <v>1</v>
      </c>
      <c r="M141" s="16">
        <v>1</v>
      </c>
      <c r="N141" s="15" t="s">
        <v>3423</v>
      </c>
      <c r="O141" s="15" t="s">
        <v>3424</v>
      </c>
      <c r="P141" s="17">
        <v>0</v>
      </c>
      <c r="Q141" s="15" t="s">
        <v>153</v>
      </c>
      <c r="R141" s="15">
        <v>0.5</v>
      </c>
      <c r="S141" s="15" t="s">
        <v>3425</v>
      </c>
      <c r="T141" s="15" t="s">
        <v>43</v>
      </c>
      <c r="U141" s="18"/>
      <c r="V141" s="18" t="s">
        <v>263</v>
      </c>
      <c r="W141" s="19">
        <v>1</v>
      </c>
      <c r="X141" s="19">
        <v>1</v>
      </c>
      <c r="Y141" s="18" t="s">
        <v>3426</v>
      </c>
      <c r="Z141" s="18" t="s">
        <v>3427</v>
      </c>
      <c r="AA141" s="18">
        <v>1</v>
      </c>
      <c r="AB141" s="29" t="s">
        <v>3428</v>
      </c>
      <c r="AC141" s="18">
        <v>0.5</v>
      </c>
      <c r="AD141" s="18" t="s">
        <v>3429</v>
      </c>
      <c r="AE141" s="18" t="s">
        <v>43</v>
      </c>
      <c r="AF141" s="20"/>
      <c r="AG141" s="20" t="s">
        <v>238</v>
      </c>
      <c r="AH141" s="21">
        <v>1</v>
      </c>
      <c r="AI141" s="21">
        <v>1</v>
      </c>
      <c r="AJ141" s="20" t="s">
        <v>146</v>
      </c>
      <c r="AK141" s="20">
        <v>0</v>
      </c>
      <c r="AL141" s="20" t="s">
        <v>1059</v>
      </c>
      <c r="AM141" s="20" t="s">
        <v>43</v>
      </c>
      <c r="AN141" s="15"/>
      <c r="AO141" s="15" t="s">
        <v>352</v>
      </c>
      <c r="AP141" s="16">
        <v>1</v>
      </c>
      <c r="AQ141" s="16">
        <v>1</v>
      </c>
      <c r="AR141" s="15" t="s">
        <v>3430</v>
      </c>
      <c r="AS141" s="15" t="s">
        <v>3431</v>
      </c>
      <c r="AT141" s="15">
        <v>3</v>
      </c>
      <c r="AU141" s="17">
        <v>0</v>
      </c>
      <c r="AV141" s="15" t="s">
        <v>38</v>
      </c>
      <c r="AW141" s="15">
        <v>1</v>
      </c>
      <c r="AX141" s="15" t="s">
        <v>3432</v>
      </c>
      <c r="AY141" s="15" t="s">
        <v>43</v>
      </c>
      <c r="AZ141" s="18"/>
      <c r="BA141" s="18" t="s">
        <v>3433</v>
      </c>
      <c r="BB141" s="19">
        <v>1</v>
      </c>
      <c r="BC141" s="19">
        <v>0</v>
      </c>
      <c r="BD141" s="18" t="s">
        <v>3434</v>
      </c>
      <c r="BE141" s="18">
        <v>0</v>
      </c>
      <c r="BF141" s="18" t="s">
        <v>3435</v>
      </c>
      <c r="BG141" s="18" t="s">
        <v>42</v>
      </c>
      <c r="BH141" s="12"/>
      <c r="BI141" s="12" t="s">
        <v>3267</v>
      </c>
      <c r="BJ141" s="12">
        <v>1</v>
      </c>
      <c r="BK141" s="12">
        <v>1</v>
      </c>
      <c r="BL141" s="12" t="s">
        <v>2909</v>
      </c>
      <c r="BM141" s="12">
        <v>0.5</v>
      </c>
      <c r="BN141" s="12" t="s">
        <v>118</v>
      </c>
      <c r="BO141" s="12" t="s">
        <v>37</v>
      </c>
      <c r="BP141" s="20"/>
      <c r="BQ141" s="20" t="s">
        <v>279</v>
      </c>
      <c r="BR141" s="20">
        <v>1</v>
      </c>
      <c r="BS141" s="20">
        <v>1</v>
      </c>
      <c r="BT141" s="20" t="s">
        <v>280</v>
      </c>
      <c r="BU141" s="20" t="s">
        <v>281</v>
      </c>
      <c r="BV141" s="20">
        <v>1</v>
      </c>
      <c r="BW141" s="20" t="s">
        <v>84</v>
      </c>
      <c r="BX141" s="20">
        <v>0</v>
      </c>
      <c r="BY141" s="20" t="s">
        <v>3441</v>
      </c>
      <c r="BZ141" s="20" t="s">
        <v>43</v>
      </c>
    </row>
    <row r="142" spans="1:78">
      <c r="A142" s="30">
        <v>10141</v>
      </c>
      <c r="B142" s="12"/>
      <c r="C142" s="12" t="s">
        <v>3442</v>
      </c>
      <c r="D142" s="14">
        <v>0</v>
      </c>
      <c r="E142" s="14">
        <v>1</v>
      </c>
      <c r="F142" s="12" t="s">
        <v>3443</v>
      </c>
      <c r="G142" s="13">
        <v>3</v>
      </c>
      <c r="H142" s="12" t="s">
        <v>3444</v>
      </c>
      <c r="I142" s="12" t="s">
        <v>43</v>
      </c>
      <c r="J142" s="15"/>
      <c r="K142" s="15" t="s">
        <v>3445</v>
      </c>
      <c r="L142" s="16">
        <v>1</v>
      </c>
      <c r="M142" s="16">
        <v>1</v>
      </c>
      <c r="N142" s="15" t="s">
        <v>3446</v>
      </c>
      <c r="O142" s="15" t="s">
        <v>3447</v>
      </c>
      <c r="P142" s="17">
        <v>2</v>
      </c>
      <c r="Q142" s="15" t="s">
        <v>3448</v>
      </c>
      <c r="R142" s="15">
        <v>1</v>
      </c>
      <c r="S142" s="15" t="s">
        <v>3449</v>
      </c>
      <c r="T142" s="15" t="s">
        <v>36</v>
      </c>
      <c r="U142" s="18"/>
      <c r="V142" s="18" t="s">
        <v>3450</v>
      </c>
      <c r="W142" s="19">
        <v>1</v>
      </c>
      <c r="X142" s="19">
        <v>1</v>
      </c>
      <c r="Y142" s="18" t="s">
        <v>3451</v>
      </c>
      <c r="Z142" s="18" t="s">
        <v>3452</v>
      </c>
      <c r="AA142" s="18">
        <v>0</v>
      </c>
      <c r="AB142" s="29" t="s">
        <v>3453</v>
      </c>
      <c r="AC142" s="18">
        <v>0.5</v>
      </c>
      <c r="AD142" s="18" t="s">
        <v>186</v>
      </c>
      <c r="AE142" s="18" t="s">
        <v>42</v>
      </c>
      <c r="AF142" s="20"/>
      <c r="AG142" s="20" t="s">
        <v>3454</v>
      </c>
      <c r="AH142" s="21">
        <v>1</v>
      </c>
      <c r="AI142" s="21">
        <v>1</v>
      </c>
      <c r="AJ142" s="20" t="s">
        <v>3455</v>
      </c>
      <c r="AK142" s="20">
        <v>1</v>
      </c>
      <c r="AL142" s="20" t="s">
        <v>711</v>
      </c>
      <c r="AM142" s="20" t="s">
        <v>37</v>
      </c>
      <c r="AN142" s="15"/>
      <c r="AO142" s="15" t="s">
        <v>3456</v>
      </c>
      <c r="AP142" s="16">
        <v>1</v>
      </c>
      <c r="AQ142" s="16">
        <v>1</v>
      </c>
      <c r="AR142" s="15" t="s">
        <v>3457</v>
      </c>
      <c r="AS142" s="15" t="s">
        <v>3458</v>
      </c>
      <c r="AT142" s="15">
        <v>3</v>
      </c>
      <c r="AU142" s="17">
        <v>1</v>
      </c>
      <c r="AV142" s="15" t="s">
        <v>3459</v>
      </c>
      <c r="AW142" s="15">
        <v>1</v>
      </c>
      <c r="AX142" s="15" t="s">
        <v>3460</v>
      </c>
      <c r="AY142" s="15" t="s">
        <v>43</v>
      </c>
      <c r="AZ142" s="18"/>
      <c r="BA142" s="18" t="s">
        <v>3461</v>
      </c>
      <c r="BB142" s="19">
        <v>1</v>
      </c>
      <c r="BC142" s="19">
        <v>1</v>
      </c>
      <c r="BD142" s="18" t="s">
        <v>3462</v>
      </c>
      <c r="BE142" s="18">
        <v>1</v>
      </c>
      <c r="BF142" s="18" t="s">
        <v>3463</v>
      </c>
      <c r="BG142" s="18" t="s">
        <v>42</v>
      </c>
      <c r="BH142" s="12"/>
      <c r="BI142" s="12" t="s">
        <v>3741</v>
      </c>
      <c r="BJ142" s="12">
        <v>1</v>
      </c>
      <c r="BK142" s="12">
        <v>1</v>
      </c>
      <c r="BL142" s="12" t="s">
        <v>52</v>
      </c>
      <c r="BM142" s="12">
        <v>0.5</v>
      </c>
      <c r="BN142" s="12" t="s">
        <v>3466</v>
      </c>
      <c r="BO142" s="12" t="s">
        <v>43</v>
      </c>
      <c r="BP142" s="20"/>
      <c r="BQ142" s="20" t="s">
        <v>655</v>
      </c>
      <c r="BR142" s="20">
        <v>1</v>
      </c>
      <c r="BS142" s="20">
        <v>1</v>
      </c>
      <c r="BT142" s="20" t="s">
        <v>3090</v>
      </c>
      <c r="BU142" s="20" t="s">
        <v>170</v>
      </c>
      <c r="BV142" s="20">
        <v>1</v>
      </c>
      <c r="BW142" s="20" t="s">
        <v>3470</v>
      </c>
      <c r="BX142" s="20">
        <v>0</v>
      </c>
      <c r="BY142" s="20" t="s">
        <v>3471</v>
      </c>
      <c r="BZ142" s="20" t="s">
        <v>35</v>
      </c>
    </row>
    <row r="143" spans="1:78">
      <c r="A143" s="30">
        <v>10142</v>
      </c>
      <c r="B143" s="12"/>
      <c r="C143" s="12" t="s">
        <v>2182</v>
      </c>
      <c r="D143" s="14">
        <v>1</v>
      </c>
      <c r="E143" s="14">
        <v>1</v>
      </c>
      <c r="F143" s="12" t="s">
        <v>3472</v>
      </c>
      <c r="G143" s="13">
        <v>0</v>
      </c>
      <c r="H143" s="12" t="s">
        <v>3473</v>
      </c>
      <c r="I143" s="12" t="s">
        <v>42</v>
      </c>
      <c r="J143" s="15"/>
      <c r="K143" s="15" t="s">
        <v>230</v>
      </c>
      <c r="L143" s="16">
        <v>1</v>
      </c>
      <c r="M143" s="16">
        <v>1</v>
      </c>
      <c r="N143" s="15" t="s">
        <v>3474</v>
      </c>
      <c r="O143" s="15" t="s">
        <v>3475</v>
      </c>
      <c r="P143" s="17">
        <v>2</v>
      </c>
      <c r="Q143" s="15" t="s">
        <v>608</v>
      </c>
      <c r="R143" s="15">
        <v>0.5</v>
      </c>
      <c r="S143" s="15" t="s">
        <v>3476</v>
      </c>
      <c r="T143" s="15" t="s">
        <v>43</v>
      </c>
      <c r="U143" s="18"/>
      <c r="V143" s="18" t="s">
        <v>565</v>
      </c>
      <c r="W143" s="19">
        <v>1</v>
      </c>
      <c r="X143" s="19">
        <v>1</v>
      </c>
      <c r="Y143" s="18" t="s">
        <v>3477</v>
      </c>
      <c r="Z143" s="18" t="s">
        <v>3478</v>
      </c>
      <c r="AA143" s="18">
        <v>1</v>
      </c>
      <c r="AB143" s="29" t="s">
        <v>3479</v>
      </c>
      <c r="AC143" s="18">
        <v>0.5</v>
      </c>
      <c r="AD143" s="18" t="s">
        <v>3480</v>
      </c>
      <c r="AE143" s="18" t="s">
        <v>35</v>
      </c>
      <c r="AF143" s="20"/>
      <c r="AG143" s="20" t="s">
        <v>612</v>
      </c>
      <c r="AH143" s="21">
        <v>1</v>
      </c>
      <c r="AI143" s="21">
        <v>1</v>
      </c>
      <c r="AJ143" s="20" t="s">
        <v>79</v>
      </c>
      <c r="AK143" s="20">
        <v>0</v>
      </c>
      <c r="AL143" s="20" t="s">
        <v>3481</v>
      </c>
      <c r="AM143" s="20" t="s">
        <v>43</v>
      </c>
      <c r="AN143" s="15"/>
      <c r="AO143" s="15" t="s">
        <v>3482</v>
      </c>
      <c r="AP143" s="16">
        <v>1</v>
      </c>
      <c r="AQ143" s="16">
        <v>1</v>
      </c>
      <c r="AR143" s="15" t="s">
        <v>3483</v>
      </c>
      <c r="AS143" s="15" t="s">
        <v>3484</v>
      </c>
      <c r="AT143" s="15">
        <v>0</v>
      </c>
      <c r="AU143" s="17">
        <v>2</v>
      </c>
      <c r="AV143" s="15" t="s">
        <v>117</v>
      </c>
      <c r="AW143" s="15">
        <v>1</v>
      </c>
      <c r="AX143" s="15" t="s">
        <v>3485</v>
      </c>
      <c r="AY143" s="15" t="s">
        <v>37</v>
      </c>
      <c r="AZ143" s="18"/>
      <c r="BA143" s="18" t="s">
        <v>3486</v>
      </c>
      <c r="BB143" s="19">
        <v>1</v>
      </c>
      <c r="BC143" s="19">
        <v>1</v>
      </c>
      <c r="BD143" s="18" t="s">
        <v>61</v>
      </c>
      <c r="BE143" s="18">
        <v>0</v>
      </c>
      <c r="BF143" s="18" t="s">
        <v>3487</v>
      </c>
      <c r="BG143" s="18" t="s">
        <v>43</v>
      </c>
      <c r="BH143" s="12"/>
      <c r="BI143" s="12" t="s">
        <v>248</v>
      </c>
      <c r="BJ143" s="12">
        <v>1</v>
      </c>
      <c r="BK143" s="12">
        <v>1</v>
      </c>
      <c r="BL143" s="12" t="s">
        <v>599</v>
      </c>
      <c r="BM143" s="12">
        <v>0.5</v>
      </c>
      <c r="BN143" s="12" t="s">
        <v>3489</v>
      </c>
      <c r="BO143" s="12" t="s">
        <v>37</v>
      </c>
      <c r="BP143" s="20"/>
      <c r="BQ143" s="20" t="s">
        <v>383</v>
      </c>
      <c r="BR143" s="20">
        <v>1</v>
      </c>
      <c r="BS143" s="20">
        <v>1</v>
      </c>
      <c r="BT143" s="20" t="s">
        <v>3742</v>
      </c>
      <c r="BU143" s="20" t="s">
        <v>1037</v>
      </c>
      <c r="BV143" s="20">
        <v>0</v>
      </c>
      <c r="BW143" s="20" t="s">
        <v>70</v>
      </c>
      <c r="BX143" s="20">
        <v>0</v>
      </c>
      <c r="BY143" s="20" t="s">
        <v>3493</v>
      </c>
      <c r="BZ143" s="20" t="s">
        <v>43</v>
      </c>
    </row>
    <row r="144" spans="1:78">
      <c r="A144" s="30">
        <v>10143</v>
      </c>
      <c r="B144" s="12"/>
      <c r="C144" s="12" t="s">
        <v>228</v>
      </c>
      <c r="D144" s="14">
        <v>1</v>
      </c>
      <c r="E144" s="14">
        <v>1</v>
      </c>
      <c r="F144" s="12" t="s">
        <v>3494</v>
      </c>
      <c r="G144" s="13">
        <v>0</v>
      </c>
      <c r="H144" s="12" t="s">
        <v>3495</v>
      </c>
      <c r="I144" s="12" t="s">
        <v>36</v>
      </c>
      <c r="J144" s="15"/>
      <c r="K144" s="15" t="s">
        <v>230</v>
      </c>
      <c r="L144" s="16">
        <v>1</v>
      </c>
      <c r="M144" s="16">
        <v>1</v>
      </c>
      <c r="N144" s="15" t="s">
        <v>3496</v>
      </c>
      <c r="O144" s="15" t="s">
        <v>3497</v>
      </c>
      <c r="P144" s="17">
        <v>1</v>
      </c>
      <c r="Q144" s="15" t="s">
        <v>1563</v>
      </c>
      <c r="R144" s="15">
        <v>0</v>
      </c>
      <c r="S144" s="15" t="s">
        <v>3498</v>
      </c>
      <c r="T144" s="15" t="s">
        <v>37</v>
      </c>
      <c r="U144" s="18"/>
      <c r="V144" s="18" t="s">
        <v>313</v>
      </c>
      <c r="W144" s="18">
        <v>1</v>
      </c>
      <c r="X144" s="18">
        <v>1</v>
      </c>
      <c r="Y144" s="18" t="s">
        <v>3499</v>
      </c>
      <c r="Z144" s="18" t="s">
        <v>3500</v>
      </c>
      <c r="AA144" s="18">
        <v>0</v>
      </c>
      <c r="AB144" s="29" t="s">
        <v>3501</v>
      </c>
      <c r="AC144" s="18">
        <v>0.5</v>
      </c>
      <c r="AD144" s="18" t="s">
        <v>3502</v>
      </c>
      <c r="AE144" s="18" t="s">
        <v>37</v>
      </c>
      <c r="AF144" s="20"/>
      <c r="AG144" s="20" t="s">
        <v>2150</v>
      </c>
      <c r="AH144" s="21">
        <v>1</v>
      </c>
      <c r="AI144" s="21">
        <v>1</v>
      </c>
      <c r="AJ144" s="20" t="s">
        <v>3503</v>
      </c>
      <c r="AK144" s="20">
        <v>0</v>
      </c>
      <c r="AL144" s="20" t="s">
        <v>3504</v>
      </c>
      <c r="AM144" s="20" t="s">
        <v>37</v>
      </c>
      <c r="AN144" s="15"/>
      <c r="AO144" s="15" t="s">
        <v>591</v>
      </c>
      <c r="AP144" s="16">
        <v>1</v>
      </c>
      <c r="AQ144" s="16">
        <v>1</v>
      </c>
      <c r="AR144" s="15" t="s">
        <v>3505</v>
      </c>
      <c r="AS144" s="15" t="s">
        <v>3506</v>
      </c>
      <c r="AT144" s="15">
        <v>0</v>
      </c>
      <c r="AU144" s="17">
        <v>0</v>
      </c>
      <c r="AV144" s="15" t="s">
        <v>3507</v>
      </c>
      <c r="AW144" s="15">
        <v>0</v>
      </c>
      <c r="AX144" s="15" t="s">
        <v>3508</v>
      </c>
      <c r="AY144" s="15" t="s">
        <v>37</v>
      </c>
      <c r="AZ144" s="18"/>
      <c r="BA144" s="18" t="s">
        <v>1380</v>
      </c>
      <c r="BB144" s="19">
        <v>1</v>
      </c>
      <c r="BC144" s="19">
        <v>1</v>
      </c>
      <c r="BD144" s="18" t="s">
        <v>2848</v>
      </c>
      <c r="BE144" s="18">
        <v>0</v>
      </c>
      <c r="BF144" s="18" t="s">
        <v>3509</v>
      </c>
      <c r="BG144" s="18" t="s">
        <v>37</v>
      </c>
      <c r="BH144" s="12"/>
      <c r="BI144" s="12" t="s">
        <v>483</v>
      </c>
      <c r="BJ144" s="12">
        <v>1</v>
      </c>
      <c r="BK144" s="12">
        <v>1</v>
      </c>
      <c r="BL144" s="12" t="s">
        <v>1381</v>
      </c>
      <c r="BM144" s="12">
        <v>0.5</v>
      </c>
      <c r="BN144" s="12" t="s">
        <v>3510</v>
      </c>
      <c r="BO144" s="12" t="s">
        <v>37</v>
      </c>
      <c r="BP144" s="20"/>
      <c r="BQ144" s="20" t="s">
        <v>383</v>
      </c>
      <c r="BR144" s="20">
        <v>1</v>
      </c>
      <c r="BS144" s="20">
        <v>1</v>
      </c>
      <c r="BT144" s="20" t="s">
        <v>101</v>
      </c>
      <c r="BU144" s="20" t="s">
        <v>101</v>
      </c>
      <c r="BV144" s="20">
        <v>0</v>
      </c>
      <c r="BW144" s="20" t="s">
        <v>3511</v>
      </c>
      <c r="BX144" s="20">
        <v>0</v>
      </c>
      <c r="BY144" s="20" t="s">
        <v>3514</v>
      </c>
      <c r="BZ144" s="20" t="s">
        <v>37</v>
      </c>
    </row>
    <row r="145" spans="1:78">
      <c r="A145" s="30">
        <v>10144</v>
      </c>
      <c r="B145" s="12"/>
      <c r="C145" s="12" t="s">
        <v>255</v>
      </c>
      <c r="D145" s="14">
        <v>1</v>
      </c>
      <c r="E145" s="14">
        <v>1</v>
      </c>
      <c r="F145" s="12" t="s">
        <v>100</v>
      </c>
      <c r="G145" s="13">
        <v>0</v>
      </c>
      <c r="H145" s="12" t="s">
        <v>3515</v>
      </c>
      <c r="I145" s="12" t="s">
        <v>37</v>
      </c>
      <c r="J145" s="15"/>
      <c r="K145" s="15" t="s">
        <v>3516</v>
      </c>
      <c r="L145" s="16">
        <v>1</v>
      </c>
      <c r="M145" s="16">
        <v>1</v>
      </c>
      <c r="N145" s="15" t="s">
        <v>3517</v>
      </c>
      <c r="O145" s="15" t="s">
        <v>48</v>
      </c>
      <c r="P145" s="17">
        <v>1</v>
      </c>
      <c r="Q145" s="15" t="s">
        <v>62</v>
      </c>
      <c r="R145" s="15">
        <v>0</v>
      </c>
      <c r="S145" s="15" t="s">
        <v>3518</v>
      </c>
      <c r="T145" s="15" t="s">
        <v>43</v>
      </c>
      <c r="U145" s="18"/>
      <c r="V145" s="18" t="s">
        <v>565</v>
      </c>
      <c r="W145" s="19">
        <v>1</v>
      </c>
      <c r="X145" s="19">
        <v>1</v>
      </c>
      <c r="Y145" s="18" t="s">
        <v>3519</v>
      </c>
      <c r="Z145" s="18" t="s">
        <v>3520</v>
      </c>
      <c r="AA145" s="18">
        <v>2</v>
      </c>
      <c r="AB145" s="29" t="s">
        <v>68</v>
      </c>
      <c r="AC145" s="18">
        <v>0.5</v>
      </c>
      <c r="AD145" s="18" t="s">
        <v>3521</v>
      </c>
      <c r="AE145" s="18" t="s">
        <v>42</v>
      </c>
      <c r="AF145" s="20"/>
      <c r="AG145" s="20" t="s">
        <v>238</v>
      </c>
      <c r="AH145" s="21">
        <v>1</v>
      </c>
      <c r="AI145" s="21">
        <v>1</v>
      </c>
      <c r="AJ145" s="20" t="s">
        <v>3522</v>
      </c>
      <c r="AK145" s="20">
        <v>1</v>
      </c>
      <c r="AL145" s="20" t="s">
        <v>3523</v>
      </c>
      <c r="AM145" s="20" t="s">
        <v>35</v>
      </c>
      <c r="AN145" s="15"/>
      <c r="AO145" s="15" t="s">
        <v>241</v>
      </c>
      <c r="AP145" s="16">
        <v>1</v>
      </c>
      <c r="AQ145" s="16">
        <v>1</v>
      </c>
      <c r="AR145" s="15" t="s">
        <v>3524</v>
      </c>
      <c r="AS145" s="15" t="s">
        <v>3525</v>
      </c>
      <c r="AT145" s="15">
        <v>3</v>
      </c>
      <c r="AU145" s="17">
        <v>0</v>
      </c>
      <c r="AV145" s="15" t="s">
        <v>62</v>
      </c>
      <c r="AW145" s="15">
        <v>1</v>
      </c>
      <c r="AX145" s="15" t="s">
        <v>3526</v>
      </c>
      <c r="AY145" s="15" t="s">
        <v>37</v>
      </c>
      <c r="AZ145" s="18"/>
      <c r="BA145" s="18" t="s">
        <v>1380</v>
      </c>
      <c r="BB145" s="19">
        <v>1</v>
      </c>
      <c r="BC145" s="19">
        <v>1</v>
      </c>
      <c r="BD145" s="18" t="s">
        <v>3527</v>
      </c>
      <c r="BE145" s="18">
        <v>1</v>
      </c>
      <c r="BF145" s="18" t="s">
        <v>45</v>
      </c>
      <c r="BG145" s="18" t="s">
        <v>42</v>
      </c>
      <c r="BH145" s="12"/>
      <c r="BI145" s="12" t="s">
        <v>1844</v>
      </c>
      <c r="BJ145" s="12">
        <v>1</v>
      </c>
      <c r="BK145" s="12">
        <v>1</v>
      </c>
      <c r="BL145" s="12" t="s">
        <v>1845</v>
      </c>
      <c r="BM145" s="12">
        <v>0.5</v>
      </c>
      <c r="BN145" s="12" t="s">
        <v>3528</v>
      </c>
      <c r="BO145" s="12" t="s">
        <v>43</v>
      </c>
      <c r="BP145" s="20"/>
      <c r="BQ145" s="20" t="s">
        <v>458</v>
      </c>
      <c r="BR145" s="20">
        <v>1</v>
      </c>
      <c r="BS145" s="20">
        <v>1</v>
      </c>
      <c r="BT145" s="20" t="s">
        <v>3743</v>
      </c>
      <c r="BU145" s="20" t="s">
        <v>3744</v>
      </c>
      <c r="BV145" s="20">
        <v>2</v>
      </c>
      <c r="BW145" s="20" t="s">
        <v>62</v>
      </c>
      <c r="BX145" s="20">
        <v>0</v>
      </c>
      <c r="BY145" s="20" t="s">
        <v>1408</v>
      </c>
      <c r="BZ145" s="20" t="s">
        <v>42</v>
      </c>
    </row>
    <row r="146" spans="1:78">
      <c r="A146" s="30">
        <v>10145</v>
      </c>
      <c r="B146" s="12"/>
      <c r="C146" s="12" t="s">
        <v>228</v>
      </c>
      <c r="D146" s="14">
        <v>1</v>
      </c>
      <c r="E146" s="14">
        <v>1</v>
      </c>
      <c r="F146" s="12" t="s">
        <v>3531</v>
      </c>
      <c r="G146" s="13">
        <v>3</v>
      </c>
      <c r="H146" s="12" t="s">
        <v>3532</v>
      </c>
      <c r="I146" s="12" t="s">
        <v>43</v>
      </c>
      <c r="J146" s="15"/>
      <c r="K146" s="15" t="s">
        <v>230</v>
      </c>
      <c r="L146" s="16">
        <v>1</v>
      </c>
      <c r="M146" s="16">
        <v>1</v>
      </c>
      <c r="N146" s="15" t="s">
        <v>3533</v>
      </c>
      <c r="O146" s="15" t="s">
        <v>3534</v>
      </c>
      <c r="P146" s="17">
        <v>3</v>
      </c>
      <c r="Q146" s="15" t="s">
        <v>3535</v>
      </c>
      <c r="R146" s="15">
        <v>0.5</v>
      </c>
      <c r="S146" s="15" t="s">
        <v>3536</v>
      </c>
      <c r="T146" s="15" t="s">
        <v>42</v>
      </c>
      <c r="U146" s="18"/>
      <c r="V146" s="18" t="s">
        <v>263</v>
      </c>
      <c r="W146" s="19">
        <v>1</v>
      </c>
      <c r="X146" s="19">
        <v>1</v>
      </c>
      <c r="Y146" s="18" t="s">
        <v>3537</v>
      </c>
      <c r="Z146" s="18" t="s">
        <v>3538</v>
      </c>
      <c r="AA146" s="18">
        <v>0</v>
      </c>
      <c r="AB146" s="29" t="s">
        <v>3539</v>
      </c>
      <c r="AC146" s="18">
        <v>0.5</v>
      </c>
      <c r="AD146" s="18" t="s">
        <v>3540</v>
      </c>
      <c r="AE146" s="18" t="s">
        <v>43</v>
      </c>
      <c r="AF146" s="20"/>
      <c r="AG146" s="20" t="s">
        <v>238</v>
      </c>
      <c r="AH146" s="21">
        <v>1</v>
      </c>
      <c r="AI146" s="21">
        <v>1</v>
      </c>
      <c r="AJ146" s="20" t="s">
        <v>3541</v>
      </c>
      <c r="AK146" s="20">
        <v>0</v>
      </c>
      <c r="AL146" s="20" t="s">
        <v>3542</v>
      </c>
      <c r="AM146" s="20" t="s">
        <v>35</v>
      </c>
      <c r="AN146" s="15"/>
      <c r="AO146" s="15" t="s">
        <v>241</v>
      </c>
      <c r="AP146" s="16">
        <v>1</v>
      </c>
      <c r="AQ146" s="16">
        <v>1</v>
      </c>
      <c r="AR146" s="15" t="s">
        <v>3543</v>
      </c>
      <c r="AS146" s="15" t="s">
        <v>3544</v>
      </c>
      <c r="AT146" s="15">
        <v>1</v>
      </c>
      <c r="AU146" s="17">
        <v>2</v>
      </c>
      <c r="AV146" s="15" t="s">
        <v>3545</v>
      </c>
      <c r="AW146" s="15">
        <v>0</v>
      </c>
      <c r="AX146" s="15" t="s">
        <v>3546</v>
      </c>
      <c r="AY146" s="15" t="s">
        <v>35</v>
      </c>
      <c r="AZ146" s="18"/>
      <c r="BA146" s="18" t="s">
        <v>3547</v>
      </c>
      <c r="BB146" s="19">
        <v>1</v>
      </c>
      <c r="BC146" s="19">
        <v>1</v>
      </c>
      <c r="BD146" s="18" t="s">
        <v>3548</v>
      </c>
      <c r="BE146" s="18">
        <v>0</v>
      </c>
      <c r="BF146" s="18" t="s">
        <v>3549</v>
      </c>
      <c r="BG146" s="18" t="s">
        <v>35</v>
      </c>
      <c r="BH146" s="12"/>
      <c r="BI146" s="12" t="s">
        <v>3464</v>
      </c>
      <c r="BJ146" s="12">
        <v>0</v>
      </c>
      <c r="BK146" s="12">
        <v>0</v>
      </c>
      <c r="BL146" s="12" t="s">
        <v>3465</v>
      </c>
      <c r="BM146" s="12">
        <v>0.5</v>
      </c>
      <c r="BN146" s="12" t="s">
        <v>3551</v>
      </c>
      <c r="BO146" s="12" t="s">
        <v>35</v>
      </c>
      <c r="BP146" s="20"/>
      <c r="BQ146" s="20" t="s">
        <v>2296</v>
      </c>
      <c r="BR146" s="20">
        <v>0</v>
      </c>
      <c r="BS146" s="20">
        <v>1</v>
      </c>
      <c r="BT146" s="20" t="s">
        <v>2297</v>
      </c>
      <c r="BU146" s="20" t="s">
        <v>2298</v>
      </c>
      <c r="BV146" s="20">
        <v>2</v>
      </c>
      <c r="BW146" s="20" t="s">
        <v>3554</v>
      </c>
      <c r="BX146" s="20">
        <v>0</v>
      </c>
      <c r="BY146" s="20" t="s">
        <v>3555</v>
      </c>
      <c r="BZ146" s="20" t="s">
        <v>43</v>
      </c>
    </row>
    <row r="147" spans="1:78">
      <c r="A147" s="30">
        <v>10146</v>
      </c>
      <c r="B147" s="12"/>
      <c r="C147" s="12" t="s">
        <v>255</v>
      </c>
      <c r="D147" s="14">
        <v>1</v>
      </c>
      <c r="E147" s="14">
        <v>1</v>
      </c>
      <c r="F147" s="12" t="s">
        <v>3556</v>
      </c>
      <c r="G147" s="13">
        <v>1</v>
      </c>
      <c r="H147" s="12" t="s">
        <v>3557</v>
      </c>
      <c r="I147" s="12" t="s">
        <v>43</v>
      </c>
      <c r="J147" s="15"/>
      <c r="K147" s="15" t="s">
        <v>3558</v>
      </c>
      <c r="L147" s="16">
        <v>1</v>
      </c>
      <c r="M147" s="16">
        <v>1</v>
      </c>
      <c r="N147" s="15" t="s">
        <v>3559</v>
      </c>
      <c r="O147" s="15" t="s">
        <v>3560</v>
      </c>
      <c r="P147" s="17">
        <v>3</v>
      </c>
      <c r="Q147" s="15" t="s">
        <v>151</v>
      </c>
      <c r="R147" s="15">
        <v>0.5</v>
      </c>
      <c r="S147" s="15" t="s">
        <v>3561</v>
      </c>
      <c r="T147" s="15" t="s">
        <v>36</v>
      </c>
      <c r="U147" s="18"/>
      <c r="V147" s="18" t="s">
        <v>263</v>
      </c>
      <c r="W147" s="18">
        <v>1</v>
      </c>
      <c r="X147" s="18">
        <v>1</v>
      </c>
      <c r="Y147" s="18" t="s">
        <v>3562</v>
      </c>
      <c r="Z147" s="18" t="s">
        <v>3563</v>
      </c>
      <c r="AA147" s="18">
        <v>0</v>
      </c>
      <c r="AB147" s="29" t="s">
        <v>62</v>
      </c>
      <c r="AC147" s="18">
        <v>0</v>
      </c>
      <c r="AD147" s="18" t="s">
        <v>3564</v>
      </c>
      <c r="AE147" s="18" t="s">
        <v>43</v>
      </c>
      <c r="AF147" s="20"/>
      <c r="AG147" s="20" t="s">
        <v>267</v>
      </c>
      <c r="AH147" s="21">
        <v>1</v>
      </c>
      <c r="AI147" s="21">
        <v>1</v>
      </c>
      <c r="AJ147" s="20" t="s">
        <v>151</v>
      </c>
      <c r="AK147" s="20">
        <v>0</v>
      </c>
      <c r="AL147" s="20" t="s">
        <v>3565</v>
      </c>
      <c r="AM147" s="20" t="s">
        <v>36</v>
      </c>
      <c r="AN147" s="15"/>
      <c r="AO147" s="15" t="s">
        <v>450</v>
      </c>
      <c r="AP147" s="16">
        <v>1</v>
      </c>
      <c r="AQ147" s="16">
        <v>1</v>
      </c>
      <c r="AR147" s="15" t="s">
        <v>3566</v>
      </c>
      <c r="AS147" s="15" t="s">
        <v>126</v>
      </c>
      <c r="AT147" s="15">
        <v>2</v>
      </c>
      <c r="AU147" s="17">
        <v>2</v>
      </c>
      <c r="AV147" s="15" t="s">
        <v>62</v>
      </c>
      <c r="AW147" s="15">
        <v>1</v>
      </c>
      <c r="AX147" s="15" t="s">
        <v>3567</v>
      </c>
      <c r="AY147" s="15" t="s">
        <v>43</v>
      </c>
      <c r="AZ147" s="18"/>
      <c r="BA147" s="18" t="s">
        <v>3568</v>
      </c>
      <c r="BB147" s="19">
        <v>1</v>
      </c>
      <c r="BC147" s="19">
        <v>1</v>
      </c>
      <c r="BD147" s="18" t="s">
        <v>151</v>
      </c>
      <c r="BE147" s="18">
        <v>0</v>
      </c>
      <c r="BF147" s="18" t="s">
        <v>3569</v>
      </c>
      <c r="BG147" s="18" t="s">
        <v>42</v>
      </c>
      <c r="BH147" s="12"/>
      <c r="BI147" s="12" t="s">
        <v>248</v>
      </c>
      <c r="BJ147" s="12">
        <v>1</v>
      </c>
      <c r="BK147" s="12">
        <v>1</v>
      </c>
      <c r="BL147" s="12" t="s">
        <v>2177</v>
      </c>
      <c r="BM147" s="12">
        <v>0.5</v>
      </c>
      <c r="BN147" s="12" t="s">
        <v>3571</v>
      </c>
      <c r="BO147" s="12" t="s">
        <v>37</v>
      </c>
      <c r="BP147" s="20"/>
      <c r="BQ147" s="20" t="s">
        <v>279</v>
      </c>
      <c r="BR147" s="20">
        <v>1</v>
      </c>
      <c r="BS147" s="20">
        <v>1</v>
      </c>
      <c r="BT147" s="20" t="s">
        <v>899</v>
      </c>
      <c r="BU147" s="20" t="s">
        <v>900</v>
      </c>
      <c r="BV147" s="20">
        <v>1</v>
      </c>
      <c r="BW147" s="20" t="s">
        <v>111</v>
      </c>
      <c r="BX147" s="20">
        <v>0</v>
      </c>
      <c r="BY147" s="20" t="s">
        <v>3572</v>
      </c>
      <c r="BZ147" s="20" t="s">
        <v>37</v>
      </c>
    </row>
    <row r="148" spans="1:78">
      <c r="A148" s="30">
        <v>10147</v>
      </c>
      <c r="B148" s="12"/>
      <c r="C148" s="12" t="s">
        <v>3573</v>
      </c>
      <c r="D148" s="14">
        <v>1</v>
      </c>
      <c r="E148" s="14">
        <v>1</v>
      </c>
      <c r="F148" s="12" t="s">
        <v>3574</v>
      </c>
      <c r="G148" s="13">
        <v>0</v>
      </c>
      <c r="H148" s="12" t="s">
        <v>3575</v>
      </c>
      <c r="I148" s="12" t="s">
        <v>43</v>
      </c>
      <c r="J148" s="15"/>
      <c r="K148" s="15" t="s">
        <v>3576</v>
      </c>
      <c r="L148" s="16">
        <v>1</v>
      </c>
      <c r="M148" s="16">
        <v>1</v>
      </c>
      <c r="N148" s="15" t="s">
        <v>120</v>
      </c>
      <c r="O148" s="15" t="s">
        <v>3577</v>
      </c>
      <c r="P148" s="17">
        <v>1</v>
      </c>
      <c r="Q148" s="15" t="s">
        <v>3578</v>
      </c>
      <c r="R148" s="15">
        <v>0.5</v>
      </c>
      <c r="S148" s="15" t="s">
        <v>3579</v>
      </c>
      <c r="T148" s="15" t="s">
        <v>43</v>
      </c>
      <c r="U148" s="18"/>
      <c r="V148" s="18" t="s">
        <v>2567</v>
      </c>
      <c r="W148" s="19">
        <v>1</v>
      </c>
      <c r="X148" s="19">
        <v>1</v>
      </c>
      <c r="Y148" s="18" t="s">
        <v>3580</v>
      </c>
      <c r="Z148" s="18" t="s">
        <v>3581</v>
      </c>
      <c r="AA148" s="18">
        <v>2</v>
      </c>
      <c r="AB148" s="29" t="s">
        <v>3582</v>
      </c>
      <c r="AC148" s="18">
        <v>0.5</v>
      </c>
      <c r="AD148" s="18" t="s">
        <v>3583</v>
      </c>
      <c r="AE148" s="18" t="s">
        <v>43</v>
      </c>
      <c r="AF148" s="20"/>
      <c r="AG148" s="20" t="s">
        <v>3584</v>
      </c>
      <c r="AH148" s="21">
        <v>1</v>
      </c>
      <c r="AI148" s="21">
        <v>1</v>
      </c>
      <c r="AJ148" s="20" t="s">
        <v>3585</v>
      </c>
      <c r="AK148" s="20">
        <v>0</v>
      </c>
      <c r="AL148" s="20" t="s">
        <v>3586</v>
      </c>
      <c r="AM148" s="20" t="s">
        <v>37</v>
      </c>
      <c r="AN148" s="15"/>
      <c r="AO148" s="15" t="s">
        <v>2108</v>
      </c>
      <c r="AP148" s="16">
        <v>1</v>
      </c>
      <c r="AQ148" s="16">
        <v>0</v>
      </c>
      <c r="AR148" s="15" t="s">
        <v>120</v>
      </c>
      <c r="AS148" s="15" t="s">
        <v>3587</v>
      </c>
      <c r="AT148" s="15">
        <v>1</v>
      </c>
      <c r="AU148" s="17">
        <v>0</v>
      </c>
      <c r="AV148" s="15" t="s">
        <v>3588</v>
      </c>
      <c r="AW148" s="15">
        <v>1</v>
      </c>
      <c r="AX148" s="15" t="s">
        <v>163</v>
      </c>
      <c r="AY148" s="15" t="s">
        <v>43</v>
      </c>
      <c r="AZ148" s="18"/>
      <c r="BA148" s="18" t="s">
        <v>3589</v>
      </c>
      <c r="BB148" s="19">
        <v>1</v>
      </c>
      <c r="BC148" s="19">
        <v>1</v>
      </c>
      <c r="BD148" s="18" t="s">
        <v>3590</v>
      </c>
      <c r="BE148" s="18">
        <v>0</v>
      </c>
      <c r="BF148" s="18" t="s">
        <v>3591</v>
      </c>
      <c r="BG148" s="18" t="s">
        <v>42</v>
      </c>
      <c r="BH148" s="12"/>
      <c r="BI148" s="12" t="s">
        <v>248</v>
      </c>
      <c r="BJ148" s="12">
        <v>1</v>
      </c>
      <c r="BK148" s="12">
        <v>1</v>
      </c>
      <c r="BL148" s="12" t="s">
        <v>2267</v>
      </c>
      <c r="BM148" s="12">
        <v>0.5</v>
      </c>
      <c r="BN148" s="12" t="s">
        <v>3594</v>
      </c>
      <c r="BO148" s="12" t="s">
        <v>43</v>
      </c>
      <c r="BP148" s="20"/>
      <c r="BQ148" s="20" t="s">
        <v>3595</v>
      </c>
      <c r="BR148" s="20">
        <v>0</v>
      </c>
      <c r="BS148" s="20">
        <v>1</v>
      </c>
      <c r="BT148" s="20" t="s">
        <v>3192</v>
      </c>
      <c r="BU148" s="20" t="s">
        <v>3596</v>
      </c>
      <c r="BV148" s="20">
        <v>0</v>
      </c>
      <c r="BW148" s="20" t="s">
        <v>3597</v>
      </c>
      <c r="BX148" s="20">
        <v>0</v>
      </c>
      <c r="BY148" s="20" t="s">
        <v>3598</v>
      </c>
      <c r="BZ148" s="20" t="s">
        <v>37</v>
      </c>
    </row>
    <row r="149" spans="1:78">
      <c r="A149" s="30">
        <v>10148</v>
      </c>
      <c r="B149" s="12"/>
      <c r="C149" s="12" t="s">
        <v>3599</v>
      </c>
      <c r="D149" s="14">
        <v>1</v>
      </c>
      <c r="E149" s="14">
        <v>1</v>
      </c>
      <c r="F149" s="12" t="s">
        <v>3600</v>
      </c>
      <c r="G149" s="13">
        <v>2</v>
      </c>
      <c r="H149" s="12" t="s">
        <v>3601</v>
      </c>
      <c r="I149" s="12" t="s">
        <v>37</v>
      </c>
      <c r="J149" s="15"/>
      <c r="K149" s="15" t="s">
        <v>1124</v>
      </c>
      <c r="L149" s="16">
        <v>1</v>
      </c>
      <c r="M149" s="16">
        <v>1</v>
      </c>
      <c r="N149" s="15" t="s">
        <v>3602</v>
      </c>
      <c r="O149" s="15" t="s">
        <v>3603</v>
      </c>
      <c r="P149" s="17">
        <v>2</v>
      </c>
      <c r="Q149" s="15" t="s">
        <v>3604</v>
      </c>
      <c r="R149" s="15">
        <v>0.5</v>
      </c>
      <c r="S149" s="15" t="s">
        <v>3605</v>
      </c>
      <c r="T149" s="15" t="s">
        <v>43</v>
      </c>
      <c r="U149" s="18"/>
      <c r="V149" s="18" t="s">
        <v>839</v>
      </c>
      <c r="W149" s="19">
        <v>1</v>
      </c>
      <c r="X149" s="19">
        <v>1</v>
      </c>
      <c r="Y149" s="18" t="s">
        <v>3606</v>
      </c>
      <c r="Z149" s="18" t="s">
        <v>3607</v>
      </c>
      <c r="AA149" s="18">
        <v>2</v>
      </c>
      <c r="AB149" s="29" t="s">
        <v>3608</v>
      </c>
      <c r="AC149" s="18">
        <v>0</v>
      </c>
      <c r="AD149" s="18" t="s">
        <v>83</v>
      </c>
      <c r="AE149" s="18" t="s">
        <v>42</v>
      </c>
      <c r="AF149" s="20"/>
      <c r="AG149" s="20" t="s">
        <v>3609</v>
      </c>
      <c r="AH149" s="21">
        <v>1</v>
      </c>
      <c r="AI149" s="21">
        <v>1</v>
      </c>
      <c r="AJ149" s="20" t="s">
        <v>3610</v>
      </c>
      <c r="AK149" s="20">
        <v>0</v>
      </c>
      <c r="AL149" s="20" t="s">
        <v>3611</v>
      </c>
      <c r="AM149" s="20" t="s">
        <v>37</v>
      </c>
      <c r="AN149" s="15"/>
      <c r="AO149" s="15" t="s">
        <v>1133</v>
      </c>
      <c r="AP149" s="16">
        <v>1</v>
      </c>
      <c r="AQ149" s="16">
        <v>1</v>
      </c>
      <c r="AR149" s="15" t="s">
        <v>3612</v>
      </c>
      <c r="AS149" s="15" t="s">
        <v>3613</v>
      </c>
      <c r="AT149" s="15">
        <v>3</v>
      </c>
      <c r="AU149" s="17">
        <v>2</v>
      </c>
      <c r="AV149" s="15" t="s">
        <v>3614</v>
      </c>
      <c r="AW149" s="15">
        <v>0</v>
      </c>
      <c r="AX149" s="15" t="s">
        <v>3615</v>
      </c>
      <c r="AY149" s="15" t="s">
        <v>36</v>
      </c>
      <c r="AZ149" s="18"/>
      <c r="BA149" s="18" t="s">
        <v>3616</v>
      </c>
      <c r="BB149" s="19">
        <v>1</v>
      </c>
      <c r="BC149" s="19">
        <v>1</v>
      </c>
      <c r="BD149" s="18" t="s">
        <v>208</v>
      </c>
      <c r="BE149" s="18">
        <v>0</v>
      </c>
      <c r="BF149" s="18" t="s">
        <v>3617</v>
      </c>
      <c r="BG149" s="18" t="s">
        <v>37</v>
      </c>
      <c r="BH149" s="12"/>
      <c r="BI149" s="12" t="s">
        <v>302</v>
      </c>
      <c r="BJ149" s="12">
        <v>1</v>
      </c>
      <c r="BK149" s="12">
        <v>1</v>
      </c>
      <c r="BL149" s="12" t="s">
        <v>303</v>
      </c>
      <c r="BM149" s="12">
        <v>0.5</v>
      </c>
      <c r="BN149" s="12" t="s">
        <v>209</v>
      </c>
      <c r="BO149" s="12" t="s">
        <v>37</v>
      </c>
      <c r="BP149" s="20"/>
      <c r="BQ149" s="20" t="s">
        <v>3618</v>
      </c>
      <c r="BR149" s="20">
        <v>0</v>
      </c>
      <c r="BS149" s="20">
        <v>1</v>
      </c>
      <c r="BT149" s="20" t="s">
        <v>3619</v>
      </c>
      <c r="BU149" s="20" t="s">
        <v>3002</v>
      </c>
      <c r="BV149" s="20">
        <v>1</v>
      </c>
      <c r="BW149" s="20" t="s">
        <v>3620</v>
      </c>
      <c r="BX149" s="20">
        <v>0</v>
      </c>
      <c r="BY149" s="20" t="s">
        <v>209</v>
      </c>
      <c r="BZ149" s="20" t="s">
        <v>37</v>
      </c>
    </row>
    <row r="150" spans="1:78">
      <c r="A150" s="30">
        <v>10149</v>
      </c>
      <c r="B150" s="12"/>
      <c r="C150" s="12" t="s">
        <v>3621</v>
      </c>
      <c r="D150" s="14">
        <v>1</v>
      </c>
      <c r="E150" s="14">
        <v>1</v>
      </c>
      <c r="F150" s="12" t="s">
        <v>3622</v>
      </c>
      <c r="G150" s="13">
        <v>0</v>
      </c>
      <c r="H150" s="12" t="s">
        <v>3623</v>
      </c>
      <c r="I150" s="12" t="s">
        <v>37</v>
      </c>
      <c r="J150" s="15"/>
      <c r="K150" s="15" t="s">
        <v>3624</v>
      </c>
      <c r="L150" s="16">
        <v>1</v>
      </c>
      <c r="M150" s="16">
        <v>1</v>
      </c>
      <c r="N150" s="15" t="s">
        <v>3625</v>
      </c>
      <c r="O150" s="15" t="s">
        <v>3626</v>
      </c>
      <c r="P150" s="17">
        <v>1</v>
      </c>
      <c r="Q150" s="15" t="s">
        <v>1229</v>
      </c>
      <c r="R150" s="15">
        <v>0.5</v>
      </c>
      <c r="S150" s="15" t="s">
        <v>3627</v>
      </c>
      <c r="T150" s="15" t="s">
        <v>43</v>
      </c>
      <c r="U150" s="18"/>
      <c r="V150" s="18" t="s">
        <v>3628</v>
      </c>
      <c r="W150" s="19">
        <v>1</v>
      </c>
      <c r="X150" s="19">
        <v>1</v>
      </c>
      <c r="Y150" s="18" t="s">
        <v>3629</v>
      </c>
      <c r="Z150" s="18" t="s">
        <v>3630</v>
      </c>
      <c r="AA150" s="18">
        <v>0</v>
      </c>
      <c r="AB150" s="29" t="s">
        <v>3631</v>
      </c>
      <c r="AC150" s="18">
        <v>1</v>
      </c>
      <c r="AD150" s="18" t="s">
        <v>3632</v>
      </c>
      <c r="AE150" s="18" t="s">
        <v>37</v>
      </c>
      <c r="AF150" s="20"/>
      <c r="AG150" s="20" t="s">
        <v>3633</v>
      </c>
      <c r="AH150" s="21">
        <v>1</v>
      </c>
      <c r="AI150" s="21">
        <v>0.5</v>
      </c>
      <c r="AJ150" s="20" t="s">
        <v>3634</v>
      </c>
      <c r="AK150" s="20">
        <v>0</v>
      </c>
      <c r="AL150" s="20" t="s">
        <v>3635</v>
      </c>
      <c r="AM150" s="20" t="s">
        <v>43</v>
      </c>
      <c r="AN150" s="15"/>
      <c r="AO150" s="15" t="s">
        <v>3636</v>
      </c>
      <c r="AP150" s="16">
        <v>1</v>
      </c>
      <c r="AQ150" s="16">
        <v>1</v>
      </c>
      <c r="AR150" s="15" t="s">
        <v>3637</v>
      </c>
      <c r="AS150" s="15" t="s">
        <v>3638</v>
      </c>
      <c r="AT150" s="15">
        <v>0</v>
      </c>
      <c r="AU150" s="17">
        <v>0</v>
      </c>
      <c r="AV150" s="15" t="s">
        <v>125</v>
      </c>
      <c r="AW150" s="15">
        <v>1</v>
      </c>
      <c r="AX150" s="15" t="s">
        <v>3639</v>
      </c>
      <c r="AY150" s="15" t="s">
        <v>36</v>
      </c>
      <c r="AZ150" s="18"/>
      <c r="BA150" s="18" t="s">
        <v>3640</v>
      </c>
      <c r="BB150" s="19">
        <v>1</v>
      </c>
      <c r="BC150" s="19">
        <v>1</v>
      </c>
      <c r="BD150" s="18" t="s">
        <v>3641</v>
      </c>
      <c r="BE150" s="18">
        <v>0</v>
      </c>
      <c r="BF150" s="18" t="s">
        <v>3642</v>
      </c>
      <c r="BG150" s="18" t="s">
        <v>37</v>
      </c>
      <c r="BH150" s="12"/>
      <c r="BI150" s="12" t="s">
        <v>3414</v>
      </c>
      <c r="BJ150" s="12">
        <v>1</v>
      </c>
      <c r="BK150" s="12">
        <v>1</v>
      </c>
      <c r="BL150" s="12" t="s">
        <v>53</v>
      </c>
      <c r="BM150" s="12">
        <v>0.5</v>
      </c>
      <c r="BN150" s="12" t="s">
        <v>3644</v>
      </c>
      <c r="BO150" s="12" t="s">
        <v>37</v>
      </c>
      <c r="BP150" s="20"/>
      <c r="BQ150" s="20"/>
      <c r="BR150" s="20">
        <v>0</v>
      </c>
      <c r="BS150" s="20">
        <v>0</v>
      </c>
      <c r="BT150" s="20"/>
      <c r="BU150" s="20"/>
      <c r="BV150" s="20">
        <v>0</v>
      </c>
      <c r="BW150" s="20" t="s">
        <v>3648</v>
      </c>
      <c r="BX150" s="20">
        <v>0</v>
      </c>
      <c r="BY150" s="20" t="s">
        <v>3649</v>
      </c>
      <c r="BZ150" s="20" t="s">
        <v>36</v>
      </c>
    </row>
    <row r="151" spans="1:78">
      <c r="A151" s="30">
        <v>10150</v>
      </c>
      <c r="B151" s="12"/>
      <c r="C151" s="12" t="s">
        <v>3650</v>
      </c>
      <c r="D151" s="14">
        <v>0</v>
      </c>
      <c r="E151" s="14">
        <v>0</v>
      </c>
      <c r="F151" s="12" t="s">
        <v>3651</v>
      </c>
      <c r="G151" s="13">
        <v>1</v>
      </c>
      <c r="H151" s="12" t="s">
        <v>3652</v>
      </c>
      <c r="I151" s="12" t="s">
        <v>35</v>
      </c>
      <c r="J151" s="15"/>
      <c r="K151" s="15" t="s">
        <v>3653</v>
      </c>
      <c r="L151" s="15">
        <v>1</v>
      </c>
      <c r="M151" s="15">
        <v>0</v>
      </c>
      <c r="N151" s="15" t="s">
        <v>3654</v>
      </c>
      <c r="O151" s="15" t="s">
        <v>3654</v>
      </c>
      <c r="P151" s="17">
        <v>0</v>
      </c>
      <c r="Q151" s="15" t="s">
        <v>90</v>
      </c>
      <c r="R151" s="15">
        <v>0</v>
      </c>
      <c r="S151" s="15" t="s">
        <v>3655</v>
      </c>
      <c r="T151" s="15" t="s">
        <v>43</v>
      </c>
      <c r="U151" s="18"/>
      <c r="V151" s="18" t="s">
        <v>3656</v>
      </c>
      <c r="W151" s="19">
        <v>1</v>
      </c>
      <c r="X151" s="19">
        <v>1</v>
      </c>
      <c r="Y151" s="18" t="s">
        <v>3657</v>
      </c>
      <c r="Z151" s="18" t="s">
        <v>3658</v>
      </c>
      <c r="AA151" s="18">
        <v>0</v>
      </c>
      <c r="AB151" s="29" t="s">
        <v>89</v>
      </c>
      <c r="AC151" s="18">
        <v>0</v>
      </c>
      <c r="AD151" s="18" t="s">
        <v>3659</v>
      </c>
      <c r="AE151" s="18" t="s">
        <v>35</v>
      </c>
      <c r="AF151" s="20"/>
      <c r="AG151" s="20" t="s">
        <v>3660</v>
      </c>
      <c r="AH151" s="21"/>
      <c r="AI151" s="21"/>
      <c r="AJ151" s="20" t="s">
        <v>210</v>
      </c>
      <c r="AK151" s="20">
        <v>0</v>
      </c>
      <c r="AL151" s="20" t="s">
        <v>3661</v>
      </c>
      <c r="AM151" s="20" t="s">
        <v>43</v>
      </c>
      <c r="AN151" s="15"/>
      <c r="AO151" s="15" t="s">
        <v>3662</v>
      </c>
      <c r="AP151" s="16">
        <v>0</v>
      </c>
      <c r="AQ151" s="16">
        <v>1</v>
      </c>
      <c r="AR151" s="15" t="s">
        <v>3657</v>
      </c>
      <c r="AS151" s="15" t="s">
        <v>57</v>
      </c>
      <c r="AT151" s="15">
        <v>0</v>
      </c>
      <c r="AU151" s="17">
        <v>0</v>
      </c>
      <c r="AV151" s="15" t="s">
        <v>90</v>
      </c>
      <c r="AW151" s="15">
        <v>0</v>
      </c>
      <c r="AX151" s="15" t="s">
        <v>3663</v>
      </c>
      <c r="AY151" s="15" t="s">
        <v>37</v>
      </c>
      <c r="AZ151" s="18"/>
      <c r="BA151" s="18" t="s">
        <v>3664</v>
      </c>
      <c r="BB151" s="19">
        <v>1</v>
      </c>
      <c r="BC151" s="19">
        <v>0</v>
      </c>
      <c r="BD151" s="18" t="s">
        <v>210</v>
      </c>
      <c r="BE151" s="18">
        <v>0</v>
      </c>
      <c r="BF151" s="18" t="s">
        <v>3665</v>
      </c>
      <c r="BG151" s="18" t="s">
        <v>37</v>
      </c>
      <c r="BH151" s="12"/>
      <c r="BI151" s="12" t="s">
        <v>3666</v>
      </c>
      <c r="BJ151" s="12">
        <v>1</v>
      </c>
      <c r="BK151" s="12">
        <v>0</v>
      </c>
      <c r="BL151" s="12" t="s">
        <v>89</v>
      </c>
      <c r="BM151" s="12">
        <v>0</v>
      </c>
      <c r="BN151" s="12" t="s">
        <v>3667</v>
      </c>
      <c r="BO151" s="12" t="s">
        <v>67</v>
      </c>
      <c r="BP151" s="20"/>
      <c r="BQ151" s="20" t="s">
        <v>3668</v>
      </c>
      <c r="BR151" s="20">
        <v>0</v>
      </c>
      <c r="BS151" s="20">
        <v>1</v>
      </c>
      <c r="BT151" s="20" t="s">
        <v>145</v>
      </c>
      <c r="BU151" s="20" t="s">
        <v>57</v>
      </c>
      <c r="BV151" s="20">
        <v>0</v>
      </c>
      <c r="BW151" s="20" t="s">
        <v>90</v>
      </c>
      <c r="BX151" s="20">
        <v>0</v>
      </c>
      <c r="BY151" s="20" t="s">
        <v>3669</v>
      </c>
      <c r="BZ151" s="20" t="s">
        <v>42</v>
      </c>
    </row>
    <row r="152" spans="1:78">
      <c r="A152" s="30">
        <v>10151</v>
      </c>
      <c r="B152" s="12"/>
      <c r="C152" s="12" t="s">
        <v>3670</v>
      </c>
      <c r="D152" s="14">
        <v>1</v>
      </c>
      <c r="E152" s="14">
        <v>1</v>
      </c>
      <c r="F152" s="12" t="s">
        <v>3671</v>
      </c>
      <c r="G152" s="13">
        <v>0</v>
      </c>
      <c r="H152" s="12" t="s">
        <v>3672</v>
      </c>
      <c r="I152" s="12" t="s">
        <v>42</v>
      </c>
      <c r="J152" s="15"/>
      <c r="K152" s="15" t="s">
        <v>1968</v>
      </c>
      <c r="L152" s="16">
        <v>1</v>
      </c>
      <c r="M152" s="16">
        <v>1</v>
      </c>
      <c r="N152" s="15" t="s">
        <v>3673</v>
      </c>
      <c r="O152" s="15" t="s">
        <v>3674</v>
      </c>
      <c r="P152" s="17">
        <v>0</v>
      </c>
      <c r="Q152" s="15" t="s">
        <v>1219</v>
      </c>
      <c r="R152" s="15">
        <v>0.5</v>
      </c>
      <c r="S152" s="15" t="s">
        <v>3675</v>
      </c>
      <c r="T152" s="15" t="s">
        <v>36</v>
      </c>
      <c r="U152" s="18"/>
      <c r="V152" s="18" t="s">
        <v>3676</v>
      </c>
      <c r="W152" s="18">
        <v>1</v>
      </c>
      <c r="X152" s="18">
        <v>1</v>
      </c>
      <c r="Y152" s="18" t="s">
        <v>3677</v>
      </c>
      <c r="Z152" s="18" t="s">
        <v>2914</v>
      </c>
      <c r="AA152" s="18">
        <v>0</v>
      </c>
      <c r="AB152" s="29" t="s">
        <v>2420</v>
      </c>
      <c r="AC152" s="18">
        <v>0.5</v>
      </c>
      <c r="AD152" s="18" t="s">
        <v>3678</v>
      </c>
      <c r="AE152" s="18" t="s">
        <v>42</v>
      </c>
      <c r="AF152" s="20"/>
      <c r="AG152" s="20" t="s">
        <v>3679</v>
      </c>
      <c r="AH152" s="21">
        <v>1</v>
      </c>
      <c r="AI152" s="21">
        <v>1</v>
      </c>
      <c r="AJ152" s="20" t="s">
        <v>1058</v>
      </c>
      <c r="AK152" s="20">
        <v>0</v>
      </c>
      <c r="AL152" s="20" t="s">
        <v>3680</v>
      </c>
      <c r="AM152" s="20" t="s">
        <v>37</v>
      </c>
      <c r="AN152" s="15"/>
      <c r="AO152" s="15" t="s">
        <v>3681</v>
      </c>
      <c r="AP152" s="16">
        <v>1</v>
      </c>
      <c r="AQ152" s="16">
        <v>1</v>
      </c>
      <c r="AR152" s="15" t="s">
        <v>3682</v>
      </c>
      <c r="AS152" s="15" t="s">
        <v>3683</v>
      </c>
      <c r="AT152" s="15">
        <v>2</v>
      </c>
      <c r="AU152" s="17">
        <v>0</v>
      </c>
      <c r="AV152" s="15" t="s">
        <v>3684</v>
      </c>
      <c r="AW152" s="15">
        <v>0</v>
      </c>
      <c r="AX152" s="15" t="s">
        <v>3685</v>
      </c>
      <c r="AY152" s="15" t="s">
        <v>43</v>
      </c>
      <c r="AZ152" s="18"/>
      <c r="BA152" s="18" t="s">
        <v>3686</v>
      </c>
      <c r="BB152" s="19">
        <v>1</v>
      </c>
      <c r="BC152" s="19">
        <v>1</v>
      </c>
      <c r="BD152" s="18" t="s">
        <v>61</v>
      </c>
      <c r="BE152" s="18">
        <v>0</v>
      </c>
      <c r="BF152" s="18" t="s">
        <v>3687</v>
      </c>
      <c r="BG152" s="18" t="s">
        <v>42</v>
      </c>
      <c r="BH152" s="12"/>
      <c r="BI152" s="12" t="s">
        <v>248</v>
      </c>
      <c r="BJ152" s="12">
        <v>1</v>
      </c>
      <c r="BK152" s="12">
        <v>1</v>
      </c>
      <c r="BL152" s="12" t="s">
        <v>52</v>
      </c>
      <c r="BM152" s="12">
        <v>0.5</v>
      </c>
      <c r="BN152" s="12" t="s">
        <v>3690</v>
      </c>
      <c r="BO152" s="12" t="s">
        <v>37</v>
      </c>
      <c r="BP152" s="20"/>
      <c r="BQ152" s="20"/>
      <c r="BR152" s="20">
        <v>0</v>
      </c>
      <c r="BS152" s="20">
        <v>0</v>
      </c>
      <c r="BT152" s="20"/>
      <c r="BU152" s="20"/>
      <c r="BV152" s="20">
        <v>0</v>
      </c>
      <c r="BW152" s="20" t="s">
        <v>3694</v>
      </c>
      <c r="BX152" s="20">
        <v>0</v>
      </c>
      <c r="BY152" s="20" t="s">
        <v>174</v>
      </c>
      <c r="BZ152" s="20" t="s">
        <v>37</v>
      </c>
    </row>
  </sheetData>
  <phoneticPr fontId="5" type="noConversion"/>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iterative</vt:lpstr>
      <vt:lpstr>EW_all</vt:lpstr>
      <vt:lpstr>TSA</vt:lpstr>
      <vt:lpstr>迭代_rater1</vt:lpstr>
      <vt:lpstr>迭代_rater2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Liming</cp:lastModifiedBy>
  <dcterms:created xsi:type="dcterms:W3CDTF">2024-03-31T21:19:00Z</dcterms:created>
  <dcterms:modified xsi:type="dcterms:W3CDTF">2026-04-14T09:41:11Z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C895BA85F452C50D0F2743671C17BB36_43</vt:lpwstr>
  </property>
  <property fmtid="{D5CDD505-2E9C-101B-9397-08002B2CF9AE}" pid="3" name="KSOProductBuildVer">
    <vt:lpwstr>1033-6.11.0.8885</vt:lpwstr>
  </property>
</Properties>
</file>